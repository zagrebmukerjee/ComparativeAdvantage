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8"/>
  <workbookPr defaultThemeVersion="166925"/>
  <xr:revisionPtr revIDLastSave="0" documentId="8_{4F09CF39-BC14-4A00-A82D-AF897CB24F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sportation Cost Estimates" sheetId="1" r:id="rId1"/>
    <sheet name="Production" sheetId="4" r:id="rId2"/>
    <sheet name="Shipment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E2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3" i="4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G3" i="4"/>
  <c r="G2" i="4"/>
  <c r="E4" i="1"/>
  <c r="E5" i="1"/>
  <c r="E6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tc={1DE88F2E-3A8B-4E6D-90CF-4951A76E7278}</author>
    <author>tc={FC4E749A-4C0F-4470-A459-1D1B391176EC}</author>
    <author>tc={3482CF75-49CA-40B6-935C-D7B1B5ED2E18}</author>
    <author>tc={C460F46A-3AA2-4C35-B577-0F4851B90F2A}</author>
    <author>tc={8EC92FED-823E-4352-A875-49B8B342E9FE}</author>
    <author>tc={D0F6DF88-56C2-48CB-A239-63F744300280}</author>
  </authors>
  <commentList>
    <comment ref="B1" authorId="0" shapeId="0" xr:uid="{1DE88F2E-3A8B-4E6D-90CF-4951A76E7278}">
      <text>
        <t>[Threaded comment]
Your version of Excel allows you to read this threaded comment; however, any edits to it will get removed if the file is opened in a newer version of Excel. Learn more: https://go.microsoft.com/fwlink/?linkid=870924
Comment:
    Crowell and Murray book, pg. 31. </t>
      </text>
    </comment>
    <comment ref="C1" authorId="1" shapeId="0" xr:uid="{FC4E749A-4C0F-4470-A459-1D1B391176EC}">
      <text>
        <t>[Threaded comment]
Your version of Excel allows you to read this threaded comment; however, any edits to it will get removed if the file is opened in a newer version of Excel. Learn more: https://go.microsoft.com/fwlink/?linkid=870924
Comment:
    Crowell &amp; Murray book, pg. 54</t>
      </text>
    </comment>
    <comment ref="E1" authorId="2" shapeId="0" xr:uid="{3482CF75-49CA-40B6-935C-D7B1B5ED2E18}">
      <text>
        <t>[Threaded comment]
Your version of Excel allows you to read this threaded comment; however, any edits to it will get removed if the file is opened in a newer version of Excel. Learn more: https://go.microsoft.com/fwlink/?linkid=870924
Comment:
    (assumed at ~0.01 per mile per ton)</t>
      </text>
    </comment>
    <comment ref="G1" authorId="3" shapeId="0" xr:uid="{C460F46A-3AA2-4C35-B577-0F4851B90F2A}">
      <text>
        <t>[Threaded comment]
Your version of Excel allows you to read this threaded comment; however, any edits to it will get removed if the file is opened in a newer version of Excel. Learn more: https://go.microsoft.com/fwlink/?linkid=870924
Comment:
    bypassing Pittsburg option - straight from Erie to Philadelphia: https://timesmachine.nytimes.com/timesmachine/1864/07/10/78726684.html?pageNumber=6</t>
      </text>
    </comment>
    <comment ref="I1" authorId="4" shapeId="0" xr:uid="{8EC92FED-823E-4352-A875-49B8B342E9F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https://research-doc.credit-suisse.com/docView?language=ENG&amp;format=PDF&amp;document_id=901543261&amp;source_id=em&amp;serialid=tKkO3pFei2IPAD9fPG%2F6mrmsM6dNLQlvDdbE5qGTHck%3D</t>
      </text>
    </comment>
    <comment ref="B24" authorId="5" shapeId="0" xr:uid="{D0F6DF88-56C2-48CB-A239-63F744300280}">
      <text>
        <t>[Threaded comment]
Your version of Excel allows you to read this threaded comment; however, any edits to it will get removed if the file is opened in a newer version of Excel. Learn more: https://go.microsoft.com/fwlink/?linkid=870924
Comment:
    slight drop in railroad prices by 1912, continued at $0.60 after this year for several years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tc={2A05E027-06CE-4ABD-9FAF-82E2A22C5586}</author>
    <author>tc={596154F0-1D49-4C21-9521-BC1493C26622}</author>
    <author>tc={5D9188D8-0DD7-4867-9069-68BA23FD1414}</author>
    <author>tc={749C4758-6DB7-422E-AF7E-D8075A2BBAD1}</author>
    <author>tc={CCC7E699-2952-4823-A001-7282DBB3C5F2}</author>
    <author>tc={BAE6AC50-C4DF-4C64-94ED-7ADEFB1B171F}</author>
    <author>tc={CE6C11F4-1E35-4F58-8832-73A479C80A27}</author>
    <author>tc={8FCDE582-FAAE-41E4-8F3C-E06AB4251C29}</author>
    <author>tc={6842D629-8B48-4FE4-A753-1759996C2FA2}</author>
    <author>tc={ED987AED-2D57-4D7C-95FC-B94C8A3FAB46}</author>
    <author>tc={2966380F-ECBB-4310-9F0B-C9DB0BD2013B}</author>
    <author>tc={FC6DD227-B676-4B36-8614-3906D8EA7C9D}</author>
  </authors>
  <commentList>
    <comment ref="B1" authorId="0" shapeId="0" xr:uid="{2A05E027-06CE-4ABD-9FAF-82E2A22C558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>
      </text>
    </comment>
    <comment ref="C1" authorId="1" shapeId="0" xr:uid="{596154F0-1D49-4C21-9521-BC1493C2662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>
      </text>
    </comment>
    <comment ref="D1" authorId="2" shapeId="0" xr:uid="{5D9188D8-0DD7-4867-9069-68BA23FD14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1912 Mineral Report </t>
      </text>
    </comment>
    <comment ref="F1" authorId="3" shapeId="0" xr:uid="{749C4758-6DB7-422E-AF7E-D8075A2BBA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pg. 156 of 1912 Mineral Report
</t>
      </text>
    </comment>
    <comment ref="N4" authorId="4" shapeId="0" xr:uid="{CCC7E699-2952-4823-A001-7282DBB3C5F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>
      </text>
    </comment>
    <comment ref="O4" authorId="5" shapeId="0" xr:uid="{BAE6AC50-C4DF-4C64-94ED-7ADEFB1B171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>
      </text>
    </comment>
    <comment ref="S4" authorId="6" shapeId="0" xr:uid="{CE6C11F4-1E35-4F58-8832-73A479C80A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pg. 156 of 1912 Mineral Report
</t>
      </text>
    </comment>
    <comment ref="T24" authorId="7" shapeId="0" xr:uid="{8FCDE582-FAAE-41E4-8F3C-E06AB4251C2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F55A5BETMTY1NjcxNDgwMy40ODA4MTQ6MToxNToxMzIuMTc0LjI1Mi4xNzE&amp;p_action=doc&amp;p_queryname=1&amp;p_docref=v2:0FD2A62D41CEB699@SERIAL-118769A807055148@-117B8C8512560FB0@72</t>
      </text>
    </comment>
    <comment ref="T25" authorId="8" shapeId="0" xr:uid="{6842D629-8B48-4FE4-A753-1759996C2FA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F55A5BETMTY1NjcxNDgwMy40ODA4MTQ6MToxNToxMzIuMTc0LjI1Mi4xNzE&amp;p_action=doc&amp;p_queryname=1&amp;p_docref=v2:0FD2A62D41CEB699@SERIAL-118769A807055148@-117B8C8512560FB0@72</t>
      </text>
    </comment>
    <comment ref="Q26" authorId="9" shapeId="0" xr:uid="{ED987AED-2D57-4D7C-95FC-B94C8A3FAB4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S26" authorId="10" shapeId="0" xr:uid="{2966380F-ECBB-4310-9F0B-C9DB0BD2013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T26" authorId="11" shapeId="0" xr:uid="{FC6DD227-B676-4B36-8614-3906D8EA7C9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tc={98D40054-33A3-4203-82DB-38B3C804A92A}</author>
    <author>tc={BEC43165-16B1-4985-9F8C-C21D1EDE1C58}</author>
    <author>tc={1613FBEC-AE71-4D80-9D21-86C66C25AADD}</author>
    <author>tc={2D2BE6F1-BB25-40EA-B25D-6B4A15CC68E5}</author>
    <author>tc={A30A439E-B144-4927-9C71-B65DACDF1B35}</author>
    <author>tc={BADB7AD6-8457-41DD-9161-4174E07E6098}</author>
    <author>tc={0D8AEF1B-3C5A-4A63-81E5-6606B959D964}</author>
    <author>tc={74FA6F6B-DA6C-4E8B-987B-8BF23AB27EC1}</author>
    <author>tc={CC5554FB-3F72-4A22-A8E5-13A8A0636017}</author>
    <author>tc={34266D57-8178-42AF-B967-60243EABC15C}</author>
    <author>tc={891AE6E4-1C6E-474E-BC6C-B80127FB5722}</author>
    <author>tc={077080CA-AC4D-4E2F-BAA9-287136D0D872}</author>
    <author>tc={AE132E21-03D0-4E95-B0D0-3841EE55EC06}</author>
    <author>tc={8E262088-78FB-4B67-BE61-66E5C395EE10}</author>
    <author>tc={EBCA01E1-1BBF-4414-B6AD-8ED46DC100B4}</author>
    <author>tc={CEC3E6AD-70EC-4E2B-9CF6-F24704D8806E}</author>
    <author>tc={2662D6B0-31D7-4765-9FE5-20A1AE5D88BA}</author>
    <author>tc={86EBDE50-7EB8-497E-9159-B6F52EEED8F4}</author>
    <author>tc={4F0B1DDB-F8E6-4303-BF2E-33E82A6A450E}</author>
    <author>tc={D508E2E3-EE57-4F61-94B3-3BB5C6A279E2}</author>
    <author>tc={953897DB-6A3B-4B33-B581-12BC39B9349C}</author>
    <author>tc={CB81BA52-2ED5-460F-870B-675461352A25}</author>
    <author>tc={B34A6321-D5AF-4F7A-A7D7-E6140F3DAC94}</author>
  </authors>
  <commentList>
    <comment ref="B1" authorId="0" shapeId="0" xr:uid="{98D40054-33A3-4203-82DB-38B3C804A92A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95 of https://babel.hathitrust.org/cgi/pt?id=mdp.39015067087679&amp;view=1up&amp;seq=99&amp;skin=2021</t>
      </text>
    </comment>
    <comment ref="C1" authorId="1" shapeId="0" xr:uid="{BEC43165-16B1-4985-9F8C-C21D1EDE1C58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95 of https://babel.hathitrust.org/cgi/pt?id=mdp.39015067087679&amp;view=1up&amp;seq=99&amp;skin=2021</t>
      </text>
    </comment>
    <comment ref="J2" authorId="2" shapeId="0" xr:uid="{1613FBEC-AE71-4D80-9D21-86C66C25AADD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95 of https://babel.hathitrust.org/cgi/pt?id=mdp.39015067087679&amp;view=1up&amp;seq=99&amp;skin=2021</t>
      </text>
    </comment>
    <comment ref="K2" authorId="3" shapeId="0" xr:uid="{2D2BE6F1-BB25-40EA-B25D-6B4A15CC6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95 of https://babel.hathitrust.org/cgi/pt?id=mdp.39015067087679&amp;view=1up&amp;seq=99&amp;skin=2021</t>
      </text>
    </comment>
    <comment ref="I15" authorId="4" shapeId="0" xr:uid="{A30A439E-B144-4927-9C71-B65DACDF1B35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75: https://infoweb-newsbank-com.yale.idm.oclc.org/iw-search/we/Digital/?p_product=SERIAL&amp;p_theme=sset2&amp;p_nbid=G48D4CCEMTY1Njg5NzAwNy43ODQ5NTk6MToxNToxMzIuMTc0LjI1Mi4xNzE&amp;p_action=doc&amp;p_queryname=1&amp;p_docref=v2:0FD2A62D41CEB699@SERIAL-117FAA2C39E0B620@-117B02231DC8EC78@74</t>
      </text>
    </comment>
    <comment ref="I19" authorId="5" shapeId="0" xr:uid="{BADB7AD6-8457-41DD-9161-4174E07E6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165: https://infoweb-newsbank-com.yale.idm.oclc.org/iw-search/we/Digital/?p_product=SERIAL&amp;p_theme=sset2&amp;p_nbid=F52D56JOMTY1Njg5NjYwOC43MzU3MDM6MToxNToxMzIuMTc0LjI1Mi4xNzE&amp;p_action=doc&amp;p_queryname=1&amp;p_docref=v2:0FD2A62D41CEB699@SERIAL-11932539E3C9BA58@-117EAABAA14C5A60@164</t>
      </text>
    </comment>
    <comment ref="D23" authorId="6" shapeId="0" xr:uid="{0D8AEF1B-3C5A-4A63-81E5-6606B959D96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E23" authorId="7" shapeId="0" xr:uid="{74FA6F6B-DA6C-4E8B-987B-8BF23AB27EC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F23" authorId="8" shapeId="0" xr:uid="{CC5554FB-3F72-4A22-A8E5-13A8A063601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D24" authorId="9" shapeId="0" xr:uid="{34266D57-8178-42AF-B967-60243EABC15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E24" authorId="10" shapeId="0" xr:uid="{891AE6E4-1C6E-474E-BC6C-B80127FB572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F24" authorId="11" shapeId="0" xr:uid="{077080CA-AC4D-4E2F-BAA9-287136D0D87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G24" authorId="12" shapeId="0" xr:uid="{AE132E21-03D0-4E95-B0D0-3841EE55EC0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M24" authorId="13" shapeId="0" xr:uid="{8E262088-78FB-4B67-BE61-66E5C395EE1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N24" authorId="14" shapeId="0" xr:uid="{EBCA01E1-1BBF-4414-B6AD-8ED46DC100B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O24" authorId="15" shapeId="0" xr:uid="{CEC3E6AD-70EC-4E2B-9CF6-F24704D8806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>
      </text>
    </comment>
    <comment ref="E25" authorId="16" shapeId="0" xr:uid="{2662D6B0-31D7-4765-9FE5-20A1AE5D88B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F25" authorId="17" shapeId="0" xr:uid="{86EBDE50-7EB8-497E-9159-B6F52EEED8F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G25" authorId="18" shapeId="0" xr:uid="{4F0B1DDB-F8E6-4303-BF2E-33E82A6A450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M25" authorId="19" shapeId="0" xr:uid="{D508E2E3-EE57-4F61-94B3-3BB5C6A279E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N25" authorId="20" shapeId="0" xr:uid="{953897DB-6A3B-4B33-B581-12BC39B9349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O25" authorId="21" shapeId="0" xr:uid="{CB81BA52-2ED5-460F-870B-675461352A2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>
      </text>
    </comment>
    <comment ref="E36" authorId="22" shapeId="0" xr:uid="{B34A6321-D5AF-4F7A-A7D7-E6140F3DAC94}">
      <text>
        <t>[Threaded comment]
Your version of Excel allows you to read this threaded comment; however, any edits to it will get removed if the file is opened in a newer version of Excel. Learn more: https://go.microsoft.com/fwlink/?linkid=870924
Comment:
    mineral resources report, US geological survey, pg. 36</t>
      </text>
    </comment>
  </commentList>
</comments>
</file>

<file path=xl/sharedStrings.xml><?xml version="1.0" encoding="utf-8"?>
<sst xmlns="http://schemas.openxmlformats.org/spreadsheetml/2006/main" count="27" uniqueCount="24">
  <si>
    <t>year</t>
  </si>
  <si>
    <t>mines.to.lake</t>
  </si>
  <si>
    <t>superior.to.ohio</t>
  </si>
  <si>
    <t>cost.to.lower.port</t>
  </si>
  <si>
    <t>lake.to.pittsburg.rail</t>
  </si>
  <si>
    <t>cost.to.pittsburg</t>
  </si>
  <si>
    <t>erie.to.philly</t>
  </si>
  <si>
    <t>cost.to.Philly</t>
  </si>
  <si>
    <t>bessemer.mesabi.lower.price</t>
  </si>
  <si>
    <t>nonbess.mesabi.price.lower</t>
  </si>
  <si>
    <t>produced. mesabi</t>
  </si>
  <si>
    <t>produced.vermillion</t>
  </si>
  <si>
    <t xml:space="preserve">MN.total </t>
  </si>
  <si>
    <t>percent.YOY</t>
  </si>
  <si>
    <t>US.total</t>
  </si>
  <si>
    <t>percent.total</t>
  </si>
  <si>
    <t>shipped.mesabi</t>
  </si>
  <si>
    <t>shipped.vermillion</t>
  </si>
  <si>
    <t>marketed.state.total</t>
  </si>
  <si>
    <t>MN.total</t>
  </si>
  <si>
    <t xml:space="preserve">shipped.deluth </t>
  </si>
  <si>
    <t>shipped.two.harbors</t>
  </si>
  <si>
    <t xml:space="preserve">clarity on prices - what would be the cost at MN? what about the costs at PA?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</si>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</sst>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&quot;$&quot;#,##0.00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charset val="1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charset val="1"/>
    </font>
    <font>
      <b/>
      <sz val="8"/>
      <color theme="1"/>
      <name val="Calibri"/>
      <family val="2"/>
      <scheme val="minor"/>
    </font>
    <font>
      <sz val="8"/>
      <color rgb="FF444444"/>
      <name val="Calibri"/>
      <family val="2"/>
      <charset val="1"/>
    </font>
    <font>
      <sz val="8"/>
      <color rgb="FF000000"/>
      <name val="Calibri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0" xfId="0" applyNumberFormat="1"/>
    <xf numFmtId="4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wrapText="1"/>
    </xf>
    <xf numFmtId="43" fontId="3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/>
    </xf>
    <xf numFmtId="43" fontId="5" fillId="2" borderId="0" xfId="0" applyNumberFormat="1" applyFont="1" applyFill="1" applyAlignment="1">
      <alignment horizontal="center" vertical="center"/>
    </xf>
    <xf numFmtId="43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3" fillId="2" borderId="0" xfId="0" applyNumberFormat="1" applyFont="1" applyFill="1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164" fontId="3" fillId="0" borderId="0" xfId="0" applyNumberFormat="1" applyFont="1"/>
    <xf numFmtId="10" fontId="3" fillId="0" borderId="0" xfId="0" applyNumberFormat="1" applyFont="1"/>
    <xf numFmtId="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43" fontId="3" fillId="0" borderId="0" xfId="0" applyNumberFormat="1" applyFont="1" applyAlignment="1">
      <alignment vertical="center"/>
    </xf>
    <xf numFmtId="6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8" fontId="9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hite, Sydney" id="{E861602E-0D12-4F35-BC5F-1DF48A5BE610}" userId="S::sydney.white@yale.edu::043c5f39-7fc9-42d5-a39f-83cefe053d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1T22:16:35.51" personId="{E861602E-0D12-4F35-BC5F-1DF48A5BE610}" id="{1DE88F2E-3A8B-4E6D-90CF-4951A76E7278}">
    <text>Crowell and Murray book, pg. 31. </text>
  </threadedComment>
  <threadedComment ref="C1" dT="2022-07-01T22:16:52.97" personId="{E861602E-0D12-4F35-BC5F-1DF48A5BE610}" id="{FC4E749A-4C0F-4470-A459-1D1B391176EC}">
    <text>Crowell &amp; Murray book, pg. 54</text>
  </threadedComment>
  <threadedComment ref="E1" dT="2022-07-01T22:17:30.31" personId="{E861602E-0D12-4F35-BC5F-1DF48A5BE610}" id="{3482CF75-49CA-40B6-935C-D7B1B5ED2E18}">
    <text>(assumed at ~0.01 per mile per ton)</text>
  </threadedComment>
  <threadedComment ref="G1" dT="2022-07-05T00:07:34.73" personId="{E861602E-0D12-4F35-BC5F-1DF48A5BE610}" id="{C460F46A-3AA2-4C35-B577-0F4851B90F2A}">
    <text>bypassing Pittsburg option - straight from Erie to Philadelphia: https://timesmachine.nytimes.com/timesmachine/1864/07/10/78726684.html?pageNumber=6</text>
  </threadedComment>
  <threadedComment ref="I1" dT="2022-07-04T00:59:04.99" personId="{E861602E-0D12-4F35-BC5F-1DF48A5BE610}" id="{8EC92FED-823E-4352-A875-49B8B342E9FE}">
    <text>https://research-doc.credit-suisse.com/docView?language=ENG&amp;format=PDF&amp;document_id=901543261&amp;source_id=em&amp;serialid=tKkO3pFei2IPAD9fPG%2F6mrmsM6dNLQlvDdbE5qGTHck%3D</text>
  </threadedComment>
  <threadedComment ref="B24" dT="2022-07-04T01:00:46.19" personId="{E861602E-0D12-4F35-BC5F-1DF48A5BE610}" id="{D0F6DF88-56C2-48CB-A239-63F744300280}">
    <text>slight drop in railroad prices by 1912, continued at $0.60 after this year for several years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7-01T22:11:38.58" personId="{E861602E-0D12-4F35-BC5F-1DF48A5BE610}" id="{2A05E027-06CE-4ABD-9FAF-82E2A22C5586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ext>
  </threadedComment>
  <threadedComment ref="C1" dT="2022-07-01T22:13:52.19" personId="{E861602E-0D12-4F35-BC5F-1DF48A5BE610}" id="{596154F0-1D49-4C21-9521-BC1493C26622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ext>
  </threadedComment>
  <threadedComment ref="D1" dT="2022-07-04T23:24:56.00" personId="{E861602E-0D12-4F35-BC5F-1DF48A5BE610}" id="{5D9188D8-0DD7-4867-9069-68BA23FD1414}">
    <text xml:space="preserve">1912 Mineral Report </text>
  </threadedComment>
  <threadedComment ref="F1" dT="2022-07-01T21:20:08.07" personId="{E861602E-0D12-4F35-BC5F-1DF48A5BE610}" id="{749C4758-6DB7-422E-AF7E-D8075A2BBAD1}">
    <text xml:space="preserve">pg. 156 of 1912 Mineral Report
</text>
  </threadedComment>
  <threadedComment ref="N4" dT="2022-07-01T22:11:38.58" personId="{E861602E-0D12-4F35-BC5F-1DF48A5BE610}" id="{CCC7E699-2952-4823-A001-7282DBB3C5F2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ext>
  </threadedComment>
  <threadedComment ref="O4" dT="2022-07-01T22:13:52.19" personId="{E861602E-0D12-4F35-BC5F-1DF48A5BE610}" id="{BAE6AC50-C4DF-4C64-94ED-7ADEFB1B171F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B7C9A24F00@163</text>
  </threadedComment>
  <threadedComment ref="S4" dT="2022-07-01T21:20:08.07" personId="{E861602E-0D12-4F35-BC5F-1DF48A5BE610}" id="{CE6C11F4-1E35-4F58-8832-73A479C80A27}">
    <text xml:space="preserve">pg. 156 of 1912 Mineral Report
</text>
  </threadedComment>
  <threadedComment ref="T24" dT="2022-07-01T22:45:24.79" personId="{E861602E-0D12-4F35-BC5F-1DF48A5BE610}" id="{8FCDE582-FAAE-41E4-8F3C-E06AB4251C29}">
    <text>https://infoweb-newsbank-com.yale.idm.oclc.org/iw-search/we/Digital/?p_product=SERIAL&amp;p_theme=sset2&amp;p_nbid=F55A5BETMTY1NjcxNDgwMy40ODA4MTQ6MToxNToxMzIuMTc0LjI1Mi4xNzE&amp;p_action=doc&amp;p_queryname=1&amp;p_docref=v2:0FD2A62D41CEB699@SERIAL-118769A807055148@-117B8C8512560FB0@72</text>
  </threadedComment>
  <threadedComment ref="T25" dT="2022-07-01T22:45:19.88" personId="{E861602E-0D12-4F35-BC5F-1DF48A5BE610}" id="{6842D629-8B48-4FE4-A753-1759996C2FA2}">
    <text>https://infoweb-newsbank-com.yale.idm.oclc.org/iw-search/we/Digital/?p_product=SERIAL&amp;p_theme=sset2&amp;p_nbid=F55A5BETMTY1NjcxNDgwMy40ODA4MTQ6MToxNToxMzIuMTc0LjI1Mi4xNzE&amp;p_action=doc&amp;p_queryname=1&amp;p_docref=v2:0FD2A62D41CEB699@SERIAL-118769A807055148@-117B8C8512560FB0@72</text>
  </threadedComment>
  <threadedComment ref="Q26" dT="2022-07-01T22:21:24.79" personId="{E861602E-0D12-4F35-BC5F-1DF48A5BE610}" id="{ED987AED-2D57-4D7C-95FC-B94C8A3FAB46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S26" dT="2022-07-01T22:21:31.25" personId="{E861602E-0D12-4F35-BC5F-1DF48A5BE610}" id="{2966380F-ECBB-4310-9F0B-C9DB0BD2013B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T26" dT="2022-07-01T22:21:56.00" personId="{E861602E-0D12-4F35-BC5F-1DF48A5BE610}" id="{FC6DD227-B676-4B36-8614-3906D8EA7C9D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2-07-01T21:38:10.66" personId="{E861602E-0D12-4F35-BC5F-1DF48A5BE610}" id="{98D40054-33A3-4203-82DB-38B3C804A92A}">
    <text>page 95 of https://babel.hathitrust.org/cgi/pt?id=mdp.39015067087679&amp;view=1up&amp;seq=99&amp;skin=2021</text>
  </threadedComment>
  <threadedComment ref="C1" dT="2022-07-01T21:40:22.30" personId="{E861602E-0D12-4F35-BC5F-1DF48A5BE610}" id="{BEC43165-16B1-4985-9F8C-C21D1EDE1C58}">
    <text>page 95 of https://babel.hathitrust.org/cgi/pt?id=mdp.39015067087679&amp;view=1up&amp;seq=99&amp;skin=2021</text>
  </threadedComment>
  <threadedComment ref="J2" dT="2022-07-01T21:38:10.66" personId="{E861602E-0D12-4F35-BC5F-1DF48A5BE610}" id="{1613FBEC-AE71-4D80-9D21-86C66C25AADD}">
    <text>page 95 of https://babel.hathitrust.org/cgi/pt?id=mdp.39015067087679&amp;view=1up&amp;seq=99&amp;skin=2021</text>
  </threadedComment>
  <threadedComment ref="K2" dT="2022-07-01T21:40:22.30" personId="{E861602E-0D12-4F35-BC5F-1DF48A5BE610}" id="{2D2BE6F1-BB25-40EA-B25D-6B4A15CC68E5}">
    <text>page 95 of https://babel.hathitrust.org/cgi/pt?id=mdp.39015067087679&amp;view=1up&amp;seq=99&amp;skin=2021</text>
  </threadedComment>
  <threadedComment ref="I15" dT="2022-07-04T01:13:48.71" personId="{E861602E-0D12-4F35-BC5F-1DF48A5BE610}" id="{A30A439E-B144-4927-9C71-B65DACDF1B35}">
    <text>page 75: https://infoweb-newsbank-com.yale.idm.oclc.org/iw-search/we/Digital/?p_product=SERIAL&amp;p_theme=sset2&amp;p_nbid=G48D4CCEMTY1Njg5NzAwNy43ODQ5NTk6MToxNToxMzIuMTc0LjI1Mi4xNzE&amp;p_action=doc&amp;p_queryname=1&amp;p_docref=v2:0FD2A62D41CEB699@SERIAL-117FAA2C39E0B620@-117B02231DC8EC78@74</text>
  </threadedComment>
  <threadedComment ref="I19" dT="2022-07-04T01:09:31.27" personId="{E861602E-0D12-4F35-BC5F-1DF48A5BE610}" id="{BADB7AD6-8457-41DD-9161-4174E07E6098}">
    <text>page 165: https://infoweb-newsbank-com.yale.idm.oclc.org/iw-search/we/Digital/?p_product=SERIAL&amp;p_theme=sset2&amp;p_nbid=F52D56JOMTY1Njg5NjYwOC43MzU3MDM6MToxNToxMzIuMTc0LjI1Mi4xNzE&amp;p_action=doc&amp;p_queryname=1&amp;p_docref=v2:0FD2A62D41CEB699@SERIAL-11932539E3C9BA58@-117EAABAA14C5A60@164</text>
  </threadedComment>
  <threadedComment ref="D23" dT="2022-07-01T22:24:32.07" personId="{E861602E-0D12-4F35-BC5F-1DF48A5BE610}" id="{0D8AEF1B-3C5A-4A63-81E5-6606B959D964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E23" dT="2022-07-01T22:24:41.99" personId="{E861602E-0D12-4F35-BC5F-1DF48A5BE610}" id="{74FA6F6B-DA6C-4E8B-987B-8BF23AB27EC1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F23" dT="2022-07-01T22:25:25.48" personId="{E861602E-0D12-4F35-BC5F-1DF48A5BE610}" id="{CC5554FB-3F72-4A22-A8E5-13A8A0636017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D24" dT="2022-07-01T22:28:30.69" personId="{E861602E-0D12-4F35-BC5F-1DF48A5BE610}" id="{34266D57-8178-42AF-B967-60243EABC15C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E24" dT="2022-07-01T22:28:50.25" personId="{E861602E-0D12-4F35-BC5F-1DF48A5BE610}" id="{891AE6E4-1C6E-474E-BC6C-B80127FB5722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F24" dT="2022-07-01T22:28:58.56" personId="{E861602E-0D12-4F35-BC5F-1DF48A5BE610}" id="{077080CA-AC4D-4E2F-BAA9-287136D0D872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G24" dT="2022-07-01T22:25:25.48" personId="{E861602E-0D12-4F35-BC5F-1DF48A5BE610}" id="{AE132E21-03D0-4E95-B0D0-3841EE55EC06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M24" dT="2022-07-01T22:24:32.07" personId="{E861602E-0D12-4F35-BC5F-1DF48A5BE610}" id="{8E262088-78FB-4B67-BE61-66E5C395EE10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N24" dT="2022-07-01T22:24:41.99" personId="{E861602E-0D12-4F35-BC5F-1DF48A5BE610}" id="{EBCA01E1-1BBF-4414-B6AD-8ED46DC100B4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O24" dT="2022-07-01T22:25:25.48" personId="{E861602E-0D12-4F35-BC5F-1DF48A5BE610}" id="{CEC3E6AD-70EC-4E2B-9CF6-F24704D8806E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924BC7A000@150</text>
  </threadedComment>
  <threadedComment ref="E25" dT="2022-07-01T22:28:30.69" personId="{E861602E-0D12-4F35-BC5F-1DF48A5BE610}" id="{2662D6B0-31D7-4765-9FE5-20A1AE5D88BA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F25" dT="2022-07-01T22:28:50.25" personId="{E861602E-0D12-4F35-BC5F-1DF48A5BE610}" id="{86EBDE50-7EB8-497E-9159-B6F52EEED8F4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G25" dT="2022-07-01T22:28:58.56" personId="{E861602E-0D12-4F35-BC5F-1DF48A5BE610}" id="{4F0B1DDB-F8E6-4303-BF2E-33E82A6A450E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M25" dT="2022-07-01T22:28:30.69" personId="{E861602E-0D12-4F35-BC5F-1DF48A5BE610}" id="{D508E2E3-EE57-4F61-94B3-3BB5C6A279E2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N25" dT="2022-07-01T22:28:50.25" personId="{E861602E-0D12-4F35-BC5F-1DF48A5BE610}" id="{953897DB-6A3B-4B33-B581-12BC39B9349C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O25" dT="2022-07-01T22:28:58.56" personId="{E861602E-0D12-4F35-BC5F-1DF48A5BE610}" id="{CB81BA52-2ED5-460F-870B-675461352A25}">
    <text>https://infoweb-newsbank-com.yale.idm.oclc.org/iw-search/we/Digital/?p_product=SERIAL&amp;p_theme=sset2&amp;p_nbid=U4BA51SJMTY1NjcxMjg5My42NTc0NjY6MToxNToxMzIuMTc0LjI1Mi4xNzE&amp;p_action=doc&amp;p_queryname=1&amp;p_docref=v2:0FD2A62D41CEB699@SERIAL-11932539E3C9BA58@-117EAA94326CB4E8@151</text>
  </threadedComment>
  <threadedComment ref="E36" dT="2022-06-30T12:41:09.48" personId="{E861602E-0D12-4F35-BC5F-1DF48A5BE610}" id="{B34A6321-D5AF-4F7A-A7D7-E6140F3DAC94}">
    <text>mineral resources report, US geological survey, pg. 36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showGridLines="0" tabSelected="1" topLeftCell="A11" workbookViewId="0">
      <selection activeCell="F4" sqref="F4:F24"/>
    </sheetView>
  </sheetViews>
  <sheetFormatPr defaultRowHeight="15" outlineLevelRow="2"/>
  <cols>
    <col min="1" max="1" width="6.5703125" customWidth="1"/>
    <col min="2" max="2" width="12.42578125" customWidth="1"/>
    <col min="3" max="3" width="11.7109375" customWidth="1"/>
    <col min="4" max="5" width="14.7109375" customWidth="1"/>
    <col min="6" max="6" width="12.42578125" customWidth="1"/>
    <col min="7" max="7" width="12.7109375" customWidth="1"/>
    <col min="8" max="8" width="14.5703125" customWidth="1"/>
    <col min="9" max="9" width="11.5703125" customWidth="1"/>
    <col min="10" max="10" width="19.42578125" customWidth="1"/>
    <col min="12" max="12" width="5.140625" bestFit="1" customWidth="1"/>
  </cols>
  <sheetData>
    <row r="1" spans="1:25" ht="23.25" customHeight="1">
      <c r="A1" s="1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"/>
      <c r="L1" s="1"/>
    </row>
    <row r="2" spans="1:25">
      <c r="A2" s="14">
        <v>1890</v>
      </c>
      <c r="B2" s="33"/>
      <c r="C2" s="41">
        <v>1.26</v>
      </c>
      <c r="D2" s="33"/>
      <c r="E2" s="33"/>
      <c r="F2" s="33"/>
      <c r="G2" s="33"/>
      <c r="H2" s="33"/>
      <c r="I2" s="41"/>
      <c r="J2" s="14"/>
      <c r="K2" s="1"/>
      <c r="L2" s="1"/>
    </row>
    <row r="3" spans="1:25" ht="15" customHeight="1" outlineLevel="2">
      <c r="A3" s="14">
        <f>A2+1</f>
        <v>1891</v>
      </c>
      <c r="B3" s="33"/>
      <c r="C3" s="41">
        <v>1.05</v>
      </c>
      <c r="D3" s="33"/>
      <c r="E3" s="33"/>
      <c r="F3" s="33"/>
      <c r="G3" s="33"/>
      <c r="H3" s="33"/>
      <c r="I3" s="41"/>
      <c r="J3" s="14"/>
      <c r="K3" s="1"/>
      <c r="L3" s="1"/>
    </row>
    <row r="4" spans="1:25" ht="15" customHeight="1" outlineLevel="2">
      <c r="A4" s="14">
        <f t="shared" ref="A4:A24" si="0">A3+1</f>
        <v>1892</v>
      </c>
      <c r="B4" s="33">
        <v>0.8</v>
      </c>
      <c r="C4" s="41">
        <v>1.2</v>
      </c>
      <c r="D4" s="33">
        <f t="shared" ref="D3:D24" si="1">SUM(B4:C4)</f>
        <v>2</v>
      </c>
      <c r="E4" s="33">
        <f t="shared" ref="E3:E23" si="2">(0.8/80)*125</f>
        <v>1.25</v>
      </c>
      <c r="F4" s="33">
        <f>D4+E4</f>
        <v>3.25</v>
      </c>
      <c r="G4" s="33">
        <f t="shared" ref="G3:G24" si="3">(B4/80)*300</f>
        <v>3</v>
      </c>
      <c r="H4" s="33">
        <f t="shared" ref="H3:H24" si="4">SUM(B4+C4+G4)</f>
        <v>5</v>
      </c>
      <c r="I4" s="41"/>
      <c r="J4" s="14"/>
      <c r="K4" s="1"/>
      <c r="L4" s="1"/>
    </row>
    <row r="5" spans="1:25" ht="15" customHeight="1" outlineLevel="2">
      <c r="A5" s="14">
        <f t="shared" si="0"/>
        <v>1893</v>
      </c>
      <c r="B5" s="33">
        <v>0.8</v>
      </c>
      <c r="C5" s="41">
        <v>0.88</v>
      </c>
      <c r="D5" s="33">
        <f t="shared" si="1"/>
        <v>1.6800000000000002</v>
      </c>
      <c r="E5" s="33">
        <f t="shared" si="2"/>
        <v>1.25</v>
      </c>
      <c r="F5" s="33">
        <f t="shared" ref="F5:F24" si="5">D5+E5</f>
        <v>2.93</v>
      </c>
      <c r="G5" s="33">
        <f t="shared" si="3"/>
        <v>3</v>
      </c>
      <c r="H5" s="33">
        <f t="shared" si="4"/>
        <v>4.68</v>
      </c>
      <c r="I5" s="41">
        <v>3</v>
      </c>
      <c r="J5" s="14"/>
      <c r="K5" s="1"/>
      <c r="L5" s="1"/>
    </row>
    <row r="6" spans="1:25" ht="15" customHeight="1" outlineLevel="2">
      <c r="A6" s="14">
        <f t="shared" si="0"/>
        <v>1894</v>
      </c>
      <c r="B6" s="33">
        <v>0.8</v>
      </c>
      <c r="C6" s="41">
        <v>0.79</v>
      </c>
      <c r="D6" s="33">
        <f t="shared" si="1"/>
        <v>1.59</v>
      </c>
      <c r="E6" s="33">
        <f t="shared" si="2"/>
        <v>1.25</v>
      </c>
      <c r="F6" s="33">
        <f t="shared" si="5"/>
        <v>2.84</v>
      </c>
      <c r="G6" s="33">
        <f t="shared" si="3"/>
        <v>3</v>
      </c>
      <c r="H6" s="33">
        <f t="shared" si="4"/>
        <v>4.59</v>
      </c>
      <c r="I6" s="41">
        <v>2.35</v>
      </c>
      <c r="J6" s="14"/>
      <c r="K6" s="1"/>
      <c r="L6" s="1"/>
    </row>
    <row r="7" spans="1:25" outlineLevel="1">
      <c r="A7" s="14">
        <f t="shared" si="0"/>
        <v>1895</v>
      </c>
      <c r="B7" s="33">
        <v>0.8</v>
      </c>
      <c r="C7" s="41">
        <v>0.96</v>
      </c>
      <c r="D7" s="33">
        <f t="shared" si="1"/>
        <v>1.76</v>
      </c>
      <c r="E7" s="33">
        <f>(0.8/100)*125</f>
        <v>1</v>
      </c>
      <c r="F7" s="33">
        <f t="shared" si="5"/>
        <v>2.76</v>
      </c>
      <c r="G7" s="33">
        <f t="shared" si="3"/>
        <v>3</v>
      </c>
      <c r="H7" s="33">
        <f t="shared" si="4"/>
        <v>4.76</v>
      </c>
      <c r="I7" s="41">
        <v>2.15</v>
      </c>
      <c r="J7" s="33">
        <v>1.9</v>
      </c>
      <c r="K7" s="1"/>
      <c r="L7" s="1"/>
      <c r="M7" s="14"/>
      <c r="N7" s="33"/>
      <c r="O7" s="33"/>
      <c r="P7" s="33"/>
      <c r="Q7" s="33"/>
      <c r="R7" s="15"/>
      <c r="S7" s="15"/>
      <c r="T7" s="1"/>
      <c r="U7" s="1"/>
      <c r="V7" s="3"/>
      <c r="W7" s="3"/>
      <c r="X7" s="2"/>
      <c r="Y7" s="1"/>
    </row>
    <row r="8" spans="1:25" ht="15" customHeight="1" outlineLevel="2">
      <c r="A8" s="14">
        <f t="shared" si="0"/>
        <v>1896</v>
      </c>
      <c r="B8" s="33">
        <v>0.8</v>
      </c>
      <c r="C8" s="41">
        <v>0.91</v>
      </c>
      <c r="D8" s="33">
        <f t="shared" si="1"/>
        <v>1.71</v>
      </c>
      <c r="E8" s="33">
        <f t="shared" ref="E8:E24" si="6">(0.8/100)*125</f>
        <v>1</v>
      </c>
      <c r="F8" s="33">
        <f t="shared" si="5"/>
        <v>2.71</v>
      </c>
      <c r="G8" s="33">
        <f t="shared" si="3"/>
        <v>3</v>
      </c>
      <c r="H8" s="33">
        <f t="shared" si="4"/>
        <v>4.71</v>
      </c>
      <c r="I8" s="41">
        <v>3.5</v>
      </c>
      <c r="J8" s="33">
        <v>2.25</v>
      </c>
      <c r="K8" s="1"/>
      <c r="L8" s="1"/>
      <c r="M8" s="14"/>
      <c r="N8" s="33"/>
      <c r="O8" s="33"/>
      <c r="P8" s="33"/>
      <c r="Q8" s="33"/>
      <c r="R8" s="15"/>
      <c r="S8" s="15"/>
      <c r="T8" s="1"/>
      <c r="U8" s="1"/>
      <c r="V8" s="4"/>
      <c r="W8" s="4"/>
      <c r="X8" s="5"/>
      <c r="Y8" s="4"/>
    </row>
    <row r="9" spans="1:25" ht="15" customHeight="1" outlineLevel="2">
      <c r="A9" s="14">
        <f t="shared" si="0"/>
        <v>1897</v>
      </c>
      <c r="B9" s="33">
        <v>0.8</v>
      </c>
      <c r="C9" s="41">
        <v>0.63</v>
      </c>
      <c r="D9" s="33">
        <f t="shared" si="1"/>
        <v>1.4300000000000002</v>
      </c>
      <c r="E9" s="33">
        <f t="shared" si="6"/>
        <v>1</v>
      </c>
      <c r="F9" s="33">
        <f t="shared" si="5"/>
        <v>2.4300000000000002</v>
      </c>
      <c r="G9" s="33">
        <f t="shared" si="3"/>
        <v>3</v>
      </c>
      <c r="H9" s="33">
        <f t="shared" si="4"/>
        <v>4.43</v>
      </c>
      <c r="I9" s="41">
        <v>2.25</v>
      </c>
      <c r="J9" s="33">
        <v>1.9</v>
      </c>
      <c r="K9" s="1"/>
      <c r="L9" s="1"/>
      <c r="M9" s="14"/>
      <c r="N9" s="33"/>
      <c r="O9" s="33"/>
      <c r="P9" s="33"/>
      <c r="Q9" s="33"/>
      <c r="R9" s="15"/>
      <c r="S9" s="36"/>
      <c r="T9" s="1"/>
      <c r="U9" s="1"/>
      <c r="V9" s="4"/>
      <c r="W9" s="4"/>
      <c r="X9" s="5"/>
      <c r="Y9" s="4"/>
    </row>
    <row r="10" spans="1:25" ht="15" customHeight="1" outlineLevel="2">
      <c r="A10" s="14">
        <f t="shared" si="0"/>
        <v>1898</v>
      </c>
      <c r="B10" s="33">
        <v>0.8</v>
      </c>
      <c r="C10" s="41">
        <v>0.61</v>
      </c>
      <c r="D10" s="33">
        <f t="shared" si="1"/>
        <v>1.4100000000000001</v>
      </c>
      <c r="E10" s="33">
        <f t="shared" si="6"/>
        <v>1</v>
      </c>
      <c r="F10" s="33">
        <f t="shared" si="5"/>
        <v>2.41</v>
      </c>
      <c r="G10" s="33">
        <f t="shared" si="3"/>
        <v>3</v>
      </c>
      <c r="H10" s="33">
        <f t="shared" si="4"/>
        <v>4.41</v>
      </c>
      <c r="I10" s="41">
        <v>2.25</v>
      </c>
      <c r="J10" s="33">
        <v>1.75</v>
      </c>
      <c r="K10" s="1"/>
      <c r="L10" s="1"/>
      <c r="M10" s="14"/>
      <c r="N10" s="33"/>
      <c r="O10" s="33"/>
      <c r="P10" s="33"/>
      <c r="Q10" s="33"/>
      <c r="R10" s="15"/>
      <c r="S10" s="15"/>
      <c r="T10" s="1"/>
      <c r="U10" s="1"/>
      <c r="V10" s="4"/>
      <c r="W10" s="4"/>
      <c r="X10" s="5"/>
      <c r="Y10" s="4"/>
    </row>
    <row r="11" spans="1:25" ht="15" customHeight="1" outlineLevel="2">
      <c r="A11" s="14">
        <f t="shared" si="0"/>
        <v>1899</v>
      </c>
      <c r="B11" s="33">
        <v>0.8</v>
      </c>
      <c r="C11" s="41">
        <v>0.95</v>
      </c>
      <c r="D11" s="33">
        <f t="shared" si="1"/>
        <v>1.75</v>
      </c>
      <c r="E11" s="33">
        <f t="shared" si="6"/>
        <v>1</v>
      </c>
      <c r="F11" s="33">
        <f t="shared" si="5"/>
        <v>2.75</v>
      </c>
      <c r="G11" s="33">
        <f t="shared" si="3"/>
        <v>3</v>
      </c>
      <c r="H11" s="33">
        <f t="shared" si="4"/>
        <v>4.75</v>
      </c>
      <c r="I11" s="41">
        <v>2.4</v>
      </c>
      <c r="J11" s="33">
        <v>2</v>
      </c>
      <c r="K11" s="1"/>
      <c r="L11" s="1"/>
      <c r="M11" s="14"/>
      <c r="N11" s="33"/>
      <c r="O11" s="33"/>
      <c r="P11" s="33"/>
      <c r="Q11" s="33"/>
      <c r="R11" s="33"/>
      <c r="S11" s="33"/>
      <c r="T11" s="1"/>
      <c r="U11" s="1"/>
      <c r="V11" s="4"/>
      <c r="W11" s="4"/>
      <c r="X11" s="5"/>
      <c r="Y11" s="4"/>
    </row>
    <row r="12" spans="1:25">
      <c r="A12" s="14">
        <f t="shared" si="0"/>
        <v>1900</v>
      </c>
      <c r="B12" s="33">
        <v>0.8</v>
      </c>
      <c r="C12" s="41">
        <v>1.05</v>
      </c>
      <c r="D12" s="33">
        <f t="shared" si="1"/>
        <v>1.85</v>
      </c>
      <c r="E12" s="33">
        <f t="shared" si="6"/>
        <v>1</v>
      </c>
      <c r="F12" s="33">
        <f t="shared" si="5"/>
        <v>2.85</v>
      </c>
      <c r="G12" s="33">
        <f t="shared" si="3"/>
        <v>3</v>
      </c>
      <c r="H12" s="33">
        <f t="shared" si="4"/>
        <v>4.8499999999999996</v>
      </c>
      <c r="I12" s="41">
        <v>4.5</v>
      </c>
      <c r="J12" s="33">
        <v>4</v>
      </c>
      <c r="K12" s="1"/>
      <c r="L12" s="1"/>
      <c r="M12" s="14"/>
      <c r="N12" s="33"/>
      <c r="O12" s="33"/>
      <c r="P12" s="33"/>
      <c r="Q12" s="33"/>
      <c r="R12" s="33"/>
      <c r="S12" s="33"/>
      <c r="T12" s="1"/>
      <c r="U12" s="1"/>
      <c r="V12" s="4"/>
      <c r="W12" s="4"/>
      <c r="X12" s="4"/>
      <c r="Y12" s="4"/>
    </row>
    <row r="13" spans="1:25" ht="15" customHeight="1" outlineLevel="2">
      <c r="A13" s="14">
        <f t="shared" si="0"/>
        <v>1901</v>
      </c>
      <c r="B13" s="33">
        <v>0.8</v>
      </c>
      <c r="C13" s="41">
        <v>0.84</v>
      </c>
      <c r="D13" s="33">
        <f t="shared" si="1"/>
        <v>1.6400000000000001</v>
      </c>
      <c r="E13" s="33">
        <f t="shared" si="6"/>
        <v>1</v>
      </c>
      <c r="F13" s="33">
        <f t="shared" si="5"/>
        <v>2.64</v>
      </c>
      <c r="G13" s="33">
        <f t="shared" si="3"/>
        <v>3</v>
      </c>
      <c r="H13" s="33">
        <f t="shared" si="4"/>
        <v>4.6400000000000006</v>
      </c>
      <c r="I13" s="41">
        <v>3.25</v>
      </c>
      <c r="J13" s="33">
        <v>2.75</v>
      </c>
      <c r="K13" s="1"/>
      <c r="L13" s="1"/>
      <c r="M13" s="14"/>
      <c r="N13" s="14"/>
      <c r="O13" s="14"/>
      <c r="P13" s="14"/>
      <c r="Q13" s="14"/>
      <c r="R13" s="14"/>
      <c r="S13" s="14"/>
      <c r="T13" s="1"/>
      <c r="U13" s="1"/>
      <c r="V13" s="1"/>
      <c r="W13" s="1"/>
      <c r="X13" s="1"/>
      <c r="Y13" s="1"/>
    </row>
    <row r="14" spans="1:25" ht="15" customHeight="1" outlineLevel="2">
      <c r="A14" s="14">
        <f t="shared" si="0"/>
        <v>1902</v>
      </c>
      <c r="B14" s="33">
        <v>0.8</v>
      </c>
      <c r="C14" s="41">
        <v>0.76</v>
      </c>
      <c r="D14" s="33">
        <f t="shared" si="1"/>
        <v>1.56</v>
      </c>
      <c r="E14" s="33">
        <f t="shared" si="6"/>
        <v>1</v>
      </c>
      <c r="F14" s="33">
        <f t="shared" si="5"/>
        <v>2.56</v>
      </c>
      <c r="G14" s="33">
        <f t="shared" si="3"/>
        <v>3</v>
      </c>
      <c r="H14" s="33">
        <f t="shared" si="4"/>
        <v>4.5600000000000005</v>
      </c>
      <c r="I14" s="41">
        <v>3.25</v>
      </c>
      <c r="J14" s="33">
        <v>2.75</v>
      </c>
      <c r="K14" s="1"/>
      <c r="L14" s="1"/>
      <c r="M14" s="43"/>
      <c r="N14" s="43"/>
      <c r="O14" s="43"/>
      <c r="P14" s="43"/>
      <c r="Q14" s="43"/>
      <c r="R14" s="43"/>
      <c r="S14" s="14"/>
      <c r="T14" s="1"/>
      <c r="U14" s="1"/>
    </row>
    <row r="15" spans="1:25" ht="15" customHeight="1" outlineLevel="2">
      <c r="A15" s="14">
        <f t="shared" si="0"/>
        <v>1903</v>
      </c>
      <c r="B15" s="33">
        <v>0.8</v>
      </c>
      <c r="C15" s="41">
        <v>0.83</v>
      </c>
      <c r="D15" s="33">
        <f t="shared" si="1"/>
        <v>1.63</v>
      </c>
      <c r="E15" s="33">
        <f t="shared" si="6"/>
        <v>1</v>
      </c>
      <c r="F15" s="33">
        <f t="shared" si="5"/>
        <v>2.63</v>
      </c>
      <c r="G15" s="33">
        <f t="shared" si="3"/>
        <v>3</v>
      </c>
      <c r="H15" s="33">
        <f t="shared" si="4"/>
        <v>4.63</v>
      </c>
      <c r="I15" s="41">
        <v>4</v>
      </c>
      <c r="J15" s="33">
        <v>3.2</v>
      </c>
      <c r="K15" s="1"/>
      <c r="L15" s="1"/>
    </row>
    <row r="16" spans="1:25" ht="15" customHeight="1" outlineLevel="2">
      <c r="A16" s="14">
        <f t="shared" si="0"/>
        <v>1904</v>
      </c>
      <c r="B16" s="33">
        <v>0.8</v>
      </c>
      <c r="C16" s="41">
        <v>0.7</v>
      </c>
      <c r="D16" s="33">
        <f t="shared" si="1"/>
        <v>1.5</v>
      </c>
      <c r="E16" s="33">
        <f t="shared" si="6"/>
        <v>1</v>
      </c>
      <c r="F16" s="33">
        <f t="shared" si="5"/>
        <v>2.5</v>
      </c>
      <c r="G16" s="33">
        <f t="shared" si="3"/>
        <v>3</v>
      </c>
      <c r="H16" s="33">
        <f t="shared" si="4"/>
        <v>4.5</v>
      </c>
      <c r="I16" s="41">
        <v>3</v>
      </c>
      <c r="J16" s="33">
        <v>2.5</v>
      </c>
      <c r="K16" s="1"/>
      <c r="L16" s="1"/>
    </row>
    <row r="17" spans="1:12" outlineLevel="1">
      <c r="A17" s="14">
        <f t="shared" si="0"/>
        <v>1905</v>
      </c>
      <c r="B17" s="33">
        <v>0.8</v>
      </c>
      <c r="C17" s="41">
        <v>0.76</v>
      </c>
      <c r="D17" s="33">
        <f t="shared" si="1"/>
        <v>1.56</v>
      </c>
      <c r="E17" s="33">
        <f t="shared" si="6"/>
        <v>1</v>
      </c>
      <c r="F17" s="33">
        <f t="shared" si="5"/>
        <v>2.56</v>
      </c>
      <c r="G17" s="33">
        <f t="shared" si="3"/>
        <v>3</v>
      </c>
      <c r="H17" s="33">
        <f t="shared" si="4"/>
        <v>4.5600000000000005</v>
      </c>
      <c r="I17" s="41">
        <v>3.5</v>
      </c>
      <c r="J17" s="42">
        <v>3</v>
      </c>
      <c r="K17" s="1"/>
      <c r="L17" s="1"/>
    </row>
    <row r="18" spans="1:12" ht="15" customHeight="1" outlineLevel="2">
      <c r="A18" s="14">
        <f t="shared" si="0"/>
        <v>1906</v>
      </c>
      <c r="B18" s="33">
        <v>0.8</v>
      </c>
      <c r="C18" s="41">
        <v>0.75</v>
      </c>
      <c r="D18" s="33">
        <f t="shared" si="1"/>
        <v>1.55</v>
      </c>
      <c r="E18" s="33">
        <f t="shared" si="6"/>
        <v>1</v>
      </c>
      <c r="F18" s="33">
        <f t="shared" si="5"/>
        <v>2.5499999999999998</v>
      </c>
      <c r="G18" s="33">
        <f t="shared" si="3"/>
        <v>3</v>
      </c>
      <c r="H18" s="33">
        <f t="shared" si="4"/>
        <v>4.55</v>
      </c>
      <c r="I18" s="41">
        <v>4</v>
      </c>
      <c r="J18" s="33">
        <v>3.5</v>
      </c>
      <c r="K18" s="1"/>
      <c r="L18" s="1"/>
    </row>
    <row r="19" spans="1:12" ht="15" customHeight="1" outlineLevel="2">
      <c r="A19" s="14">
        <f t="shared" si="0"/>
        <v>1907</v>
      </c>
      <c r="B19" s="33">
        <v>0.8</v>
      </c>
      <c r="C19" s="41">
        <v>0.75</v>
      </c>
      <c r="D19" s="33">
        <f t="shared" si="1"/>
        <v>1.55</v>
      </c>
      <c r="E19" s="33">
        <f t="shared" si="6"/>
        <v>1</v>
      </c>
      <c r="F19" s="33">
        <f t="shared" si="5"/>
        <v>2.5499999999999998</v>
      </c>
      <c r="G19" s="33">
        <f t="shared" si="3"/>
        <v>3</v>
      </c>
      <c r="H19" s="33">
        <f t="shared" si="4"/>
        <v>4.55</v>
      </c>
      <c r="I19" s="41">
        <v>4.75</v>
      </c>
      <c r="J19" s="33">
        <v>4</v>
      </c>
      <c r="K19" s="1"/>
      <c r="L19" s="1"/>
    </row>
    <row r="20" spans="1:12" ht="15" customHeight="1" outlineLevel="2">
      <c r="A20" s="14">
        <f t="shared" si="0"/>
        <v>1908</v>
      </c>
      <c r="B20" s="33">
        <v>0.8</v>
      </c>
      <c r="C20" s="41">
        <v>0.65</v>
      </c>
      <c r="D20" s="33">
        <f t="shared" si="1"/>
        <v>1.4500000000000002</v>
      </c>
      <c r="E20" s="33">
        <f t="shared" si="6"/>
        <v>1</v>
      </c>
      <c r="F20" s="33">
        <f t="shared" si="5"/>
        <v>2.4500000000000002</v>
      </c>
      <c r="G20" s="33">
        <f t="shared" si="3"/>
        <v>3</v>
      </c>
      <c r="H20" s="33">
        <f t="shared" si="4"/>
        <v>4.45</v>
      </c>
      <c r="I20" s="41">
        <v>4.25</v>
      </c>
      <c r="J20" s="33">
        <v>3.5</v>
      </c>
      <c r="K20" s="1"/>
      <c r="L20" s="1"/>
    </row>
    <row r="21" spans="1:12" ht="15" customHeight="1" outlineLevel="2">
      <c r="A21" s="14">
        <f t="shared" si="0"/>
        <v>1909</v>
      </c>
      <c r="B21" s="33">
        <v>0.8</v>
      </c>
      <c r="C21" s="41">
        <v>0.65</v>
      </c>
      <c r="D21" s="33">
        <f t="shared" si="1"/>
        <v>1.4500000000000002</v>
      </c>
      <c r="E21" s="33">
        <f t="shared" si="6"/>
        <v>1</v>
      </c>
      <c r="F21" s="33">
        <f t="shared" si="5"/>
        <v>2.4500000000000002</v>
      </c>
      <c r="G21" s="33">
        <f t="shared" si="3"/>
        <v>3</v>
      </c>
      <c r="H21" s="33">
        <f t="shared" si="4"/>
        <v>4.45</v>
      </c>
      <c r="I21" s="41">
        <v>4.25</v>
      </c>
      <c r="J21" s="33">
        <v>3.5</v>
      </c>
      <c r="K21" s="1"/>
      <c r="L21" s="1"/>
    </row>
    <row r="22" spans="1:12" outlineLevel="1">
      <c r="A22" s="14">
        <f t="shared" si="0"/>
        <v>1910</v>
      </c>
      <c r="B22" s="33">
        <v>0.8</v>
      </c>
      <c r="C22" s="41">
        <v>0.7</v>
      </c>
      <c r="D22" s="33">
        <f t="shared" si="1"/>
        <v>1.5</v>
      </c>
      <c r="E22" s="33">
        <f t="shared" si="6"/>
        <v>1</v>
      </c>
      <c r="F22" s="33">
        <f t="shared" si="5"/>
        <v>2.5</v>
      </c>
      <c r="G22" s="33">
        <f t="shared" si="3"/>
        <v>3</v>
      </c>
      <c r="H22" s="33">
        <f t="shared" si="4"/>
        <v>4.5</v>
      </c>
      <c r="I22" s="41">
        <v>4.75</v>
      </c>
      <c r="J22" s="33">
        <v>4</v>
      </c>
      <c r="K22" s="1"/>
      <c r="L22" s="1"/>
    </row>
    <row r="23" spans="1:12" outlineLevel="1">
      <c r="A23" s="14">
        <f t="shared" si="0"/>
        <v>1911</v>
      </c>
      <c r="B23" s="41">
        <v>0.8</v>
      </c>
      <c r="C23" s="41">
        <v>0.6</v>
      </c>
      <c r="D23" s="33">
        <f t="shared" si="1"/>
        <v>1.4</v>
      </c>
      <c r="E23" s="33">
        <f t="shared" si="6"/>
        <v>1</v>
      </c>
      <c r="F23" s="33">
        <f t="shared" si="5"/>
        <v>2.4</v>
      </c>
      <c r="G23" s="33">
        <f t="shared" si="3"/>
        <v>3</v>
      </c>
      <c r="H23" s="33">
        <f t="shared" si="4"/>
        <v>4.4000000000000004</v>
      </c>
      <c r="I23" s="41">
        <v>4.25</v>
      </c>
      <c r="J23" s="33">
        <v>3.5</v>
      </c>
      <c r="K23" s="1"/>
      <c r="L23" s="1"/>
    </row>
    <row r="24" spans="1:12" outlineLevel="1">
      <c r="A24" s="14">
        <f t="shared" si="0"/>
        <v>1912</v>
      </c>
      <c r="B24" s="41">
        <v>0.6</v>
      </c>
      <c r="C24" s="41">
        <v>0.5</v>
      </c>
      <c r="D24" s="33">
        <f t="shared" si="1"/>
        <v>1.1000000000000001</v>
      </c>
      <c r="E24" s="33">
        <f>(B24/100)*100</f>
        <v>0.6</v>
      </c>
      <c r="F24" s="33">
        <f t="shared" si="5"/>
        <v>1.7000000000000002</v>
      </c>
      <c r="G24" s="33">
        <f t="shared" si="3"/>
        <v>2.25</v>
      </c>
      <c r="H24" s="33">
        <f t="shared" si="4"/>
        <v>3.35</v>
      </c>
      <c r="I24" s="41">
        <v>3.5</v>
      </c>
      <c r="J24" s="33">
        <v>2.85</v>
      </c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4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J27" s="1"/>
    </row>
  </sheetData>
  <mergeCells count="2">
    <mergeCell ref="M14:O14"/>
    <mergeCell ref="P14:R1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1037-9006-4B37-86D1-44A0F27E9756}">
  <dimension ref="A1:T28"/>
  <sheetViews>
    <sheetView showGridLines="0" topLeftCell="B1" workbookViewId="0">
      <selection activeCell="G3" sqref="G3"/>
    </sheetView>
  </sheetViews>
  <sheetFormatPr defaultRowHeight="15"/>
  <cols>
    <col min="1" max="1" width="6.42578125" customWidth="1"/>
    <col min="2" max="2" width="8.28515625" bestFit="1" customWidth="1"/>
    <col min="3" max="3" width="7.5703125" customWidth="1"/>
    <col min="4" max="4" width="8.28515625" bestFit="1" customWidth="1"/>
    <col min="5" max="5" width="8.42578125" customWidth="1"/>
    <col min="6" max="6" width="8.28515625" bestFit="1" customWidth="1"/>
    <col min="7" max="7" width="9" customWidth="1"/>
    <col min="8" max="8" width="10.140625" customWidth="1"/>
    <col min="9" max="10" width="9.28515625" bestFit="1" customWidth="1"/>
  </cols>
  <sheetData>
    <row r="1" spans="1:20" ht="22.5" customHeight="1">
      <c r="A1" s="14" t="s">
        <v>0</v>
      </c>
      <c r="B1" s="15" t="s">
        <v>10</v>
      </c>
      <c r="C1" s="15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3"/>
    </row>
    <row r="2" spans="1:20">
      <c r="A2" s="17">
        <v>1890</v>
      </c>
      <c r="B2" s="18">
        <v>0</v>
      </c>
      <c r="C2" s="18">
        <v>891.91</v>
      </c>
      <c r="D2" s="18">
        <v>892</v>
      </c>
      <c r="E2" s="18">
        <v>0</v>
      </c>
      <c r="F2" s="20">
        <v>16036.043</v>
      </c>
      <c r="G2" s="21">
        <f>D2/F2</f>
        <v>5.5624694945006076E-2</v>
      </c>
      <c r="H2" s="13"/>
    </row>
    <row r="3" spans="1:20">
      <c r="A3" s="17">
        <v>1891</v>
      </c>
      <c r="B3" s="18">
        <v>0</v>
      </c>
      <c r="C3" s="18">
        <v>945.10500000000002</v>
      </c>
      <c r="D3" s="18">
        <v>945</v>
      </c>
      <c r="E3" s="22">
        <f>(D3/D2) -1</f>
        <v>5.94170403587444E-2</v>
      </c>
      <c r="F3" s="23">
        <v>14591.178</v>
      </c>
      <c r="G3" s="21">
        <f t="shared" ref="G3:G20" si="0">D3/F3</f>
        <v>6.4765161524312845E-2</v>
      </c>
      <c r="H3" s="16"/>
      <c r="I3" s="10"/>
    </row>
    <row r="4" spans="1:20">
      <c r="A4" s="17">
        <f>A3+1</f>
        <v>1892</v>
      </c>
      <c r="B4" s="18">
        <v>29.245000000000001</v>
      </c>
      <c r="C4" s="18">
        <v>1226.22</v>
      </c>
      <c r="D4" s="18">
        <v>1255</v>
      </c>
      <c r="E4" s="22">
        <f t="shared" ref="E4:E24" si="1">(D4/D3) -1</f>
        <v>0.32804232804232814</v>
      </c>
      <c r="F4" s="23">
        <v>16296.665999999999</v>
      </c>
      <c r="G4" s="21">
        <f t="shared" si="0"/>
        <v>7.7009616568198672E-2</v>
      </c>
      <c r="H4" s="20"/>
      <c r="I4" s="10"/>
      <c r="M4" s="14"/>
      <c r="N4" s="15"/>
      <c r="O4" s="15"/>
      <c r="P4" s="16"/>
      <c r="Q4" s="16"/>
      <c r="R4" s="16"/>
      <c r="S4" s="16"/>
      <c r="T4" s="16"/>
    </row>
    <row r="5" spans="1:20">
      <c r="A5" s="17">
        <f t="shared" ref="A5:A22" si="2">A4+1</f>
        <v>1893</v>
      </c>
      <c r="B5" s="18">
        <v>684.19399999999996</v>
      </c>
      <c r="C5" s="18">
        <v>815.73500000000001</v>
      </c>
      <c r="D5" s="18">
        <v>1500</v>
      </c>
      <c r="E5" s="22">
        <f t="shared" si="1"/>
        <v>0.19521912350597614</v>
      </c>
      <c r="F5" s="23">
        <v>11587.629000000001</v>
      </c>
      <c r="G5" s="21">
        <f t="shared" si="0"/>
        <v>0.12944839707933348</v>
      </c>
      <c r="H5" s="34"/>
      <c r="I5" s="10"/>
      <c r="M5" s="17"/>
      <c r="N5" s="18"/>
      <c r="O5" s="18"/>
      <c r="P5" s="19"/>
      <c r="Q5" s="18"/>
      <c r="R5" s="18"/>
      <c r="S5" s="20"/>
      <c r="T5" s="21"/>
    </row>
    <row r="6" spans="1:20">
      <c r="A6" s="17">
        <f t="shared" si="2"/>
        <v>1894</v>
      </c>
      <c r="B6" s="18">
        <v>1913.2339999999999</v>
      </c>
      <c r="C6" s="18">
        <v>1055.229</v>
      </c>
      <c r="D6" s="18">
        <v>2968</v>
      </c>
      <c r="E6" s="22">
        <f t="shared" si="1"/>
        <v>0.97866666666666657</v>
      </c>
      <c r="F6" s="23">
        <v>11879.679</v>
      </c>
      <c r="G6" s="21">
        <f t="shared" si="0"/>
        <v>0.24983840051570416</v>
      </c>
      <c r="H6" s="21"/>
      <c r="I6" s="10"/>
      <c r="M6" s="17"/>
      <c r="N6" s="18"/>
      <c r="O6" s="18"/>
      <c r="P6" s="19"/>
      <c r="Q6" s="18"/>
      <c r="R6" s="22"/>
      <c r="S6" s="23"/>
      <c r="T6" s="21"/>
    </row>
    <row r="7" spans="1:20">
      <c r="A7" s="17">
        <f t="shared" si="2"/>
        <v>1895</v>
      </c>
      <c r="B7" s="18">
        <v>2839.35</v>
      </c>
      <c r="C7" s="18">
        <v>1027.1030000000001</v>
      </c>
      <c r="D7" s="18">
        <v>3866</v>
      </c>
      <c r="E7" s="22">
        <f t="shared" si="1"/>
        <v>0.30256064690026951</v>
      </c>
      <c r="F7" s="23">
        <v>15957.614</v>
      </c>
      <c r="G7" s="21">
        <f t="shared" si="0"/>
        <v>0.24226679502336629</v>
      </c>
      <c r="H7" s="21"/>
      <c r="I7" s="11"/>
      <c r="M7" s="17"/>
      <c r="N7" s="18"/>
      <c r="O7" s="18"/>
      <c r="P7" s="19"/>
      <c r="Q7" s="18"/>
      <c r="R7" s="22"/>
      <c r="S7" s="23"/>
      <c r="T7" s="21"/>
    </row>
    <row r="8" spans="1:20">
      <c r="A8" s="17">
        <f t="shared" si="2"/>
        <v>1896</v>
      </c>
      <c r="B8" s="18">
        <v>3082.973</v>
      </c>
      <c r="C8" s="18">
        <v>1200.9069999999999</v>
      </c>
      <c r="D8" s="18">
        <v>4284</v>
      </c>
      <c r="E8" s="22">
        <f t="shared" si="1"/>
        <v>0.10812209001551998</v>
      </c>
      <c r="F8" s="23">
        <v>16005.449000000001</v>
      </c>
      <c r="G8" s="21">
        <f t="shared" si="0"/>
        <v>0.26765884543445173</v>
      </c>
      <c r="H8" s="21"/>
      <c r="I8" s="10"/>
      <c r="M8" s="17"/>
      <c r="N8" s="18"/>
      <c r="O8" s="18"/>
      <c r="P8" s="19"/>
      <c r="Q8" s="18"/>
      <c r="R8" s="22"/>
      <c r="S8" s="23"/>
      <c r="T8" s="21"/>
    </row>
    <row r="9" spans="1:20">
      <c r="A9" s="17">
        <f t="shared" si="2"/>
        <v>1897</v>
      </c>
      <c r="B9" s="18">
        <v>4220.1509999999998</v>
      </c>
      <c r="C9" s="18">
        <v>1381.278</v>
      </c>
      <c r="D9" s="18">
        <v>5601</v>
      </c>
      <c r="E9" s="22">
        <f t="shared" si="1"/>
        <v>0.30742296918767509</v>
      </c>
      <c r="F9" s="23">
        <v>17518.045999999998</v>
      </c>
      <c r="G9" s="21">
        <f t="shared" si="0"/>
        <v>0.31972743992109626</v>
      </c>
      <c r="H9" s="21"/>
      <c r="I9" s="10"/>
      <c r="M9" s="17"/>
      <c r="N9" s="18"/>
      <c r="O9" s="18"/>
      <c r="P9" s="18"/>
      <c r="Q9" s="18"/>
      <c r="R9" s="22"/>
      <c r="S9" s="23"/>
      <c r="T9" s="21"/>
    </row>
    <row r="10" spans="1:20">
      <c r="A10" s="17">
        <f t="shared" si="2"/>
        <v>1898</v>
      </c>
      <c r="B10" s="18">
        <v>4837.9709999999995</v>
      </c>
      <c r="C10" s="18">
        <v>1125.538</v>
      </c>
      <c r="D10" s="18">
        <v>5964</v>
      </c>
      <c r="E10" s="22">
        <f t="shared" si="1"/>
        <v>6.4809855382967241E-2</v>
      </c>
      <c r="F10" s="23">
        <v>19433.716</v>
      </c>
      <c r="G10" s="21">
        <f t="shared" si="0"/>
        <v>0.30688932574706762</v>
      </c>
      <c r="H10" s="21"/>
      <c r="I10" s="10"/>
      <c r="M10" s="17"/>
      <c r="N10" s="18"/>
      <c r="O10" s="18"/>
      <c r="P10" s="24"/>
      <c r="Q10" s="18"/>
      <c r="R10" s="22"/>
      <c r="S10" s="23"/>
      <c r="T10" s="21"/>
    </row>
    <row r="11" spans="1:20">
      <c r="A11" s="17">
        <f t="shared" si="2"/>
        <v>1899</v>
      </c>
      <c r="B11" s="18">
        <v>6517.3050000000003</v>
      </c>
      <c r="C11" s="18">
        <v>1643.9839999999999</v>
      </c>
      <c r="D11" s="18">
        <v>8161</v>
      </c>
      <c r="E11" s="22">
        <f t="shared" si="1"/>
        <v>0.36837692823608315</v>
      </c>
      <c r="F11" s="23">
        <v>24683.172999999999</v>
      </c>
      <c r="G11" s="21">
        <f t="shared" si="0"/>
        <v>0.3306301017296277</v>
      </c>
      <c r="H11" s="21"/>
      <c r="I11" s="10"/>
      <c r="M11" s="17"/>
      <c r="N11" s="18"/>
      <c r="O11" s="18"/>
      <c r="P11" s="24"/>
      <c r="Q11" s="18"/>
      <c r="R11" s="22"/>
      <c r="S11" s="23"/>
      <c r="T11" s="21"/>
    </row>
    <row r="12" spans="1:20">
      <c r="A12" s="17">
        <f t="shared" si="2"/>
        <v>1900</v>
      </c>
      <c r="B12" s="18">
        <v>8158.45</v>
      </c>
      <c r="C12" s="18">
        <v>1675.9490000000001</v>
      </c>
      <c r="D12" s="18">
        <v>9834</v>
      </c>
      <c r="E12" s="22">
        <f t="shared" si="1"/>
        <v>0.20499938732998402</v>
      </c>
      <c r="F12" s="23">
        <v>27553.161</v>
      </c>
      <c r="G12" s="21">
        <f t="shared" si="0"/>
        <v>0.35691004745335753</v>
      </c>
      <c r="H12" s="21"/>
      <c r="I12" s="10"/>
      <c r="M12" s="17"/>
      <c r="N12" s="18"/>
      <c r="O12" s="18"/>
      <c r="P12" s="24"/>
      <c r="Q12" s="18"/>
      <c r="R12" s="22"/>
      <c r="S12" s="23"/>
      <c r="T12" s="21"/>
    </row>
    <row r="13" spans="1:20">
      <c r="A13" s="17">
        <f t="shared" si="2"/>
        <v>1901</v>
      </c>
      <c r="B13" s="18">
        <v>9303.5409999999993</v>
      </c>
      <c r="C13" s="18">
        <v>1805.9960000000001</v>
      </c>
      <c r="D13" s="18">
        <v>11110</v>
      </c>
      <c r="E13" s="22">
        <f t="shared" si="1"/>
        <v>0.12975391498881428</v>
      </c>
      <c r="F13" s="23">
        <v>28887.478999999999</v>
      </c>
      <c r="G13" s="21">
        <f t="shared" si="0"/>
        <v>0.38459569282594719</v>
      </c>
      <c r="H13" s="21"/>
      <c r="I13" s="10"/>
      <c r="M13" s="17"/>
      <c r="N13" s="18"/>
      <c r="O13" s="18"/>
      <c r="P13" s="24"/>
      <c r="Q13" s="18"/>
      <c r="R13" s="22"/>
      <c r="S13" s="23"/>
      <c r="T13" s="21"/>
    </row>
    <row r="14" spans="1:20">
      <c r="A14" s="17">
        <f t="shared" si="2"/>
        <v>1902</v>
      </c>
      <c r="B14" s="18">
        <v>13080.118</v>
      </c>
      <c r="C14" s="18">
        <v>2057.5320000000002</v>
      </c>
      <c r="D14" s="18">
        <v>15138</v>
      </c>
      <c r="E14" s="22">
        <f t="shared" si="1"/>
        <v>0.3625562556255626</v>
      </c>
      <c r="F14" s="23">
        <v>35554.135000000002</v>
      </c>
      <c r="G14" s="21">
        <f t="shared" si="0"/>
        <v>0.42577326097231727</v>
      </c>
      <c r="H14" s="21"/>
      <c r="I14" s="10"/>
      <c r="M14" s="17"/>
      <c r="N14" s="18"/>
      <c r="O14" s="18"/>
      <c r="P14" s="24"/>
      <c r="Q14" s="18"/>
      <c r="R14" s="22"/>
      <c r="S14" s="23"/>
      <c r="T14" s="21"/>
    </row>
    <row r="15" spans="1:20">
      <c r="A15" s="17">
        <f t="shared" si="2"/>
        <v>1903</v>
      </c>
      <c r="B15" s="18">
        <v>13452.812</v>
      </c>
      <c r="C15" s="18">
        <v>1918.5840000000001</v>
      </c>
      <c r="D15" s="18">
        <v>15371</v>
      </c>
      <c r="E15" s="22">
        <f t="shared" si="1"/>
        <v>1.5391729422645106E-2</v>
      </c>
      <c r="F15" s="23">
        <v>35019.307999999997</v>
      </c>
      <c r="G15" s="21">
        <f t="shared" si="0"/>
        <v>0.43892929009333942</v>
      </c>
      <c r="H15" s="21"/>
      <c r="I15" s="10"/>
      <c r="M15" s="17"/>
      <c r="N15" s="18"/>
      <c r="O15" s="18"/>
      <c r="P15" s="24"/>
      <c r="Q15" s="18"/>
      <c r="R15" s="22"/>
      <c r="S15" s="23"/>
      <c r="T15" s="21"/>
    </row>
    <row r="16" spans="1:20">
      <c r="A16" s="17">
        <f t="shared" si="2"/>
        <v>1904</v>
      </c>
      <c r="B16" s="18">
        <v>11672.405000000001</v>
      </c>
      <c r="C16" s="18">
        <v>1056.43</v>
      </c>
      <c r="D16" s="18">
        <v>12729</v>
      </c>
      <c r="E16" s="38">
        <f t="shared" si="1"/>
        <v>-0.17188211567236999</v>
      </c>
      <c r="F16" s="23">
        <v>27644.33</v>
      </c>
      <c r="G16" s="21">
        <f t="shared" si="0"/>
        <v>0.46045608629328327</v>
      </c>
      <c r="H16" s="21"/>
      <c r="I16" s="10"/>
      <c r="M16" s="17"/>
      <c r="N16" s="18"/>
      <c r="O16" s="18"/>
      <c r="P16" s="24"/>
      <c r="Q16" s="18"/>
      <c r="R16" s="22"/>
      <c r="S16" s="23"/>
      <c r="T16" s="21"/>
    </row>
    <row r="17" spans="1:20">
      <c r="A17" s="17">
        <f t="shared" si="2"/>
        <v>1905</v>
      </c>
      <c r="B17" s="18">
        <v>20156.565999999999</v>
      </c>
      <c r="C17" s="18">
        <v>1578.626</v>
      </c>
      <c r="D17" s="18">
        <v>21735</v>
      </c>
      <c r="E17" s="22">
        <f t="shared" si="1"/>
        <v>0.70751826537827012</v>
      </c>
      <c r="F17" s="23">
        <v>42526.133000000002</v>
      </c>
      <c r="G17" s="21">
        <f t="shared" si="0"/>
        <v>0.51109749386336156</v>
      </c>
      <c r="H17" s="21"/>
      <c r="I17" s="10"/>
      <c r="M17" s="17"/>
      <c r="N17" s="18"/>
      <c r="O17" s="18"/>
      <c r="P17" s="24"/>
      <c r="Q17" s="18"/>
      <c r="R17" s="22"/>
      <c r="S17" s="23"/>
      <c r="T17" s="21"/>
    </row>
    <row r="18" spans="1:20">
      <c r="A18" s="17">
        <f t="shared" si="2"/>
        <v>1906</v>
      </c>
      <c r="B18" s="18">
        <v>23564.891</v>
      </c>
      <c r="C18" s="18">
        <v>1794.2170000000001</v>
      </c>
      <c r="D18" s="18">
        <v>25364</v>
      </c>
      <c r="E18" s="22">
        <f t="shared" si="1"/>
        <v>0.16696572348746264</v>
      </c>
      <c r="F18" s="23">
        <v>47749.728000000003</v>
      </c>
      <c r="G18" s="21">
        <f t="shared" si="0"/>
        <v>0.53118627188829215</v>
      </c>
      <c r="H18" s="21"/>
      <c r="I18" s="10"/>
      <c r="M18" s="17"/>
      <c r="N18" s="18"/>
      <c r="O18" s="18"/>
      <c r="P18" s="24"/>
      <c r="Q18" s="18"/>
      <c r="R18" s="22"/>
      <c r="S18" s="23"/>
      <c r="T18" s="21"/>
    </row>
    <row r="19" spans="1:20">
      <c r="A19" s="17">
        <f t="shared" si="2"/>
        <v>1907</v>
      </c>
      <c r="B19" s="18">
        <v>27245.440999999999</v>
      </c>
      <c r="C19" s="18">
        <v>1724.2170000000001</v>
      </c>
      <c r="D19" s="18">
        <v>28970</v>
      </c>
      <c r="E19" s="22">
        <f t="shared" si="1"/>
        <v>0.14217000473111496</v>
      </c>
      <c r="F19" s="23">
        <v>51720.618999999999</v>
      </c>
      <c r="G19" s="21">
        <f t="shared" si="0"/>
        <v>0.56012477344867051</v>
      </c>
      <c r="H19" s="21"/>
      <c r="I19" s="10"/>
      <c r="M19" s="17"/>
      <c r="N19" s="18"/>
      <c r="O19" s="18"/>
      <c r="P19" s="24"/>
      <c r="Q19" s="18"/>
      <c r="R19" s="22"/>
      <c r="S19" s="23"/>
      <c r="T19" s="21"/>
    </row>
    <row r="20" spans="1:20">
      <c r="A20" s="17">
        <f t="shared" si="2"/>
        <v>1908</v>
      </c>
      <c r="B20" s="18">
        <v>17725.013999999999</v>
      </c>
      <c r="C20" s="18">
        <v>927.20600000000002</v>
      </c>
      <c r="D20" s="18">
        <v>18652</v>
      </c>
      <c r="E20" s="38">
        <f t="shared" si="1"/>
        <v>-0.35616154642733866</v>
      </c>
      <c r="F20" s="23">
        <v>35983.336000000003</v>
      </c>
      <c r="G20" s="21">
        <f t="shared" si="0"/>
        <v>0.51835105005272442</v>
      </c>
      <c r="H20" s="21"/>
      <c r="I20" s="10"/>
      <c r="M20" s="17"/>
      <c r="N20" s="18"/>
      <c r="O20" s="18"/>
      <c r="P20" s="24"/>
      <c r="Q20" s="18"/>
      <c r="R20" s="22"/>
      <c r="S20" s="23"/>
      <c r="T20" s="21"/>
    </row>
    <row r="21" spans="1:20">
      <c r="A21" s="17">
        <f t="shared" si="2"/>
        <v>1909</v>
      </c>
      <c r="B21" s="18">
        <v>27877.705000000002</v>
      </c>
      <c r="C21" s="18">
        <v>1097.444</v>
      </c>
      <c r="D21" s="18">
        <v>28975</v>
      </c>
      <c r="E21" s="22">
        <f t="shared" si="1"/>
        <v>0.55345271284580733</v>
      </c>
      <c r="F21" s="23">
        <v>51294.271000000001</v>
      </c>
      <c r="G21" s="21">
        <v>0.56640000000000001</v>
      </c>
      <c r="H21" s="21"/>
      <c r="I21" s="10"/>
      <c r="M21" s="17"/>
      <c r="N21" s="18"/>
      <c r="O21" s="18"/>
      <c r="P21" s="24"/>
      <c r="Q21" s="18"/>
      <c r="R21" s="22"/>
      <c r="S21" s="23"/>
      <c r="T21" s="21"/>
    </row>
    <row r="22" spans="1:20">
      <c r="A22" s="17">
        <f t="shared" si="2"/>
        <v>1910</v>
      </c>
      <c r="B22" s="18">
        <v>30576.409</v>
      </c>
      <c r="C22" s="18">
        <v>1390.36</v>
      </c>
      <c r="D22" s="18">
        <v>31967</v>
      </c>
      <c r="E22" s="22">
        <f t="shared" si="1"/>
        <v>0.10326143226919759</v>
      </c>
      <c r="F22" s="23">
        <v>57014.906000000003</v>
      </c>
      <c r="G22" s="21">
        <v>0.56189999999999996</v>
      </c>
      <c r="H22" s="21"/>
      <c r="I22" s="10"/>
      <c r="M22" s="17"/>
      <c r="N22" s="18"/>
      <c r="O22" s="18"/>
      <c r="P22" s="24"/>
      <c r="Q22" s="18"/>
      <c r="R22" s="22"/>
      <c r="S22" s="23"/>
      <c r="T22" s="21"/>
    </row>
    <row r="23" spans="1:20">
      <c r="A23" s="14">
        <v>1911</v>
      </c>
      <c r="B23" s="35">
        <v>23126.942999999999</v>
      </c>
      <c r="C23" s="35">
        <v>1336.9380000000001</v>
      </c>
      <c r="D23" s="35">
        <v>24645.105</v>
      </c>
      <c r="E23" s="38">
        <f t="shared" si="1"/>
        <v>-0.22904542184127386</v>
      </c>
      <c r="F23" s="35">
        <v>43876.552000000003</v>
      </c>
      <c r="G23" s="21">
        <v>0.56169999999999998</v>
      </c>
      <c r="H23" s="21"/>
      <c r="I23" s="9"/>
      <c r="M23" s="17"/>
      <c r="N23" s="18"/>
      <c r="O23" s="18"/>
      <c r="P23" s="24"/>
      <c r="Q23" s="18"/>
      <c r="R23" s="22"/>
      <c r="S23" s="23"/>
      <c r="T23" s="21"/>
    </row>
    <row r="24" spans="1:20">
      <c r="A24" s="14">
        <v>1912</v>
      </c>
      <c r="B24" s="35">
        <v>32604.756000000001</v>
      </c>
      <c r="C24" s="35">
        <v>1457.2729999999999</v>
      </c>
      <c r="D24" s="35">
        <v>34431.767999999996</v>
      </c>
      <c r="E24" s="22">
        <f t="shared" si="1"/>
        <v>0.39710372506020963</v>
      </c>
      <c r="F24" s="35">
        <v>55150.146999999997</v>
      </c>
      <c r="G24" s="21">
        <v>0.62429999999999997</v>
      </c>
      <c r="H24" s="21"/>
      <c r="I24" s="10"/>
      <c r="M24" s="17"/>
      <c r="N24" s="18"/>
      <c r="O24" s="18"/>
      <c r="P24" s="24"/>
      <c r="Q24" s="18"/>
      <c r="R24" s="22"/>
      <c r="S24" s="23"/>
      <c r="T24" s="21"/>
    </row>
    <row r="25" spans="1:20">
      <c r="B25" s="25"/>
      <c r="C25" s="9"/>
      <c r="D25" s="10"/>
      <c r="E25" s="23"/>
      <c r="F25" s="22"/>
      <c r="G25" s="23"/>
      <c r="H25" s="21"/>
      <c r="I25" s="12"/>
      <c r="M25" s="17"/>
      <c r="N25" s="18"/>
      <c r="O25" s="18"/>
      <c r="P25" s="24"/>
      <c r="Q25" s="18"/>
      <c r="R25" s="22"/>
      <c r="S25" s="23"/>
      <c r="T25" s="21"/>
    </row>
    <row r="26" spans="1:20">
      <c r="B26" s="25"/>
      <c r="C26" s="9"/>
      <c r="D26" s="10"/>
      <c r="E26" s="23"/>
      <c r="F26" s="22"/>
      <c r="G26" s="23"/>
      <c r="H26" s="21"/>
      <c r="I26" s="10"/>
      <c r="M26" s="25"/>
      <c r="N26" s="9"/>
      <c r="O26" s="9"/>
      <c r="P26" s="10"/>
      <c r="Q26" s="23"/>
      <c r="R26" s="22"/>
      <c r="S26" s="23"/>
      <c r="T26" s="21"/>
    </row>
    <row r="27" spans="1:20">
      <c r="B27" s="9"/>
      <c r="C27" s="10"/>
      <c r="D27" s="10"/>
      <c r="E27" s="10"/>
      <c r="F27" s="10"/>
      <c r="G27" s="10"/>
      <c r="H27" s="10"/>
      <c r="I27" s="10"/>
      <c r="M27" s="25"/>
      <c r="N27" s="9"/>
      <c r="O27" s="9"/>
      <c r="P27" s="10"/>
      <c r="Q27" s="23"/>
      <c r="R27" s="22"/>
      <c r="S27" s="23"/>
      <c r="T27" s="21"/>
    </row>
    <row r="28" spans="1:20">
      <c r="B28" s="10"/>
      <c r="C28" s="10"/>
      <c r="D28" s="10"/>
      <c r="E28" s="10"/>
      <c r="F28" s="10"/>
      <c r="G28" s="10"/>
      <c r="H28" s="10"/>
      <c r="I28" s="1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017B-E3DB-4288-9576-BE7F47DBEBE3}">
  <dimension ref="A1:O47"/>
  <sheetViews>
    <sheetView showGridLines="0" topLeftCell="B1" workbookViewId="0">
      <selection activeCell="E4" sqref="E4"/>
    </sheetView>
  </sheetViews>
  <sheetFormatPr defaultRowHeight="15"/>
  <cols>
    <col min="2" max="2" width="11.140625" customWidth="1"/>
    <col min="3" max="3" width="14.140625" customWidth="1"/>
    <col min="4" max="4" width="12.140625" customWidth="1"/>
    <col min="5" max="5" width="9" customWidth="1"/>
    <col min="6" max="6" width="8.28515625" bestFit="1" customWidth="1"/>
    <col min="7" max="7" width="9.140625" customWidth="1"/>
    <col min="8" max="8" width="11.140625" bestFit="1" customWidth="1"/>
    <col min="9" max="9" width="14" customWidth="1"/>
  </cols>
  <sheetData>
    <row r="1" spans="1:15" ht="26.25" customHeight="1">
      <c r="A1" s="14" t="s">
        <v>0</v>
      </c>
      <c r="B1" s="28" t="s">
        <v>16</v>
      </c>
      <c r="C1" s="28" t="s">
        <v>17</v>
      </c>
      <c r="D1" s="29" t="s">
        <v>18</v>
      </c>
      <c r="E1" s="16" t="s">
        <v>14</v>
      </c>
      <c r="F1" s="16" t="s">
        <v>19</v>
      </c>
      <c r="G1" s="1"/>
      <c r="H1" s="14" t="s">
        <v>20</v>
      </c>
      <c r="I1" s="37" t="s">
        <v>21</v>
      </c>
    </row>
    <row r="2" spans="1:15">
      <c r="A2" s="17">
        <v>1890</v>
      </c>
      <c r="B2" s="26">
        <v>0</v>
      </c>
      <c r="C2" s="26">
        <v>880.01400000000001</v>
      </c>
      <c r="D2" s="23"/>
      <c r="E2" s="9"/>
      <c r="F2" s="10"/>
      <c r="G2" s="16"/>
      <c r="I2" s="14"/>
      <c r="J2" s="28"/>
      <c r="K2" s="28"/>
      <c r="L2" s="29"/>
      <c r="M2" s="29"/>
      <c r="N2" s="16"/>
      <c r="O2" s="16"/>
    </row>
    <row r="3" spans="1:15">
      <c r="A3" s="17">
        <f>A2+1</f>
        <v>1891</v>
      </c>
      <c r="B3" s="26">
        <v>0</v>
      </c>
      <c r="C3" s="26">
        <v>894.61800000000005</v>
      </c>
      <c r="D3" s="23"/>
      <c r="E3" s="9" t="s">
        <v>22</v>
      </c>
      <c r="F3" s="10"/>
      <c r="G3" s="10"/>
      <c r="I3" s="17"/>
      <c r="J3" s="26"/>
      <c r="K3" s="26"/>
      <c r="L3" s="27"/>
      <c r="M3" s="23"/>
      <c r="N3" s="9"/>
      <c r="O3" s="10"/>
    </row>
    <row r="4" spans="1:15">
      <c r="A4" s="17">
        <f t="shared" ref="A4:A22" si="0">A3+1</f>
        <v>1892</v>
      </c>
      <c r="B4" s="26">
        <v>4.2450000000000001</v>
      </c>
      <c r="C4" s="26">
        <v>1167.6500000000001</v>
      </c>
      <c r="D4" s="23"/>
      <c r="E4" s="9"/>
      <c r="F4" s="10"/>
      <c r="G4" s="10"/>
      <c r="I4" s="17"/>
      <c r="J4" s="26"/>
      <c r="K4" s="26"/>
      <c r="L4" s="27"/>
      <c r="M4" s="23"/>
      <c r="N4" s="9"/>
      <c r="O4" s="10"/>
    </row>
    <row r="5" spans="1:15">
      <c r="A5" s="17">
        <f t="shared" si="0"/>
        <v>1893</v>
      </c>
      <c r="B5" s="26">
        <v>613.62</v>
      </c>
      <c r="C5" s="26">
        <v>820.62099999999998</v>
      </c>
      <c r="D5" s="23"/>
      <c r="E5" s="9"/>
      <c r="F5" s="10"/>
      <c r="G5" s="10"/>
      <c r="I5" s="17"/>
      <c r="J5" s="26"/>
      <c r="K5" s="26"/>
      <c r="L5" s="27"/>
      <c r="M5" s="23"/>
      <c r="N5" s="9"/>
      <c r="O5" s="10"/>
    </row>
    <row r="6" spans="1:15">
      <c r="A6" s="17">
        <f t="shared" si="0"/>
        <v>1894</v>
      </c>
      <c r="B6" s="26">
        <v>1793.0519999999999</v>
      </c>
      <c r="C6" s="26">
        <v>948.51300000000003</v>
      </c>
      <c r="D6" s="23"/>
      <c r="E6" s="9"/>
      <c r="F6" s="10"/>
      <c r="G6" s="10"/>
      <c r="I6" s="17"/>
      <c r="J6" s="26"/>
      <c r="K6" s="26"/>
      <c r="L6" s="27"/>
      <c r="M6" s="23"/>
      <c r="N6" s="9"/>
      <c r="O6" s="10"/>
    </row>
    <row r="7" spans="1:15">
      <c r="A7" s="17">
        <f t="shared" si="0"/>
        <v>1895</v>
      </c>
      <c r="B7" s="26">
        <v>2781.587</v>
      </c>
      <c r="C7" s="26">
        <v>1077.838</v>
      </c>
      <c r="D7" s="23"/>
      <c r="E7" s="9"/>
      <c r="F7" s="10"/>
      <c r="G7" s="10"/>
      <c r="I7" s="17"/>
      <c r="J7" s="26"/>
      <c r="K7" s="26"/>
      <c r="L7" s="27"/>
      <c r="M7" s="23"/>
      <c r="N7" s="9"/>
      <c r="O7" s="10"/>
    </row>
    <row r="8" spans="1:15">
      <c r="A8" s="17">
        <f t="shared" si="0"/>
        <v>1896</v>
      </c>
      <c r="B8" s="26">
        <v>2882.0790000000002</v>
      </c>
      <c r="C8" s="26">
        <v>1088.0899999999999</v>
      </c>
      <c r="D8" s="23"/>
      <c r="E8" s="9"/>
      <c r="F8" s="10"/>
      <c r="G8" s="10"/>
      <c r="I8" s="17"/>
      <c r="J8" s="26"/>
      <c r="K8" s="26"/>
      <c r="L8" s="27"/>
      <c r="M8" s="23"/>
      <c r="N8" s="9"/>
      <c r="O8" s="10"/>
    </row>
    <row r="9" spans="1:15">
      <c r="A9" s="17">
        <f t="shared" si="0"/>
        <v>1897</v>
      </c>
      <c r="B9" s="26">
        <v>4275.8090000000002</v>
      </c>
      <c r="C9" s="26">
        <v>1278.481</v>
      </c>
      <c r="D9" s="23"/>
      <c r="E9" s="9"/>
      <c r="F9" s="10"/>
      <c r="G9" s="10"/>
      <c r="I9" s="17"/>
      <c r="J9" s="26"/>
      <c r="K9" s="26"/>
      <c r="L9" s="27"/>
      <c r="M9" s="23"/>
      <c r="N9" s="9"/>
      <c r="O9" s="10"/>
    </row>
    <row r="10" spans="1:15">
      <c r="A10" s="17">
        <f t="shared" si="0"/>
        <v>1898</v>
      </c>
      <c r="B10" s="26">
        <v>4613.7659999999996</v>
      </c>
      <c r="C10" s="26">
        <v>1265.1420000000001</v>
      </c>
      <c r="D10" s="23"/>
      <c r="E10" s="9"/>
      <c r="F10" s="10" t="s">
        <v>23</v>
      </c>
      <c r="G10" s="10"/>
      <c r="I10" s="17"/>
      <c r="J10" s="26"/>
      <c r="K10" s="26"/>
      <c r="L10" s="27"/>
      <c r="M10" s="23"/>
      <c r="N10" s="9"/>
      <c r="O10" s="10"/>
    </row>
    <row r="11" spans="1:15">
      <c r="A11" s="17">
        <f t="shared" si="0"/>
        <v>1899</v>
      </c>
      <c r="B11" s="26">
        <v>6614.3829999999998</v>
      </c>
      <c r="C11" s="26">
        <v>1771.502</v>
      </c>
      <c r="D11" s="23"/>
      <c r="E11" s="9"/>
      <c r="F11" s="10"/>
      <c r="G11" s="10"/>
      <c r="I11" s="17"/>
      <c r="J11" s="26"/>
      <c r="K11" s="26"/>
      <c r="L11" s="27"/>
      <c r="M11" s="23"/>
      <c r="N11" s="9"/>
      <c r="O11" s="10"/>
    </row>
    <row r="12" spans="1:15">
      <c r="A12" s="17">
        <f t="shared" si="0"/>
        <v>1900</v>
      </c>
      <c r="B12" s="26">
        <v>7809.5349999999999</v>
      </c>
      <c r="C12" s="26">
        <v>1655.82</v>
      </c>
      <c r="D12" s="23"/>
      <c r="E12" s="9"/>
      <c r="F12" s="10"/>
      <c r="G12" s="10"/>
      <c r="I12" s="17"/>
      <c r="J12" s="26"/>
      <c r="K12" s="26"/>
      <c r="L12" s="27"/>
      <c r="M12" s="23"/>
      <c r="N12" s="9"/>
      <c r="O12" s="10"/>
    </row>
    <row r="13" spans="1:15">
      <c r="A13" s="17">
        <f t="shared" si="0"/>
        <v>1901</v>
      </c>
      <c r="B13" s="26">
        <v>9004.8919999999998</v>
      </c>
      <c r="C13" s="26">
        <v>1786.0630000000001</v>
      </c>
      <c r="D13" s="23"/>
      <c r="E13" s="9"/>
      <c r="F13" s="10"/>
      <c r="G13" s="10"/>
      <c r="I13" s="17"/>
      <c r="J13" s="26"/>
      <c r="K13" s="26"/>
      <c r="L13" s="27"/>
      <c r="M13" s="23"/>
      <c r="N13" s="9"/>
      <c r="O13" s="10"/>
    </row>
    <row r="14" spans="1:15">
      <c r="A14" s="17">
        <f t="shared" si="0"/>
        <v>1902</v>
      </c>
      <c r="B14" s="26">
        <v>13331.025</v>
      </c>
      <c r="C14" s="26">
        <v>2084.2629999999999</v>
      </c>
      <c r="D14" s="23"/>
      <c r="E14" s="9"/>
      <c r="F14" s="10"/>
      <c r="G14" s="10"/>
      <c r="H14" s="9"/>
      <c r="I14" s="18"/>
      <c r="J14" s="26"/>
      <c r="K14" s="26"/>
      <c r="L14" s="27"/>
      <c r="M14" s="23"/>
      <c r="N14" s="9"/>
      <c r="O14" s="10"/>
    </row>
    <row r="15" spans="1:15">
      <c r="A15" s="17">
        <f t="shared" si="0"/>
        <v>1903</v>
      </c>
      <c r="B15" s="26">
        <v>12899.609</v>
      </c>
      <c r="C15" s="26">
        <v>1676.6990000000001</v>
      </c>
      <c r="D15" s="23"/>
      <c r="E15" s="9"/>
      <c r="F15" s="10"/>
      <c r="G15" s="10"/>
      <c r="H15" s="9"/>
      <c r="I15" s="18"/>
      <c r="J15" s="26"/>
      <c r="K15" s="26"/>
      <c r="L15" s="27"/>
      <c r="M15" s="23"/>
      <c r="N15" s="9"/>
      <c r="O15" s="10"/>
    </row>
    <row r="16" spans="1:15">
      <c r="A16" s="17">
        <f t="shared" si="0"/>
        <v>1904</v>
      </c>
      <c r="B16" s="26">
        <v>12155.914000000001</v>
      </c>
      <c r="C16" s="26">
        <v>1282.5129999999999</v>
      </c>
      <c r="D16" s="23"/>
      <c r="E16" s="9"/>
      <c r="F16" s="30"/>
      <c r="G16" s="10"/>
      <c r="H16" s="9"/>
      <c r="I16" s="18"/>
      <c r="J16" s="26"/>
      <c r="K16" s="26"/>
      <c r="L16" s="27"/>
      <c r="M16" s="23"/>
      <c r="N16" s="9"/>
      <c r="O16" s="10"/>
    </row>
    <row r="17" spans="1:15">
      <c r="A17" s="17">
        <f t="shared" si="0"/>
        <v>1905</v>
      </c>
      <c r="B17" s="26">
        <v>20158.651000000002</v>
      </c>
      <c r="C17" s="26">
        <v>1677.1859999999999</v>
      </c>
      <c r="D17" s="23"/>
      <c r="E17" s="9"/>
      <c r="F17" s="10"/>
      <c r="G17" s="30"/>
      <c r="H17" s="9"/>
      <c r="I17" s="18"/>
      <c r="J17" s="26"/>
      <c r="K17" s="26"/>
      <c r="L17" s="27"/>
      <c r="M17" s="23"/>
      <c r="N17" s="9"/>
      <c r="O17" s="30"/>
    </row>
    <row r="18" spans="1:15">
      <c r="A18" s="17">
        <f t="shared" si="0"/>
        <v>1906</v>
      </c>
      <c r="B18" s="26">
        <v>23820.350999999999</v>
      </c>
      <c r="C18" s="26">
        <v>1792.355</v>
      </c>
      <c r="D18" s="23"/>
      <c r="E18" s="9"/>
      <c r="F18" s="10"/>
      <c r="G18" s="10"/>
      <c r="H18" s="9"/>
      <c r="I18" s="18"/>
      <c r="J18" s="26"/>
      <c r="K18" s="26"/>
      <c r="L18" s="27"/>
      <c r="M18" s="23"/>
      <c r="N18" s="9"/>
      <c r="O18" s="10"/>
    </row>
    <row r="19" spans="1:15">
      <c r="A19" s="17">
        <f t="shared" si="0"/>
        <v>1907</v>
      </c>
      <c r="B19" s="26">
        <v>27491.438999999998</v>
      </c>
      <c r="C19" s="26">
        <v>1685.2670000000001</v>
      </c>
      <c r="D19" s="23"/>
      <c r="E19" s="9"/>
      <c r="F19" s="10"/>
      <c r="G19" s="10"/>
      <c r="H19" s="9"/>
      <c r="I19" s="18"/>
      <c r="J19" s="26"/>
      <c r="K19" s="26"/>
      <c r="L19" s="27"/>
      <c r="M19" s="23"/>
      <c r="N19" s="9"/>
      <c r="O19" s="10"/>
    </row>
    <row r="20" spans="1:15">
      <c r="A20" s="17">
        <f t="shared" si="0"/>
        <v>1908</v>
      </c>
      <c r="B20" s="26">
        <v>17258.224999999999</v>
      </c>
      <c r="C20" s="26">
        <v>841.54399999999998</v>
      </c>
      <c r="D20" s="23"/>
      <c r="E20" s="9"/>
      <c r="F20" s="10"/>
      <c r="G20" s="10"/>
      <c r="H20" s="9"/>
      <c r="I20" s="18"/>
      <c r="J20" s="26"/>
      <c r="K20" s="26"/>
      <c r="L20" s="27"/>
      <c r="M20" s="23"/>
      <c r="N20" s="9"/>
      <c r="O20" s="10"/>
    </row>
    <row r="21" spans="1:15">
      <c r="A21" s="17">
        <f t="shared" si="0"/>
        <v>1909</v>
      </c>
      <c r="B21" s="26">
        <v>28176.359</v>
      </c>
      <c r="C21" s="26">
        <v>1108.2149999999999</v>
      </c>
      <c r="D21" s="23"/>
      <c r="E21" s="9"/>
      <c r="F21" s="10"/>
      <c r="G21" s="10"/>
      <c r="H21" s="9"/>
      <c r="I21" s="18"/>
      <c r="J21" s="26"/>
      <c r="K21" s="26"/>
      <c r="L21" s="27"/>
      <c r="M21" s="23"/>
      <c r="N21" s="9"/>
      <c r="O21" s="10"/>
    </row>
    <row r="22" spans="1:15">
      <c r="A22" s="17">
        <f t="shared" si="0"/>
        <v>1910</v>
      </c>
      <c r="B22" s="26">
        <v>29199.418000000001</v>
      </c>
      <c r="C22" s="26">
        <v>1203.1769999999999</v>
      </c>
      <c r="D22" s="23"/>
      <c r="E22" s="9"/>
      <c r="F22" s="10"/>
      <c r="G22" s="10"/>
      <c r="H22" s="9"/>
      <c r="I22" s="18"/>
      <c r="J22" s="26"/>
      <c r="K22" s="26"/>
      <c r="L22" s="27"/>
      <c r="M22" s="23"/>
      <c r="N22" s="9"/>
      <c r="O22" s="10"/>
    </row>
    <row r="23" spans="1:15">
      <c r="A23" s="14">
        <v>1911</v>
      </c>
      <c r="B23" s="26">
        <v>22093.79</v>
      </c>
      <c r="C23" s="26">
        <v>1088.93</v>
      </c>
      <c r="D23" s="35">
        <v>23398.405999999999</v>
      </c>
      <c r="E23" s="35">
        <v>41092.447</v>
      </c>
      <c r="F23" s="39">
        <v>56.94</v>
      </c>
      <c r="G23" s="10"/>
      <c r="H23" s="9"/>
      <c r="I23" s="18"/>
      <c r="J23" s="26"/>
      <c r="K23" s="26"/>
      <c r="L23" s="23"/>
      <c r="M23" s="23"/>
      <c r="N23" s="9"/>
      <c r="O23" s="10"/>
    </row>
    <row r="24" spans="1:15">
      <c r="A24" s="14">
        <v>1912</v>
      </c>
      <c r="B24" s="26">
        <v>32047.86</v>
      </c>
      <c r="C24" s="26">
        <v>1844.981</v>
      </c>
      <c r="D24" s="35">
        <v>34249.813000000002</v>
      </c>
      <c r="E24" s="35">
        <v>57017.614000000001</v>
      </c>
      <c r="F24" s="40">
        <v>0.60070000000000001</v>
      </c>
      <c r="G24" s="10"/>
      <c r="H24" s="9"/>
      <c r="I24" s="23"/>
      <c r="J24" s="26"/>
      <c r="K24" s="26"/>
      <c r="L24" s="23"/>
      <c r="M24" s="23"/>
      <c r="N24" s="9"/>
      <c r="O24" s="10"/>
    </row>
    <row r="25" spans="1:15">
      <c r="B25" s="14"/>
      <c r="C25" s="31"/>
      <c r="D25" s="9"/>
      <c r="E25" s="9"/>
      <c r="F25" s="9"/>
      <c r="G25" s="32"/>
      <c r="I25" s="14"/>
      <c r="J25" s="31"/>
      <c r="K25" s="31"/>
      <c r="L25" s="9"/>
      <c r="M25" s="9"/>
      <c r="N25" s="9"/>
      <c r="O25" s="32"/>
    </row>
    <row r="26" spans="1:15">
      <c r="B26" s="1"/>
      <c r="C26" s="3"/>
      <c r="D26" s="2"/>
      <c r="E26" s="2"/>
    </row>
    <row r="27" spans="1:15">
      <c r="B27" s="1"/>
      <c r="C27" s="6"/>
      <c r="D27" s="7"/>
      <c r="E27" s="6"/>
    </row>
    <row r="28" spans="1:15">
      <c r="B28" s="1"/>
      <c r="C28" s="6"/>
      <c r="D28" s="7"/>
      <c r="E28" s="6"/>
    </row>
    <row r="29" spans="1:15">
      <c r="B29" s="1"/>
      <c r="C29" s="6"/>
      <c r="D29" s="7"/>
      <c r="E29" s="6"/>
    </row>
    <row r="30" spans="1:15">
      <c r="B30" s="1"/>
      <c r="C30" s="6"/>
      <c r="D30" s="7"/>
      <c r="E30" s="6"/>
    </row>
    <row r="31" spans="1:15">
      <c r="B31" s="1"/>
      <c r="C31" s="6"/>
      <c r="D31" s="6"/>
      <c r="E31" s="6"/>
    </row>
    <row r="32" spans="1:15">
      <c r="B32" s="1"/>
      <c r="C32" s="8"/>
      <c r="D32" s="8"/>
      <c r="E32" s="6"/>
    </row>
    <row r="33" spans="2:5">
      <c r="B33" s="1"/>
      <c r="C33" s="8"/>
      <c r="D33" s="8"/>
      <c r="E33" s="6"/>
    </row>
    <row r="34" spans="2:5">
      <c r="B34" s="1"/>
      <c r="C34" s="8"/>
      <c r="D34" s="8"/>
      <c r="E34" s="6"/>
    </row>
    <row r="35" spans="2:5">
      <c r="B35" s="1"/>
      <c r="C35" s="8"/>
      <c r="D35" s="8"/>
      <c r="E35" s="6"/>
    </row>
    <row r="36" spans="2:5">
      <c r="B36" s="1"/>
      <c r="C36" s="8"/>
      <c r="D36" s="8"/>
      <c r="E36" s="6"/>
    </row>
    <row r="37" spans="2:5">
      <c r="B37" s="1"/>
      <c r="C37" s="8"/>
      <c r="D37" s="8"/>
      <c r="E37" s="6"/>
    </row>
    <row r="38" spans="2:5">
      <c r="B38" s="1"/>
      <c r="C38" s="8"/>
      <c r="D38" s="8"/>
      <c r="E38" s="6"/>
    </row>
    <row r="39" spans="2:5">
      <c r="B39" s="1"/>
      <c r="C39" s="8"/>
      <c r="D39" s="8"/>
      <c r="E39" s="6"/>
    </row>
    <row r="40" spans="2:5">
      <c r="B40" s="1"/>
      <c r="C40" s="8"/>
      <c r="D40" s="8"/>
      <c r="E40" s="6"/>
    </row>
    <row r="41" spans="2:5">
      <c r="B41" s="1"/>
      <c r="C41" s="8"/>
      <c r="D41" s="8"/>
      <c r="E41" s="6"/>
    </row>
    <row r="42" spans="2:5">
      <c r="B42" s="1"/>
      <c r="C42" s="8"/>
      <c r="D42" s="8"/>
      <c r="E42" s="6"/>
    </row>
    <row r="43" spans="2:5">
      <c r="B43" s="1"/>
      <c r="C43" s="8"/>
      <c r="D43" s="8"/>
      <c r="E43" s="6"/>
    </row>
    <row r="44" spans="2:5">
      <c r="B44" s="1"/>
      <c r="C44" s="8"/>
      <c r="D44" s="8"/>
      <c r="E44" s="6"/>
    </row>
    <row r="45" spans="2:5">
      <c r="B45" s="1"/>
      <c r="C45" s="8"/>
      <c r="D45" s="8"/>
      <c r="E45" s="6"/>
    </row>
    <row r="46" spans="2:5">
      <c r="B46" s="1"/>
      <c r="C46" s="8"/>
      <c r="D46" s="8"/>
      <c r="E46" s="6"/>
    </row>
    <row r="47" spans="2:5">
      <c r="B47" s="1"/>
      <c r="C47" s="8"/>
      <c r="D47" s="8"/>
      <c r="E47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2022-06-29T22:11:22Z</dcterms:created>
  <dcterms:modified xsi:type="dcterms:W3CDTF">2022-07-06T21:17:02Z</dcterms:modified>
  <cp:category/>
  <cp:contentStatus/>
</cp:coreProperties>
</file>
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\Dropbox\Comparative Advantage\Data\"/>
    </mc:Choice>
  </mc:AlternateContent>
  <xr:revisionPtr revIDLastSave="0" documentId="13_ncr:1_{627341C4-D527-4686-A6E9-E6EA6884A0CA}" xr6:coauthVersionLast="47" xr6:coauthVersionMax="47" xr10:uidLastSave="{00000000-0000-0000-0000-000000000000}"/>
  <bookViews>
    <workbookView xWindow="-110" yWindow="-110" windowWidth="19420" windowHeight="11020" firstSheet="3" activeTab="6" xr2:uid="{00000000-000D-0000-FFFF-FFFF00000000}"/>
  </bookViews>
  <sheets>
    <sheet name="MinorData" sheetId="3" r:id="rId1"/>
    <sheet name="IntData" sheetId="10" r:id="rId2"/>
    <sheet name="MajorData" sheetId="5" r:id="rId3"/>
    <sheet name="CodesIndex" sheetId="2" r:id="rId4"/>
    <sheet name="TotalAndInferredData" sheetId="12" r:id="rId5"/>
    <sheet name="Tables" sheetId="13" r:id="rId6"/>
    <sheet name="ArrangedForR" sheetId="8" r:id="rId7"/>
    <sheet name="CalcScratch" sheetId="7" r:id="rId8"/>
    <sheet name="TableScratch" sheetId="14" r:id="rId9"/>
  </sheets>
  <externalReferences>
    <externalReference r:id="rId10"/>
  </externalReferences>
  <definedNames>
    <definedName name="_xlnm._FilterDatabase" localSheetId="3" hidden="1">[1]Sheet1!$A$2:$B$23</definedName>
    <definedName name="_xlnm.Extract" localSheetId="3">CodesIndex!$B$3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115" i="13" l="1"/>
  <c r="AU115" i="13"/>
  <c r="AR116" i="13"/>
  <c r="AU116" i="13"/>
  <c r="AR117" i="13"/>
  <c r="AU117" i="13"/>
  <c r="AR118" i="13"/>
  <c r="AU118" i="13"/>
  <c r="AR119" i="13"/>
  <c r="AU119" i="13"/>
  <c r="B29" i="8"/>
  <c r="B30" i="8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10" i="12"/>
  <c r="AA2" i="12"/>
  <c r="AA3" i="12"/>
  <c r="AA4" i="12"/>
  <c r="AA1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10" i="12"/>
  <c r="Z2" i="12"/>
  <c r="Z3" i="12"/>
  <c r="Z4" i="12"/>
  <c r="Z1" i="12"/>
  <c r="Y54" i="12"/>
  <c r="Y53" i="12"/>
  <c r="Y52" i="12"/>
  <c r="Y51" i="12"/>
  <c r="Y50" i="12"/>
  <c r="Y49" i="12"/>
  <c r="Y48" i="12"/>
  <c r="Y47" i="12"/>
  <c r="Y46" i="12"/>
  <c r="Y45" i="12"/>
  <c r="Y44" i="12"/>
  <c r="Y43" i="12"/>
  <c r="Y42" i="12"/>
  <c r="Y41" i="12"/>
  <c r="Y40" i="12"/>
  <c r="Y39" i="12"/>
  <c r="Y38" i="12"/>
  <c r="Y37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2" i="12"/>
  <c r="Y3" i="12"/>
  <c r="Y4" i="12"/>
  <c r="Y1" i="12"/>
  <c r="AH11" i="12"/>
  <c r="AI11" i="12"/>
  <c r="AH12" i="12"/>
  <c r="AI12" i="12"/>
  <c r="AH13" i="12"/>
  <c r="AI13" i="12"/>
  <c r="AH14" i="12"/>
  <c r="AI14" i="12"/>
  <c r="AH15" i="12"/>
  <c r="AI15" i="12"/>
  <c r="AH16" i="12"/>
  <c r="AI16" i="12"/>
  <c r="AH17" i="12"/>
  <c r="AI17" i="12"/>
  <c r="AH18" i="12"/>
  <c r="AI18" i="12"/>
  <c r="AH19" i="12"/>
  <c r="AI19" i="12"/>
  <c r="AH20" i="12"/>
  <c r="AI20" i="12"/>
  <c r="AH21" i="12"/>
  <c r="AI21" i="12"/>
  <c r="AH22" i="12"/>
  <c r="AI22" i="12"/>
  <c r="AH23" i="12"/>
  <c r="AI23" i="12"/>
  <c r="AH24" i="12"/>
  <c r="AI24" i="12"/>
  <c r="AH25" i="12"/>
  <c r="AI25" i="12"/>
  <c r="AH26" i="12"/>
  <c r="AI26" i="12"/>
  <c r="AH27" i="12"/>
  <c r="AI27" i="12"/>
  <c r="AH28" i="12"/>
  <c r="AI28" i="12"/>
  <c r="AH29" i="12"/>
  <c r="AI29" i="12"/>
  <c r="AH30" i="12"/>
  <c r="AI30" i="12"/>
  <c r="AH31" i="12"/>
  <c r="AI31" i="12"/>
  <c r="AH32" i="12"/>
  <c r="AI32" i="12"/>
  <c r="AH33" i="12"/>
  <c r="AI33" i="12"/>
  <c r="AH34" i="12"/>
  <c r="AI34" i="12"/>
  <c r="AH35" i="12"/>
  <c r="AI35" i="12"/>
  <c r="AH36" i="12"/>
  <c r="AI36" i="12"/>
  <c r="AH37" i="12"/>
  <c r="AI37" i="12"/>
  <c r="AH38" i="12"/>
  <c r="AI38" i="12"/>
  <c r="AH39" i="12"/>
  <c r="AI39" i="12"/>
  <c r="AH40" i="12"/>
  <c r="AI40" i="12"/>
  <c r="AH41" i="12"/>
  <c r="AI41" i="12"/>
  <c r="AH42" i="12"/>
  <c r="AI42" i="12"/>
  <c r="AH43" i="12"/>
  <c r="AI43" i="12"/>
  <c r="AH44" i="12"/>
  <c r="AI44" i="12"/>
  <c r="AH45" i="12"/>
  <c r="AI45" i="12"/>
  <c r="AH46" i="12"/>
  <c r="AI46" i="12"/>
  <c r="AH47" i="12"/>
  <c r="AI47" i="12"/>
  <c r="AH48" i="12"/>
  <c r="AI48" i="12"/>
  <c r="AH49" i="12"/>
  <c r="AI49" i="12"/>
  <c r="AH50" i="12"/>
  <c r="AI50" i="12"/>
  <c r="AH51" i="12"/>
  <c r="AI51" i="12"/>
  <c r="AH52" i="12"/>
  <c r="AI52" i="12"/>
  <c r="AH53" i="12"/>
  <c r="AI53" i="12"/>
  <c r="AH54" i="12"/>
  <c r="AI54" i="12"/>
  <c r="AI10" i="12"/>
  <c r="AH10" i="12"/>
  <c r="AH2" i="12"/>
  <c r="AI2" i="12"/>
  <c r="AH3" i="12"/>
  <c r="AI3" i="12"/>
  <c r="AH4" i="12"/>
  <c r="AI4" i="12"/>
  <c r="AH1" i="12"/>
  <c r="AI1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10" i="12"/>
  <c r="AF2" i="12"/>
  <c r="AF3" i="12"/>
  <c r="AF4" i="12"/>
  <c r="AF1" i="12"/>
  <c r="AE54" i="12"/>
  <c r="AE53" i="12"/>
  <c r="AE52" i="12"/>
  <c r="AE51" i="12"/>
  <c r="AE50" i="12"/>
  <c r="AE49" i="12"/>
  <c r="AE48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10" i="12"/>
  <c r="AE2" i="12"/>
  <c r="AE3" i="12"/>
  <c r="AE4" i="12"/>
  <c r="AE1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45" i="12"/>
  <c r="AD46" i="12"/>
  <c r="AD47" i="12"/>
  <c r="AD48" i="12"/>
  <c r="AD49" i="12"/>
  <c r="AD50" i="12"/>
  <c r="AD51" i="12"/>
  <c r="AD52" i="12"/>
  <c r="AD53" i="12"/>
  <c r="AD54" i="12"/>
  <c r="AD10" i="12"/>
  <c r="AD2" i="12"/>
  <c r="AD3" i="12"/>
  <c r="AD4" i="12"/>
  <c r="AD1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10" i="12"/>
  <c r="AB2" i="12"/>
  <c r="AB3" i="12"/>
  <c r="AB4" i="12"/>
  <c r="AB1" i="12"/>
  <c r="AY60" i="13"/>
  <c r="AY67" i="13"/>
  <c r="AR98" i="13"/>
  <c r="AR77" i="13"/>
  <c r="AR89" i="13"/>
  <c r="AR90" i="13"/>
  <c r="AR94" i="13"/>
  <c r="AR91" i="13"/>
  <c r="AR83" i="13"/>
  <c r="AR93" i="13"/>
  <c r="AR114" i="13"/>
  <c r="B6" i="8"/>
  <c r="B5" i="8"/>
  <c r="P1" i="12"/>
  <c r="P2" i="12"/>
  <c r="O2" i="12"/>
  <c r="O1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10" i="12"/>
  <c r="N2" i="12"/>
  <c r="N3" i="12"/>
  <c r="N1" i="12"/>
  <c r="BQ54" i="7"/>
  <c r="BQ53" i="7"/>
  <c r="BQ52" i="7"/>
  <c r="BQ51" i="7"/>
  <c r="BQ50" i="7"/>
  <c r="BQ49" i="7"/>
  <c r="BQ48" i="7"/>
  <c r="BQ47" i="7"/>
  <c r="BQ46" i="7"/>
  <c r="BQ45" i="7"/>
  <c r="BQ44" i="7"/>
  <c r="BQ43" i="7"/>
  <c r="BQ42" i="7"/>
  <c r="BQ41" i="7"/>
  <c r="BQ40" i="7"/>
  <c r="BQ39" i="7"/>
  <c r="BQ38" i="7"/>
  <c r="BQ37" i="7"/>
  <c r="BQ36" i="7"/>
  <c r="BQ35" i="7"/>
  <c r="BQ34" i="7"/>
  <c r="BQ33" i="7"/>
  <c r="BQ32" i="7"/>
  <c r="BQ31" i="7"/>
  <c r="BQ30" i="7"/>
  <c r="BQ29" i="7"/>
  <c r="BQ28" i="7"/>
  <c r="BQ27" i="7"/>
  <c r="BQ26" i="7"/>
  <c r="BQ25" i="7"/>
  <c r="BQ24" i="7"/>
  <c r="BQ23" i="7"/>
  <c r="BQ22" i="7"/>
  <c r="BQ21" i="7"/>
  <c r="BQ20" i="7"/>
  <c r="BQ19" i="7"/>
  <c r="BQ18" i="7"/>
  <c r="BQ17" i="7"/>
  <c r="BQ16" i="7"/>
  <c r="BQ15" i="7"/>
  <c r="BQ14" i="7"/>
  <c r="BQ13" i="7"/>
  <c r="BQ12" i="7"/>
  <c r="BQ11" i="7"/>
  <c r="BQ10" i="7"/>
  <c r="BQ2" i="7"/>
  <c r="BQ3" i="7"/>
  <c r="BQ4" i="7"/>
  <c r="BQ1" i="7"/>
  <c r="AR113" i="13"/>
  <c r="AR101" i="13"/>
  <c r="AR108" i="13"/>
  <c r="AR111" i="13"/>
  <c r="AR110" i="13"/>
  <c r="AR102" i="13"/>
  <c r="AR103" i="13"/>
  <c r="AR104" i="13"/>
  <c r="AR105" i="13"/>
  <c r="AR106" i="13"/>
  <c r="AR107" i="13"/>
  <c r="AR109" i="13"/>
  <c r="AR100" i="13"/>
  <c r="AR86" i="13"/>
  <c r="AR84" i="13"/>
  <c r="AR85" i="13"/>
  <c r="AR88" i="13"/>
  <c r="AR92" i="13"/>
  <c r="AR79" i="13"/>
  <c r="AR80" i="13"/>
  <c r="AR81" i="13"/>
  <c r="AR82" i="13"/>
  <c r="AR74" i="13"/>
  <c r="AV60" i="13"/>
  <c r="AV74" i="13" s="1"/>
  <c r="AU77" i="13"/>
  <c r="B2" i="8"/>
  <c r="B3" i="8"/>
  <c r="B4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K13" i="13"/>
  <c r="L13" i="13"/>
  <c r="K14" i="13"/>
  <c r="L14" i="13"/>
  <c r="K15" i="13"/>
  <c r="L15" i="13"/>
  <c r="K16" i="13"/>
  <c r="L16" i="13"/>
  <c r="K17" i="13"/>
  <c r="L17" i="13"/>
  <c r="K18" i="13"/>
  <c r="L18" i="13"/>
  <c r="L12" i="13"/>
  <c r="K12" i="13"/>
  <c r="AE36" i="13"/>
  <c r="AE35" i="13"/>
  <c r="AE34" i="13"/>
  <c r="AE33" i="13"/>
  <c r="AE32" i="13"/>
  <c r="AE31" i="13"/>
  <c r="AE30" i="13"/>
  <c r="AD36" i="13"/>
  <c r="AD35" i="13"/>
  <c r="AD34" i="13"/>
  <c r="AD33" i="13"/>
  <c r="AD32" i="13"/>
  <c r="AD31" i="13"/>
  <c r="AD30" i="13"/>
  <c r="AF36" i="13"/>
  <c r="AF35" i="13"/>
  <c r="AF34" i="13"/>
  <c r="AF33" i="13"/>
  <c r="AF32" i="13"/>
  <c r="AF31" i="13"/>
  <c r="AF30" i="13"/>
  <c r="AK31" i="13"/>
  <c r="AK32" i="13"/>
  <c r="AK33" i="13"/>
  <c r="AK34" i="13"/>
  <c r="AK35" i="13"/>
  <c r="AK36" i="13"/>
  <c r="AK30" i="13"/>
  <c r="AI31" i="13"/>
  <c r="AJ31" i="13"/>
  <c r="AI32" i="13"/>
  <c r="AJ32" i="13"/>
  <c r="AI33" i="13"/>
  <c r="AJ33" i="13"/>
  <c r="AI34" i="13"/>
  <c r="AJ34" i="13"/>
  <c r="AI35" i="13"/>
  <c r="AJ35" i="13"/>
  <c r="AI36" i="13"/>
  <c r="AJ36" i="13"/>
  <c r="AJ30" i="13"/>
  <c r="AI30" i="13"/>
  <c r="K50" i="13"/>
  <c r="L50" i="13"/>
  <c r="K51" i="13"/>
  <c r="L51" i="13"/>
  <c r="K52" i="13"/>
  <c r="L52" i="13"/>
  <c r="K53" i="13"/>
  <c r="L53" i="13"/>
  <c r="K54" i="13"/>
  <c r="L54" i="13"/>
  <c r="K55" i="13"/>
  <c r="L55" i="13"/>
  <c r="L49" i="13"/>
  <c r="K49" i="13"/>
  <c r="R1" i="7"/>
  <c r="R2" i="7"/>
  <c r="R3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T11" i="12"/>
  <c r="W11" i="12" s="1"/>
  <c r="T12" i="12"/>
  <c r="W12" i="12" s="1"/>
  <c r="T13" i="12"/>
  <c r="W13" i="12" s="1"/>
  <c r="T14" i="12"/>
  <c r="W14" i="12" s="1"/>
  <c r="T15" i="12"/>
  <c r="W15" i="12" s="1"/>
  <c r="T16" i="12"/>
  <c r="W16" i="12" s="1"/>
  <c r="T17" i="12"/>
  <c r="W17" i="12" s="1"/>
  <c r="T18" i="12"/>
  <c r="W18" i="12" s="1"/>
  <c r="T19" i="12"/>
  <c r="W19" i="12" s="1"/>
  <c r="T20" i="12"/>
  <c r="W20" i="12" s="1"/>
  <c r="T21" i="12"/>
  <c r="W21" i="12" s="1"/>
  <c r="T22" i="12"/>
  <c r="W22" i="12" s="1"/>
  <c r="T23" i="12"/>
  <c r="W23" i="12" s="1"/>
  <c r="T24" i="12"/>
  <c r="W24" i="12" s="1"/>
  <c r="T25" i="12"/>
  <c r="W25" i="12" s="1"/>
  <c r="T26" i="12"/>
  <c r="W26" i="12" s="1"/>
  <c r="T27" i="12"/>
  <c r="W27" i="12" s="1"/>
  <c r="T28" i="12"/>
  <c r="W28" i="12" s="1"/>
  <c r="T29" i="12"/>
  <c r="W29" i="12" s="1"/>
  <c r="T30" i="12"/>
  <c r="W30" i="12" s="1"/>
  <c r="T31" i="12"/>
  <c r="W31" i="12" s="1"/>
  <c r="T32" i="12"/>
  <c r="W32" i="12" s="1"/>
  <c r="T33" i="12"/>
  <c r="W33" i="12" s="1"/>
  <c r="T34" i="12"/>
  <c r="W34" i="12" s="1"/>
  <c r="T35" i="12"/>
  <c r="W35" i="12" s="1"/>
  <c r="T36" i="12"/>
  <c r="W36" i="12" s="1"/>
  <c r="T37" i="12"/>
  <c r="W37" i="12" s="1"/>
  <c r="T38" i="12"/>
  <c r="W38" i="12" s="1"/>
  <c r="T39" i="12"/>
  <c r="W39" i="12" s="1"/>
  <c r="T40" i="12"/>
  <c r="W40" i="12" s="1"/>
  <c r="T41" i="12"/>
  <c r="W41" i="12" s="1"/>
  <c r="T42" i="12"/>
  <c r="W42" i="12" s="1"/>
  <c r="T43" i="12"/>
  <c r="W43" i="12" s="1"/>
  <c r="T44" i="12"/>
  <c r="W44" i="12" s="1"/>
  <c r="T45" i="12"/>
  <c r="W45" i="12" s="1"/>
  <c r="T46" i="12"/>
  <c r="W46" i="12" s="1"/>
  <c r="T47" i="12"/>
  <c r="W47" i="12" s="1"/>
  <c r="T48" i="12"/>
  <c r="W48" i="12" s="1"/>
  <c r="T49" i="12"/>
  <c r="W49" i="12" s="1"/>
  <c r="T50" i="12"/>
  <c r="W50" i="12" s="1"/>
  <c r="T51" i="12"/>
  <c r="W51" i="12" s="1"/>
  <c r="T52" i="12"/>
  <c r="W52" i="12" s="1"/>
  <c r="T53" i="12"/>
  <c r="W53" i="12" s="1"/>
  <c r="T54" i="12"/>
  <c r="W54" i="12" s="1"/>
  <c r="T10" i="12"/>
  <c r="W10" i="12" s="1"/>
  <c r="T2" i="12"/>
  <c r="T3" i="12"/>
  <c r="T4" i="12"/>
  <c r="T1" i="12"/>
  <c r="R11" i="12"/>
  <c r="S11" i="12" s="1"/>
  <c r="V11" i="12" s="1"/>
  <c r="R12" i="12"/>
  <c r="S12" i="12" s="1"/>
  <c r="V12" i="12" s="1"/>
  <c r="R13" i="12"/>
  <c r="S13" i="12" s="1"/>
  <c r="V13" i="12" s="1"/>
  <c r="R14" i="12"/>
  <c r="S14" i="12" s="1"/>
  <c r="V14" i="12" s="1"/>
  <c r="R15" i="12"/>
  <c r="S15" i="12" s="1"/>
  <c r="V15" i="12" s="1"/>
  <c r="R16" i="12"/>
  <c r="S16" i="12" s="1"/>
  <c r="V16" i="12" s="1"/>
  <c r="R17" i="12"/>
  <c r="S17" i="12" s="1"/>
  <c r="V17" i="12" s="1"/>
  <c r="R18" i="12"/>
  <c r="S18" i="12" s="1"/>
  <c r="V18" i="12" s="1"/>
  <c r="R19" i="12"/>
  <c r="S19" i="12" s="1"/>
  <c r="V19" i="12" s="1"/>
  <c r="R20" i="12"/>
  <c r="S20" i="12" s="1"/>
  <c r="V20" i="12" s="1"/>
  <c r="R21" i="12"/>
  <c r="S21" i="12" s="1"/>
  <c r="V21" i="12" s="1"/>
  <c r="R22" i="12"/>
  <c r="S22" i="12" s="1"/>
  <c r="V22" i="12" s="1"/>
  <c r="R23" i="12"/>
  <c r="S23" i="12" s="1"/>
  <c r="V23" i="12" s="1"/>
  <c r="R24" i="12"/>
  <c r="S24" i="12" s="1"/>
  <c r="V24" i="12" s="1"/>
  <c r="R25" i="12"/>
  <c r="U25" i="12" s="1"/>
  <c r="R26" i="12"/>
  <c r="S26" i="12" s="1"/>
  <c r="V26" i="12" s="1"/>
  <c r="R27" i="12"/>
  <c r="S27" i="12" s="1"/>
  <c r="V27" i="12" s="1"/>
  <c r="R28" i="12"/>
  <c r="S28" i="12" s="1"/>
  <c r="V28" i="12" s="1"/>
  <c r="R29" i="12"/>
  <c r="S29" i="12" s="1"/>
  <c r="V29" i="12" s="1"/>
  <c r="R30" i="12"/>
  <c r="S30" i="12" s="1"/>
  <c r="V30" i="12" s="1"/>
  <c r="R31" i="12"/>
  <c r="S31" i="12" s="1"/>
  <c r="V31" i="12" s="1"/>
  <c r="R32" i="12"/>
  <c r="S32" i="12" s="1"/>
  <c r="V32" i="12" s="1"/>
  <c r="R33" i="12"/>
  <c r="U33" i="12" s="1"/>
  <c r="R34" i="12"/>
  <c r="S34" i="12" s="1"/>
  <c r="V34" i="12" s="1"/>
  <c r="R35" i="12"/>
  <c r="S35" i="12" s="1"/>
  <c r="V35" i="12" s="1"/>
  <c r="R36" i="12"/>
  <c r="S36" i="12" s="1"/>
  <c r="V36" i="12" s="1"/>
  <c r="R37" i="12"/>
  <c r="S37" i="12" s="1"/>
  <c r="V37" i="12" s="1"/>
  <c r="R38" i="12"/>
  <c r="S38" i="12" s="1"/>
  <c r="V38" i="12" s="1"/>
  <c r="R39" i="12"/>
  <c r="S39" i="12" s="1"/>
  <c r="V39" i="12" s="1"/>
  <c r="R40" i="12"/>
  <c r="S40" i="12" s="1"/>
  <c r="V40" i="12" s="1"/>
  <c r="R41" i="12"/>
  <c r="S41" i="12" s="1"/>
  <c r="V41" i="12" s="1"/>
  <c r="R42" i="12"/>
  <c r="S42" i="12" s="1"/>
  <c r="V42" i="12" s="1"/>
  <c r="R43" i="12"/>
  <c r="S43" i="12" s="1"/>
  <c r="V43" i="12" s="1"/>
  <c r="R44" i="12"/>
  <c r="S44" i="12" s="1"/>
  <c r="V44" i="12" s="1"/>
  <c r="R45" i="12"/>
  <c r="S45" i="12" s="1"/>
  <c r="V45" i="12" s="1"/>
  <c r="R46" i="12"/>
  <c r="S46" i="12" s="1"/>
  <c r="V46" i="12" s="1"/>
  <c r="R47" i="12"/>
  <c r="S47" i="12" s="1"/>
  <c r="V47" i="12" s="1"/>
  <c r="R48" i="12"/>
  <c r="S48" i="12" s="1"/>
  <c r="V48" i="12" s="1"/>
  <c r="R49" i="12"/>
  <c r="S49" i="12" s="1"/>
  <c r="V49" i="12" s="1"/>
  <c r="R50" i="12"/>
  <c r="S50" i="12" s="1"/>
  <c r="V50" i="12" s="1"/>
  <c r="R51" i="12"/>
  <c r="S51" i="12" s="1"/>
  <c r="V51" i="12" s="1"/>
  <c r="R52" i="12"/>
  <c r="S52" i="12" s="1"/>
  <c r="V52" i="12" s="1"/>
  <c r="R53" i="12"/>
  <c r="S53" i="12" s="1"/>
  <c r="V53" i="12" s="1"/>
  <c r="R54" i="12"/>
  <c r="S54" i="12" s="1"/>
  <c r="V54" i="12" s="1"/>
  <c r="R10" i="12"/>
  <c r="S10" i="12" s="1"/>
  <c r="V10" i="12" s="1"/>
  <c r="R4" i="12"/>
  <c r="R1" i="12"/>
  <c r="R2" i="12"/>
  <c r="R3" i="12"/>
  <c r="F11" i="12"/>
  <c r="H11" i="12" s="1"/>
  <c r="L11" i="12" s="1"/>
  <c r="F12" i="12"/>
  <c r="H12" i="12" s="1"/>
  <c r="L12" i="12" s="1"/>
  <c r="F13" i="12"/>
  <c r="H13" i="12" s="1"/>
  <c r="L13" i="12" s="1"/>
  <c r="F14" i="12"/>
  <c r="H14" i="12" s="1"/>
  <c r="L14" i="12" s="1"/>
  <c r="F15" i="12"/>
  <c r="H15" i="12" s="1"/>
  <c r="L15" i="12" s="1"/>
  <c r="F16" i="12"/>
  <c r="H16" i="12" s="1"/>
  <c r="L16" i="12" s="1"/>
  <c r="F17" i="12"/>
  <c r="H17" i="12" s="1"/>
  <c r="L17" i="12" s="1"/>
  <c r="F18" i="12"/>
  <c r="H18" i="12" s="1"/>
  <c r="L18" i="12" s="1"/>
  <c r="F19" i="12"/>
  <c r="H19" i="12" s="1"/>
  <c r="L19" i="12" s="1"/>
  <c r="F20" i="12"/>
  <c r="H20" i="12" s="1"/>
  <c r="L20" i="12" s="1"/>
  <c r="F21" i="12"/>
  <c r="H21" i="12" s="1"/>
  <c r="L21" i="12" s="1"/>
  <c r="F22" i="12"/>
  <c r="H22" i="12" s="1"/>
  <c r="L22" i="12" s="1"/>
  <c r="F23" i="12"/>
  <c r="H23" i="12" s="1"/>
  <c r="L23" i="12" s="1"/>
  <c r="F24" i="12"/>
  <c r="H24" i="12" s="1"/>
  <c r="L24" i="12" s="1"/>
  <c r="F25" i="12"/>
  <c r="H25" i="12" s="1"/>
  <c r="L25" i="12" s="1"/>
  <c r="F26" i="12"/>
  <c r="H26" i="12" s="1"/>
  <c r="L26" i="12" s="1"/>
  <c r="F27" i="12"/>
  <c r="H27" i="12" s="1"/>
  <c r="L27" i="12" s="1"/>
  <c r="F28" i="12"/>
  <c r="H28" i="12" s="1"/>
  <c r="L28" i="12" s="1"/>
  <c r="F29" i="12"/>
  <c r="H29" i="12" s="1"/>
  <c r="L29" i="12" s="1"/>
  <c r="F30" i="12"/>
  <c r="H30" i="12" s="1"/>
  <c r="L30" i="12" s="1"/>
  <c r="F31" i="12"/>
  <c r="H31" i="12" s="1"/>
  <c r="L31" i="12" s="1"/>
  <c r="F32" i="12"/>
  <c r="H32" i="12" s="1"/>
  <c r="L32" i="12" s="1"/>
  <c r="F33" i="12"/>
  <c r="H33" i="12" s="1"/>
  <c r="L33" i="12" s="1"/>
  <c r="F34" i="12"/>
  <c r="H34" i="12" s="1"/>
  <c r="L34" i="12" s="1"/>
  <c r="F35" i="12"/>
  <c r="H35" i="12" s="1"/>
  <c r="L35" i="12" s="1"/>
  <c r="F36" i="12"/>
  <c r="H36" i="12" s="1"/>
  <c r="L36" i="12" s="1"/>
  <c r="F37" i="12"/>
  <c r="H37" i="12" s="1"/>
  <c r="L37" i="12" s="1"/>
  <c r="F38" i="12"/>
  <c r="H38" i="12" s="1"/>
  <c r="L38" i="12" s="1"/>
  <c r="F39" i="12"/>
  <c r="H39" i="12" s="1"/>
  <c r="L39" i="12" s="1"/>
  <c r="F40" i="12"/>
  <c r="H40" i="12" s="1"/>
  <c r="L40" i="12" s="1"/>
  <c r="F41" i="12"/>
  <c r="H41" i="12" s="1"/>
  <c r="L41" i="12" s="1"/>
  <c r="F42" i="12"/>
  <c r="H42" i="12" s="1"/>
  <c r="L42" i="12" s="1"/>
  <c r="F43" i="12"/>
  <c r="H43" i="12" s="1"/>
  <c r="L43" i="12" s="1"/>
  <c r="F44" i="12"/>
  <c r="H44" i="12" s="1"/>
  <c r="L44" i="12" s="1"/>
  <c r="F45" i="12"/>
  <c r="H45" i="12" s="1"/>
  <c r="L45" i="12" s="1"/>
  <c r="F46" i="12"/>
  <c r="H46" i="12" s="1"/>
  <c r="L46" i="12" s="1"/>
  <c r="F47" i="12"/>
  <c r="H47" i="12" s="1"/>
  <c r="L47" i="12" s="1"/>
  <c r="F48" i="12"/>
  <c r="H48" i="12" s="1"/>
  <c r="L48" i="12" s="1"/>
  <c r="F49" i="12"/>
  <c r="H49" i="12" s="1"/>
  <c r="L49" i="12" s="1"/>
  <c r="F50" i="12"/>
  <c r="H50" i="12" s="1"/>
  <c r="L50" i="12" s="1"/>
  <c r="F51" i="12"/>
  <c r="H51" i="12" s="1"/>
  <c r="L51" i="12" s="1"/>
  <c r="F52" i="12"/>
  <c r="H52" i="12" s="1"/>
  <c r="L52" i="12" s="1"/>
  <c r="F53" i="12"/>
  <c r="H53" i="12" s="1"/>
  <c r="L53" i="12" s="1"/>
  <c r="F54" i="12"/>
  <c r="H54" i="12" s="1"/>
  <c r="L54" i="12" s="1"/>
  <c r="F10" i="12"/>
  <c r="H10" i="12" s="1"/>
  <c r="L10" i="12" s="1"/>
  <c r="E2" i="12"/>
  <c r="F2" i="12"/>
  <c r="E3" i="12"/>
  <c r="F3" i="12"/>
  <c r="E4" i="12"/>
  <c r="F4" i="12"/>
  <c r="F1" i="12"/>
  <c r="E11" i="12"/>
  <c r="G11" i="12" s="1"/>
  <c r="K11" i="12" s="1"/>
  <c r="E12" i="12"/>
  <c r="G12" i="12" s="1"/>
  <c r="K12" i="12" s="1"/>
  <c r="E13" i="12"/>
  <c r="G13" i="12" s="1"/>
  <c r="K13" i="12" s="1"/>
  <c r="E14" i="12"/>
  <c r="G14" i="12" s="1"/>
  <c r="K14" i="12" s="1"/>
  <c r="E15" i="12"/>
  <c r="G15" i="12" s="1"/>
  <c r="K15" i="12" s="1"/>
  <c r="E16" i="12"/>
  <c r="G16" i="12" s="1"/>
  <c r="K16" i="12" s="1"/>
  <c r="E17" i="12"/>
  <c r="G17" i="12" s="1"/>
  <c r="K17" i="12" s="1"/>
  <c r="E18" i="12"/>
  <c r="G18" i="12" s="1"/>
  <c r="K18" i="12" s="1"/>
  <c r="E19" i="12"/>
  <c r="G19" i="12" s="1"/>
  <c r="K19" i="12" s="1"/>
  <c r="E20" i="12"/>
  <c r="G20" i="12" s="1"/>
  <c r="K20" i="12" s="1"/>
  <c r="E21" i="12"/>
  <c r="G21" i="12" s="1"/>
  <c r="K21" i="12" s="1"/>
  <c r="E22" i="12"/>
  <c r="G22" i="12" s="1"/>
  <c r="K22" i="12" s="1"/>
  <c r="E23" i="12"/>
  <c r="G23" i="12" s="1"/>
  <c r="K23" i="12" s="1"/>
  <c r="E24" i="12"/>
  <c r="G24" i="12" s="1"/>
  <c r="K24" i="12" s="1"/>
  <c r="E25" i="12"/>
  <c r="G25" i="12" s="1"/>
  <c r="K25" i="12" s="1"/>
  <c r="E26" i="12"/>
  <c r="G26" i="12" s="1"/>
  <c r="K26" i="12" s="1"/>
  <c r="E27" i="12"/>
  <c r="G27" i="12" s="1"/>
  <c r="K27" i="12" s="1"/>
  <c r="E28" i="12"/>
  <c r="G28" i="12" s="1"/>
  <c r="K28" i="12" s="1"/>
  <c r="E29" i="12"/>
  <c r="G29" i="12" s="1"/>
  <c r="K29" i="12" s="1"/>
  <c r="E30" i="12"/>
  <c r="G30" i="12" s="1"/>
  <c r="K30" i="12" s="1"/>
  <c r="E31" i="12"/>
  <c r="G31" i="12" s="1"/>
  <c r="K31" i="12" s="1"/>
  <c r="E32" i="12"/>
  <c r="G32" i="12" s="1"/>
  <c r="K32" i="12" s="1"/>
  <c r="E33" i="12"/>
  <c r="G33" i="12" s="1"/>
  <c r="K33" i="12" s="1"/>
  <c r="E34" i="12"/>
  <c r="G34" i="12" s="1"/>
  <c r="K34" i="12" s="1"/>
  <c r="E35" i="12"/>
  <c r="G35" i="12" s="1"/>
  <c r="K35" i="12" s="1"/>
  <c r="E36" i="12"/>
  <c r="G36" i="12" s="1"/>
  <c r="K36" i="12" s="1"/>
  <c r="E37" i="12"/>
  <c r="G37" i="12" s="1"/>
  <c r="K37" i="12" s="1"/>
  <c r="E38" i="12"/>
  <c r="G38" i="12" s="1"/>
  <c r="K38" i="12" s="1"/>
  <c r="E39" i="12"/>
  <c r="G39" i="12" s="1"/>
  <c r="K39" i="12" s="1"/>
  <c r="E40" i="12"/>
  <c r="G40" i="12" s="1"/>
  <c r="K40" i="12" s="1"/>
  <c r="E41" i="12"/>
  <c r="G41" i="12" s="1"/>
  <c r="K41" i="12" s="1"/>
  <c r="E42" i="12"/>
  <c r="G42" i="12" s="1"/>
  <c r="K42" i="12" s="1"/>
  <c r="E43" i="12"/>
  <c r="G43" i="12" s="1"/>
  <c r="K43" i="12" s="1"/>
  <c r="E44" i="12"/>
  <c r="G44" i="12" s="1"/>
  <c r="K44" i="12" s="1"/>
  <c r="E45" i="12"/>
  <c r="G45" i="12" s="1"/>
  <c r="K45" i="12" s="1"/>
  <c r="E46" i="12"/>
  <c r="G46" i="12" s="1"/>
  <c r="K46" i="12" s="1"/>
  <c r="E47" i="12"/>
  <c r="G47" i="12" s="1"/>
  <c r="K47" i="12" s="1"/>
  <c r="E48" i="12"/>
  <c r="G48" i="12" s="1"/>
  <c r="K48" i="12" s="1"/>
  <c r="E49" i="12"/>
  <c r="G49" i="12" s="1"/>
  <c r="K49" i="12" s="1"/>
  <c r="E50" i="12"/>
  <c r="G50" i="12" s="1"/>
  <c r="K50" i="12" s="1"/>
  <c r="E51" i="12"/>
  <c r="G51" i="12" s="1"/>
  <c r="K51" i="12" s="1"/>
  <c r="E52" i="12"/>
  <c r="G52" i="12" s="1"/>
  <c r="K52" i="12" s="1"/>
  <c r="E53" i="12"/>
  <c r="G53" i="12" s="1"/>
  <c r="K53" i="12" s="1"/>
  <c r="E54" i="12"/>
  <c r="G54" i="12" s="1"/>
  <c r="K54" i="12" s="1"/>
  <c r="E10" i="12"/>
  <c r="G10" i="12" s="1"/>
  <c r="K10" i="12" s="1"/>
  <c r="E1" i="12"/>
  <c r="BG1" i="7"/>
  <c r="CH11" i="7"/>
  <c r="CB11" i="7" s="1"/>
  <c r="CH12" i="7"/>
  <c r="CB12" i="7" s="1"/>
  <c r="CH13" i="7"/>
  <c r="CB13" i="7" s="1"/>
  <c r="CH14" i="7"/>
  <c r="CB14" i="7" s="1"/>
  <c r="CH15" i="7"/>
  <c r="CB15" i="7" s="1"/>
  <c r="CH16" i="7"/>
  <c r="CB16" i="7" s="1"/>
  <c r="CH17" i="7"/>
  <c r="CB17" i="7" s="1"/>
  <c r="CH18" i="7"/>
  <c r="CB18" i="7" s="1"/>
  <c r="CH19" i="7"/>
  <c r="CB19" i="7" s="1"/>
  <c r="CH20" i="7"/>
  <c r="CB20" i="7" s="1"/>
  <c r="CH21" i="7"/>
  <c r="CB21" i="7" s="1"/>
  <c r="CH22" i="7"/>
  <c r="CB22" i="7" s="1"/>
  <c r="CH23" i="7"/>
  <c r="CB23" i="7" s="1"/>
  <c r="CH24" i="7"/>
  <c r="CB24" i="7" s="1"/>
  <c r="CH25" i="7"/>
  <c r="CB25" i="7" s="1"/>
  <c r="CH26" i="7"/>
  <c r="CB26" i="7" s="1"/>
  <c r="CH27" i="7"/>
  <c r="CB27" i="7" s="1"/>
  <c r="CH28" i="7"/>
  <c r="CB28" i="7" s="1"/>
  <c r="CH29" i="7"/>
  <c r="CB29" i="7" s="1"/>
  <c r="CH30" i="7"/>
  <c r="CB30" i="7" s="1"/>
  <c r="CH31" i="7"/>
  <c r="CB31" i="7" s="1"/>
  <c r="CH32" i="7"/>
  <c r="CB32" i="7" s="1"/>
  <c r="CH33" i="7"/>
  <c r="CB33" i="7" s="1"/>
  <c r="CH34" i="7"/>
  <c r="CB34" i="7" s="1"/>
  <c r="CH35" i="7"/>
  <c r="CB35" i="7" s="1"/>
  <c r="CH36" i="7"/>
  <c r="CB36" i="7" s="1"/>
  <c r="CH37" i="7"/>
  <c r="CB37" i="7" s="1"/>
  <c r="CH38" i="7"/>
  <c r="CB38" i="7" s="1"/>
  <c r="CH39" i="7"/>
  <c r="CB39" i="7" s="1"/>
  <c r="CH40" i="7"/>
  <c r="CB40" i="7" s="1"/>
  <c r="CH41" i="7"/>
  <c r="CB41" i="7" s="1"/>
  <c r="CH42" i="7"/>
  <c r="CB42" i="7" s="1"/>
  <c r="CH43" i="7"/>
  <c r="CB43" i="7" s="1"/>
  <c r="CH44" i="7"/>
  <c r="CB44" i="7" s="1"/>
  <c r="CH45" i="7"/>
  <c r="CB45" i="7" s="1"/>
  <c r="CH46" i="7"/>
  <c r="CB46" i="7" s="1"/>
  <c r="CH47" i="7"/>
  <c r="CB47" i="7" s="1"/>
  <c r="CH48" i="7"/>
  <c r="CB48" i="7" s="1"/>
  <c r="CH49" i="7"/>
  <c r="CB49" i="7" s="1"/>
  <c r="CH50" i="7"/>
  <c r="CB50" i="7" s="1"/>
  <c r="CH51" i="7"/>
  <c r="CB51" i="7" s="1"/>
  <c r="CH52" i="7"/>
  <c r="CB52" i="7" s="1"/>
  <c r="CH53" i="7"/>
  <c r="CB53" i="7" s="1"/>
  <c r="CH54" i="7"/>
  <c r="CB54" i="7" s="1"/>
  <c r="CH10" i="7"/>
  <c r="CB10" i="7" s="1"/>
  <c r="CH2" i="7"/>
  <c r="CH4" i="7"/>
  <c r="CH1" i="7"/>
  <c r="BY11" i="7"/>
  <c r="BY12" i="7"/>
  <c r="BY13" i="7"/>
  <c r="BY14" i="7"/>
  <c r="BY15" i="7"/>
  <c r="BY16" i="7"/>
  <c r="BY17" i="7"/>
  <c r="BY18" i="7"/>
  <c r="BY19" i="7"/>
  <c r="BY20" i="7"/>
  <c r="BY21" i="7"/>
  <c r="BY22" i="7"/>
  <c r="BY23" i="7"/>
  <c r="BY24" i="7"/>
  <c r="BY25" i="7"/>
  <c r="BY26" i="7"/>
  <c r="BY27" i="7"/>
  <c r="BY28" i="7"/>
  <c r="BY29" i="7"/>
  <c r="BY30" i="7"/>
  <c r="BY31" i="7"/>
  <c r="BY32" i="7"/>
  <c r="BY33" i="7"/>
  <c r="BY34" i="7"/>
  <c r="BY35" i="7"/>
  <c r="BY36" i="7"/>
  <c r="BY37" i="7"/>
  <c r="BY38" i="7"/>
  <c r="BY39" i="7"/>
  <c r="BY40" i="7"/>
  <c r="BY41" i="7"/>
  <c r="BY42" i="7"/>
  <c r="BY43" i="7"/>
  <c r="BY44" i="7"/>
  <c r="BY45" i="7"/>
  <c r="BY46" i="7"/>
  <c r="BY47" i="7"/>
  <c r="BY48" i="7"/>
  <c r="BY49" i="7"/>
  <c r="BY50" i="7"/>
  <c r="BY51" i="7"/>
  <c r="BY52" i="7"/>
  <c r="BY53" i="7"/>
  <c r="BY54" i="7"/>
  <c r="BY10" i="7"/>
  <c r="BY2" i="7"/>
  <c r="BY3" i="7"/>
  <c r="BY4" i="7"/>
  <c r="BY1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X35" i="7"/>
  <c r="BX36" i="7"/>
  <c r="BX37" i="7"/>
  <c r="BX38" i="7"/>
  <c r="BX39" i="7"/>
  <c r="BX40" i="7"/>
  <c r="BX41" i="7"/>
  <c r="BX42" i="7"/>
  <c r="BX43" i="7"/>
  <c r="BX44" i="7"/>
  <c r="BX45" i="7"/>
  <c r="BX46" i="7"/>
  <c r="BX47" i="7"/>
  <c r="BX48" i="7"/>
  <c r="BX49" i="7"/>
  <c r="BX50" i="7"/>
  <c r="BX51" i="7"/>
  <c r="BX52" i="7"/>
  <c r="BX53" i="7"/>
  <c r="BX54" i="7"/>
  <c r="BX10" i="7"/>
  <c r="BX2" i="7"/>
  <c r="BX3" i="7"/>
  <c r="BX4" i="7"/>
  <c r="BX1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10" i="7"/>
  <c r="CD2" i="7"/>
  <c r="CD4" i="7"/>
  <c r="CD1" i="7"/>
  <c r="BM1" i="7"/>
  <c r="BI1" i="7"/>
  <c r="BL1" i="7"/>
  <c r="BL2" i="7"/>
  <c r="BH2" i="7"/>
  <c r="BH1" i="7"/>
  <c r="BC11" i="7"/>
  <c r="BD11" i="7"/>
  <c r="BC12" i="7"/>
  <c r="BD12" i="7"/>
  <c r="BC13" i="7"/>
  <c r="BD13" i="7"/>
  <c r="BC14" i="7"/>
  <c r="BD14" i="7"/>
  <c r="BC15" i="7"/>
  <c r="BD15" i="7"/>
  <c r="BC16" i="7"/>
  <c r="BD16" i="7"/>
  <c r="BC17" i="7"/>
  <c r="BD17" i="7"/>
  <c r="BC18" i="7"/>
  <c r="BD18" i="7"/>
  <c r="BC19" i="7"/>
  <c r="BD19" i="7"/>
  <c r="BC20" i="7"/>
  <c r="BD20" i="7"/>
  <c r="BC21" i="7"/>
  <c r="BD21" i="7"/>
  <c r="BC22" i="7"/>
  <c r="BD22" i="7"/>
  <c r="BC23" i="7"/>
  <c r="BD23" i="7"/>
  <c r="BC24" i="7"/>
  <c r="BD24" i="7"/>
  <c r="BC25" i="7"/>
  <c r="BD25" i="7"/>
  <c r="BC26" i="7"/>
  <c r="BD26" i="7"/>
  <c r="BC27" i="7"/>
  <c r="BD27" i="7"/>
  <c r="BC28" i="7"/>
  <c r="BD28" i="7"/>
  <c r="BC29" i="7"/>
  <c r="BD29" i="7"/>
  <c r="BC30" i="7"/>
  <c r="BD30" i="7"/>
  <c r="BC31" i="7"/>
  <c r="BD31" i="7"/>
  <c r="BC32" i="7"/>
  <c r="BD32" i="7"/>
  <c r="BC33" i="7"/>
  <c r="BD33" i="7"/>
  <c r="BC34" i="7"/>
  <c r="BD34" i="7"/>
  <c r="BC35" i="7"/>
  <c r="BD35" i="7"/>
  <c r="BC36" i="7"/>
  <c r="BD36" i="7"/>
  <c r="BC37" i="7"/>
  <c r="BD37" i="7"/>
  <c r="BC38" i="7"/>
  <c r="BD38" i="7"/>
  <c r="BC39" i="7"/>
  <c r="BD39" i="7"/>
  <c r="BC40" i="7"/>
  <c r="BD40" i="7"/>
  <c r="BC41" i="7"/>
  <c r="BD41" i="7"/>
  <c r="BC42" i="7"/>
  <c r="BD42" i="7"/>
  <c r="BC43" i="7"/>
  <c r="BD43" i="7"/>
  <c r="BC44" i="7"/>
  <c r="BD44" i="7"/>
  <c r="BC45" i="7"/>
  <c r="BD45" i="7"/>
  <c r="BC46" i="7"/>
  <c r="BD46" i="7"/>
  <c r="BC47" i="7"/>
  <c r="BD47" i="7"/>
  <c r="BC48" i="7"/>
  <c r="BD48" i="7"/>
  <c r="BC49" i="7"/>
  <c r="BD49" i="7"/>
  <c r="BC50" i="7"/>
  <c r="BD50" i="7"/>
  <c r="BC51" i="7"/>
  <c r="BD51" i="7"/>
  <c r="BC52" i="7"/>
  <c r="BD52" i="7"/>
  <c r="BC53" i="7"/>
  <c r="BD53" i="7"/>
  <c r="BC54" i="7"/>
  <c r="BD54" i="7"/>
  <c r="BD10" i="7"/>
  <c r="BC10" i="7"/>
  <c r="BC2" i="7"/>
  <c r="BD2" i="7"/>
  <c r="BC3" i="7"/>
  <c r="BD3" i="7"/>
  <c r="BC4" i="7"/>
  <c r="BD4" i="7"/>
  <c r="BD1" i="7"/>
  <c r="BC1" i="7"/>
  <c r="AZ2" i="7"/>
  <c r="BF11" i="7"/>
  <c r="BJ11" i="7"/>
  <c r="BF12" i="7"/>
  <c r="BJ12" i="7"/>
  <c r="BF13" i="7"/>
  <c r="BJ13" i="7"/>
  <c r="BF14" i="7"/>
  <c r="BJ14" i="7"/>
  <c r="BF15" i="7"/>
  <c r="BJ15" i="7"/>
  <c r="BF16" i="7"/>
  <c r="BJ16" i="7"/>
  <c r="BF17" i="7"/>
  <c r="BJ17" i="7"/>
  <c r="BF18" i="7"/>
  <c r="BJ18" i="7"/>
  <c r="BF19" i="7"/>
  <c r="BJ19" i="7"/>
  <c r="BF20" i="7"/>
  <c r="BJ20" i="7"/>
  <c r="BF21" i="7"/>
  <c r="BJ21" i="7"/>
  <c r="BF22" i="7"/>
  <c r="BJ22" i="7"/>
  <c r="BF23" i="7"/>
  <c r="BJ23" i="7"/>
  <c r="BF24" i="7"/>
  <c r="BJ24" i="7"/>
  <c r="BF25" i="7"/>
  <c r="BJ25" i="7"/>
  <c r="BF26" i="7"/>
  <c r="BJ26" i="7"/>
  <c r="BF27" i="7"/>
  <c r="BJ27" i="7"/>
  <c r="BF28" i="7"/>
  <c r="BJ28" i="7"/>
  <c r="BF29" i="7"/>
  <c r="BJ29" i="7"/>
  <c r="BF30" i="7"/>
  <c r="BJ30" i="7"/>
  <c r="BF31" i="7"/>
  <c r="BJ31" i="7"/>
  <c r="BF32" i="7"/>
  <c r="BJ32" i="7"/>
  <c r="BF33" i="7"/>
  <c r="BJ33" i="7"/>
  <c r="BF34" i="7"/>
  <c r="BJ34" i="7"/>
  <c r="BF35" i="7"/>
  <c r="BJ35" i="7"/>
  <c r="BF36" i="7"/>
  <c r="BJ36" i="7"/>
  <c r="BF37" i="7"/>
  <c r="BJ37" i="7"/>
  <c r="BF38" i="7"/>
  <c r="BJ38" i="7"/>
  <c r="BF39" i="7"/>
  <c r="BJ39" i="7"/>
  <c r="BF40" i="7"/>
  <c r="BJ40" i="7"/>
  <c r="BF41" i="7"/>
  <c r="BJ41" i="7"/>
  <c r="BF42" i="7"/>
  <c r="BJ42" i="7"/>
  <c r="BF43" i="7"/>
  <c r="BJ43" i="7"/>
  <c r="BF44" i="7"/>
  <c r="BJ44" i="7"/>
  <c r="BF45" i="7"/>
  <c r="BJ45" i="7"/>
  <c r="BF46" i="7"/>
  <c r="BJ46" i="7"/>
  <c r="BF47" i="7"/>
  <c r="BJ47" i="7"/>
  <c r="BF48" i="7"/>
  <c r="BJ48" i="7"/>
  <c r="BF49" i="7"/>
  <c r="BJ49" i="7"/>
  <c r="BF50" i="7"/>
  <c r="BJ50" i="7"/>
  <c r="BF51" i="7"/>
  <c r="BJ51" i="7"/>
  <c r="BF52" i="7"/>
  <c r="BJ52" i="7"/>
  <c r="BF53" i="7"/>
  <c r="BJ53" i="7"/>
  <c r="BF54" i="7"/>
  <c r="BJ54" i="7"/>
  <c r="BJ10" i="7"/>
  <c r="BF10" i="7"/>
  <c r="BJ2" i="7"/>
  <c r="BJ3" i="7"/>
  <c r="BJ4" i="7"/>
  <c r="BF2" i="7"/>
  <c r="BF3" i="7"/>
  <c r="BF4" i="7"/>
  <c r="BJ1" i="7"/>
  <c r="BF1" i="7"/>
  <c r="AU11" i="7"/>
  <c r="AX11" i="7"/>
  <c r="AU12" i="7"/>
  <c r="AX12" i="7"/>
  <c r="AU13" i="7"/>
  <c r="AX13" i="7"/>
  <c r="AU14" i="7"/>
  <c r="AX14" i="7"/>
  <c r="AU15" i="7"/>
  <c r="AX15" i="7"/>
  <c r="AU16" i="7"/>
  <c r="AX16" i="7"/>
  <c r="AU17" i="7"/>
  <c r="AX17" i="7"/>
  <c r="AU18" i="7"/>
  <c r="AX18" i="7"/>
  <c r="AU19" i="7"/>
  <c r="AX19" i="7"/>
  <c r="AU20" i="7"/>
  <c r="AX20" i="7"/>
  <c r="AU21" i="7"/>
  <c r="AX21" i="7"/>
  <c r="AU22" i="7"/>
  <c r="AX22" i="7"/>
  <c r="AU23" i="7"/>
  <c r="AX23" i="7"/>
  <c r="AU24" i="7"/>
  <c r="AX24" i="7"/>
  <c r="AU25" i="7"/>
  <c r="AX25" i="7"/>
  <c r="AU26" i="7"/>
  <c r="AX26" i="7"/>
  <c r="AU27" i="7"/>
  <c r="AX27" i="7"/>
  <c r="AU28" i="7"/>
  <c r="AX28" i="7"/>
  <c r="AU29" i="7"/>
  <c r="AX29" i="7"/>
  <c r="AU30" i="7"/>
  <c r="AX30" i="7"/>
  <c r="AU31" i="7"/>
  <c r="AX31" i="7"/>
  <c r="AU32" i="7"/>
  <c r="AX32" i="7"/>
  <c r="AU33" i="7"/>
  <c r="AX33" i="7"/>
  <c r="AU34" i="7"/>
  <c r="AX34" i="7"/>
  <c r="AU35" i="7"/>
  <c r="AX35" i="7"/>
  <c r="AU36" i="7"/>
  <c r="AX36" i="7"/>
  <c r="AU37" i="7"/>
  <c r="AX37" i="7"/>
  <c r="AU38" i="7"/>
  <c r="AX38" i="7"/>
  <c r="AU39" i="7"/>
  <c r="AX39" i="7"/>
  <c r="AU40" i="7"/>
  <c r="AX40" i="7"/>
  <c r="AU41" i="7"/>
  <c r="AX41" i="7"/>
  <c r="AU42" i="7"/>
  <c r="AX42" i="7"/>
  <c r="AU43" i="7"/>
  <c r="AX43" i="7"/>
  <c r="AU44" i="7"/>
  <c r="AX44" i="7"/>
  <c r="AU45" i="7"/>
  <c r="AX45" i="7"/>
  <c r="AU46" i="7"/>
  <c r="AX46" i="7"/>
  <c r="AU47" i="7"/>
  <c r="AX47" i="7"/>
  <c r="AU48" i="7"/>
  <c r="AX48" i="7"/>
  <c r="AU49" i="7"/>
  <c r="AX49" i="7"/>
  <c r="AU50" i="7"/>
  <c r="AX50" i="7"/>
  <c r="AU51" i="7"/>
  <c r="AX51" i="7"/>
  <c r="AU52" i="7"/>
  <c r="AX52" i="7"/>
  <c r="AU53" i="7"/>
  <c r="AX53" i="7"/>
  <c r="AU54" i="7"/>
  <c r="AX54" i="7"/>
  <c r="AX10" i="7"/>
  <c r="AU10" i="7"/>
  <c r="AU2" i="7"/>
  <c r="AU1" i="7"/>
  <c r="AX2" i="7"/>
  <c r="AX1" i="7"/>
  <c r="AR1" i="7"/>
  <c r="AR2" i="7"/>
  <c r="AM2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10" i="7"/>
  <c r="AQ2" i="7"/>
  <c r="AQ4" i="7"/>
  <c r="AQ1" i="7"/>
  <c r="AP11" i="7"/>
  <c r="AP12" i="7"/>
  <c r="AP13" i="7"/>
  <c r="AP14" i="7"/>
  <c r="AP15" i="7"/>
  <c r="AP16" i="7"/>
  <c r="AP17" i="7"/>
  <c r="AP18" i="7"/>
  <c r="AM18" i="7" s="1"/>
  <c r="AP19" i="7"/>
  <c r="AP20" i="7"/>
  <c r="AP21" i="7"/>
  <c r="AP22" i="7"/>
  <c r="AP23" i="7"/>
  <c r="AP24" i="7"/>
  <c r="AP25" i="7"/>
  <c r="AP26" i="7"/>
  <c r="AM26" i="7" s="1"/>
  <c r="AP27" i="7"/>
  <c r="AP28" i="7"/>
  <c r="AP29" i="7"/>
  <c r="AP30" i="7"/>
  <c r="AP31" i="7"/>
  <c r="AP32" i="7"/>
  <c r="AP33" i="7"/>
  <c r="AP34" i="7"/>
  <c r="AM34" i="7" s="1"/>
  <c r="AP35" i="7"/>
  <c r="AP36" i="7"/>
  <c r="AP37" i="7"/>
  <c r="AP38" i="7"/>
  <c r="AP39" i="7"/>
  <c r="AP40" i="7"/>
  <c r="AP41" i="7"/>
  <c r="AP42" i="7"/>
  <c r="AM42" i="7" s="1"/>
  <c r="AP43" i="7"/>
  <c r="AP44" i="7"/>
  <c r="AP45" i="7"/>
  <c r="AP46" i="7"/>
  <c r="AP47" i="7"/>
  <c r="AP48" i="7"/>
  <c r="AP49" i="7"/>
  <c r="AP50" i="7"/>
  <c r="AM50" i="7" s="1"/>
  <c r="AP51" i="7"/>
  <c r="AP52" i="7"/>
  <c r="AP53" i="7"/>
  <c r="AP54" i="7"/>
  <c r="AP10" i="7"/>
  <c r="AP2" i="7"/>
  <c r="AP4" i="7"/>
  <c r="AP1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10" i="7"/>
  <c r="AL2" i="7"/>
  <c r="AL3" i="7"/>
  <c r="AL1" i="7"/>
  <c r="C8" i="12"/>
  <c r="B8" i="12"/>
  <c r="C7" i="12" a="1"/>
  <c r="C7" i="12" s="1"/>
  <c r="B7" i="12" a="1"/>
  <c r="B7" i="12" s="1"/>
  <c r="C6" i="12" a="1"/>
  <c r="C6" i="12" s="1"/>
  <c r="B6" i="12" a="1"/>
  <c r="B6" i="12" s="1"/>
  <c r="C5" i="12" a="1"/>
  <c r="C5" i="12" s="1"/>
  <c r="B5" i="12" a="1"/>
  <c r="B5" i="12" s="1"/>
  <c r="T2" i="7"/>
  <c r="U2" i="7"/>
  <c r="S2" i="7"/>
  <c r="S1" i="7"/>
  <c r="AH1" i="7" s="1"/>
  <c r="S11" i="7"/>
  <c r="AH11" i="7" s="1"/>
  <c r="S12" i="7"/>
  <c r="AH12" i="7" s="1"/>
  <c r="S13" i="7"/>
  <c r="AH13" i="7" s="1"/>
  <c r="S14" i="7"/>
  <c r="AH14" i="7" s="1"/>
  <c r="S15" i="7"/>
  <c r="AH15" i="7" s="1"/>
  <c r="S16" i="7"/>
  <c r="AH16" i="7" s="1"/>
  <c r="S17" i="7"/>
  <c r="AH17" i="7" s="1"/>
  <c r="S18" i="7"/>
  <c r="AH18" i="7" s="1"/>
  <c r="S19" i="7"/>
  <c r="AH19" i="7" s="1"/>
  <c r="S20" i="7"/>
  <c r="AH20" i="7" s="1"/>
  <c r="S21" i="7"/>
  <c r="AH21" i="7" s="1"/>
  <c r="S22" i="7"/>
  <c r="AH22" i="7" s="1"/>
  <c r="S23" i="7"/>
  <c r="AH23" i="7" s="1"/>
  <c r="S24" i="7"/>
  <c r="AH24" i="7" s="1"/>
  <c r="S25" i="7"/>
  <c r="AH25" i="7" s="1"/>
  <c r="S26" i="7"/>
  <c r="AH26" i="7" s="1"/>
  <c r="S27" i="7"/>
  <c r="AH27" i="7" s="1"/>
  <c r="S28" i="7"/>
  <c r="AH28" i="7" s="1"/>
  <c r="S29" i="7"/>
  <c r="AH29" i="7" s="1"/>
  <c r="S30" i="7"/>
  <c r="AH30" i="7" s="1"/>
  <c r="S31" i="7"/>
  <c r="AH31" i="7" s="1"/>
  <c r="S32" i="7"/>
  <c r="AH32" i="7" s="1"/>
  <c r="S33" i="7"/>
  <c r="AH33" i="7" s="1"/>
  <c r="S34" i="7"/>
  <c r="AH34" i="7" s="1"/>
  <c r="S35" i="7"/>
  <c r="AH35" i="7" s="1"/>
  <c r="S36" i="7"/>
  <c r="AH36" i="7" s="1"/>
  <c r="S37" i="7"/>
  <c r="AH37" i="7" s="1"/>
  <c r="S38" i="7"/>
  <c r="AH38" i="7" s="1"/>
  <c r="S39" i="7"/>
  <c r="AH39" i="7" s="1"/>
  <c r="S40" i="7"/>
  <c r="AH40" i="7" s="1"/>
  <c r="S41" i="7"/>
  <c r="AH41" i="7" s="1"/>
  <c r="S42" i="7"/>
  <c r="AH42" i="7" s="1"/>
  <c r="S43" i="7"/>
  <c r="AH43" i="7" s="1"/>
  <c r="S44" i="7"/>
  <c r="AH44" i="7" s="1"/>
  <c r="S45" i="7"/>
  <c r="AH45" i="7" s="1"/>
  <c r="S46" i="7"/>
  <c r="AH46" i="7" s="1"/>
  <c r="S47" i="7"/>
  <c r="AH47" i="7" s="1"/>
  <c r="S48" i="7"/>
  <c r="AH48" i="7" s="1"/>
  <c r="S49" i="7"/>
  <c r="AH49" i="7" s="1"/>
  <c r="S50" i="7"/>
  <c r="AH50" i="7" s="1"/>
  <c r="S51" i="7"/>
  <c r="AH51" i="7" s="1"/>
  <c r="S52" i="7"/>
  <c r="AH52" i="7" s="1"/>
  <c r="S53" i="7"/>
  <c r="AH53" i="7" s="1"/>
  <c r="S54" i="7"/>
  <c r="AH54" i="7" s="1"/>
  <c r="S10" i="7"/>
  <c r="AH10" i="7" s="1"/>
  <c r="P2" i="7"/>
  <c r="Q2" i="7"/>
  <c r="Q1" i="7"/>
  <c r="AG1" i="7" s="1"/>
  <c r="P1" i="7"/>
  <c r="AF1" i="7" s="1"/>
  <c r="Q10" i="7"/>
  <c r="AG10" i="7" s="1"/>
  <c r="Q11" i="7"/>
  <c r="AG11" i="7" s="1"/>
  <c r="Q12" i="7"/>
  <c r="AG12" i="7" s="1"/>
  <c r="Q13" i="7"/>
  <c r="AG13" i="7" s="1"/>
  <c r="Q14" i="7"/>
  <c r="AG14" i="7" s="1"/>
  <c r="Q15" i="7"/>
  <c r="AG15" i="7" s="1"/>
  <c r="Q16" i="7"/>
  <c r="AG16" i="7" s="1"/>
  <c r="Q17" i="7"/>
  <c r="AG17" i="7" s="1"/>
  <c r="Q18" i="7"/>
  <c r="AG18" i="7" s="1"/>
  <c r="Q19" i="7"/>
  <c r="AG19" i="7" s="1"/>
  <c r="Q20" i="7"/>
  <c r="AG20" i="7" s="1"/>
  <c r="Q21" i="7"/>
  <c r="AG21" i="7" s="1"/>
  <c r="Q22" i="7"/>
  <c r="AG22" i="7" s="1"/>
  <c r="Q23" i="7"/>
  <c r="AG23" i="7" s="1"/>
  <c r="Q24" i="7"/>
  <c r="AG24" i="7" s="1"/>
  <c r="Q25" i="7"/>
  <c r="AG25" i="7" s="1"/>
  <c r="Q26" i="7"/>
  <c r="AG26" i="7" s="1"/>
  <c r="Q27" i="7"/>
  <c r="AG27" i="7" s="1"/>
  <c r="Q28" i="7"/>
  <c r="AG28" i="7" s="1"/>
  <c r="Q29" i="7"/>
  <c r="AG29" i="7" s="1"/>
  <c r="Q30" i="7"/>
  <c r="AG30" i="7" s="1"/>
  <c r="Q31" i="7"/>
  <c r="AG31" i="7" s="1"/>
  <c r="Q32" i="7"/>
  <c r="AG32" i="7" s="1"/>
  <c r="Q33" i="7"/>
  <c r="AG33" i="7" s="1"/>
  <c r="Q34" i="7"/>
  <c r="AG34" i="7" s="1"/>
  <c r="Q35" i="7"/>
  <c r="AG35" i="7" s="1"/>
  <c r="Q36" i="7"/>
  <c r="AG36" i="7" s="1"/>
  <c r="Q37" i="7"/>
  <c r="AG37" i="7" s="1"/>
  <c r="Q38" i="7"/>
  <c r="AG38" i="7" s="1"/>
  <c r="Q39" i="7"/>
  <c r="AG39" i="7" s="1"/>
  <c r="Q40" i="7"/>
  <c r="AG40" i="7" s="1"/>
  <c r="Q41" i="7"/>
  <c r="AG41" i="7" s="1"/>
  <c r="Q42" i="7"/>
  <c r="AG42" i="7" s="1"/>
  <c r="Q43" i="7"/>
  <c r="AG43" i="7" s="1"/>
  <c r="Q44" i="7"/>
  <c r="AG44" i="7" s="1"/>
  <c r="Q45" i="7"/>
  <c r="AG45" i="7" s="1"/>
  <c r="Q46" i="7"/>
  <c r="AG46" i="7" s="1"/>
  <c r="Q47" i="7"/>
  <c r="AG47" i="7" s="1"/>
  <c r="Q48" i="7"/>
  <c r="AG48" i="7" s="1"/>
  <c r="Q49" i="7"/>
  <c r="AG49" i="7" s="1"/>
  <c r="Q50" i="7"/>
  <c r="AG50" i="7" s="1"/>
  <c r="Q51" i="7"/>
  <c r="AG51" i="7" s="1"/>
  <c r="Q52" i="7"/>
  <c r="AG52" i="7" s="1"/>
  <c r="Q53" i="7"/>
  <c r="AG53" i="7" s="1"/>
  <c r="Q54" i="7"/>
  <c r="AG54" i="7" s="1"/>
  <c r="P11" i="7"/>
  <c r="T11" i="7" s="1"/>
  <c r="P12" i="7"/>
  <c r="P13" i="7"/>
  <c r="P14" i="7"/>
  <c r="AF14" i="7" s="1"/>
  <c r="P15" i="7"/>
  <c r="P16" i="7"/>
  <c r="P17" i="7"/>
  <c r="AF17" i="7" s="1"/>
  <c r="P18" i="7"/>
  <c r="P19" i="7"/>
  <c r="T19" i="7" s="1"/>
  <c r="P20" i="7"/>
  <c r="P21" i="7"/>
  <c r="P22" i="7"/>
  <c r="AF22" i="7" s="1"/>
  <c r="P23" i="7"/>
  <c r="P24" i="7"/>
  <c r="P25" i="7"/>
  <c r="AF25" i="7" s="1"/>
  <c r="P26" i="7"/>
  <c r="P27" i="7"/>
  <c r="T27" i="7" s="1"/>
  <c r="P28" i="7"/>
  <c r="P29" i="7"/>
  <c r="P30" i="7"/>
  <c r="AF30" i="7" s="1"/>
  <c r="P31" i="7"/>
  <c r="P32" i="7"/>
  <c r="P33" i="7"/>
  <c r="AF33" i="7" s="1"/>
  <c r="P34" i="7"/>
  <c r="P35" i="7"/>
  <c r="T35" i="7" s="1"/>
  <c r="P36" i="7"/>
  <c r="P37" i="7"/>
  <c r="P38" i="7"/>
  <c r="AF38" i="7" s="1"/>
  <c r="P39" i="7"/>
  <c r="P40" i="7"/>
  <c r="P41" i="7"/>
  <c r="AF41" i="7" s="1"/>
  <c r="P42" i="7"/>
  <c r="P43" i="7"/>
  <c r="T43" i="7" s="1"/>
  <c r="P44" i="7"/>
  <c r="P45" i="7"/>
  <c r="P46" i="7"/>
  <c r="AF46" i="7" s="1"/>
  <c r="P47" i="7"/>
  <c r="P48" i="7"/>
  <c r="P49" i="7"/>
  <c r="AF49" i="7" s="1"/>
  <c r="P50" i="7"/>
  <c r="P51" i="7"/>
  <c r="T51" i="7" s="1"/>
  <c r="P52" i="7"/>
  <c r="P53" i="7"/>
  <c r="P54" i="7"/>
  <c r="AF54" i="7" s="1"/>
  <c r="P10" i="7"/>
  <c r="N54" i="7"/>
  <c r="AD54" i="7" s="1"/>
  <c r="N53" i="7"/>
  <c r="AD53" i="7" s="1"/>
  <c r="N52" i="7"/>
  <c r="AD52" i="7" s="1"/>
  <c r="N51" i="7"/>
  <c r="AD51" i="7" s="1"/>
  <c r="N50" i="7"/>
  <c r="AD50" i="7" s="1"/>
  <c r="N49" i="7"/>
  <c r="AD49" i="7" s="1"/>
  <c r="N48" i="7"/>
  <c r="AD48" i="7" s="1"/>
  <c r="N47" i="7"/>
  <c r="AD47" i="7" s="1"/>
  <c r="N46" i="7"/>
  <c r="AD46" i="7" s="1"/>
  <c r="N45" i="7"/>
  <c r="AD45" i="7" s="1"/>
  <c r="N44" i="7"/>
  <c r="AD44" i="7" s="1"/>
  <c r="N43" i="7"/>
  <c r="AD43" i="7" s="1"/>
  <c r="N42" i="7"/>
  <c r="AD42" i="7" s="1"/>
  <c r="N41" i="7"/>
  <c r="AD41" i="7" s="1"/>
  <c r="N40" i="7"/>
  <c r="AD40" i="7" s="1"/>
  <c r="N39" i="7"/>
  <c r="AD39" i="7" s="1"/>
  <c r="N38" i="7"/>
  <c r="AD38" i="7" s="1"/>
  <c r="N37" i="7"/>
  <c r="AD37" i="7" s="1"/>
  <c r="N36" i="7"/>
  <c r="AD36" i="7" s="1"/>
  <c r="N35" i="7"/>
  <c r="AD35" i="7" s="1"/>
  <c r="N34" i="7"/>
  <c r="AD34" i="7" s="1"/>
  <c r="N33" i="7"/>
  <c r="AD33" i="7" s="1"/>
  <c r="N32" i="7"/>
  <c r="AD32" i="7" s="1"/>
  <c r="N31" i="7"/>
  <c r="AD31" i="7" s="1"/>
  <c r="N30" i="7"/>
  <c r="AD30" i="7" s="1"/>
  <c r="N29" i="7"/>
  <c r="AD29" i="7" s="1"/>
  <c r="N28" i="7"/>
  <c r="AD28" i="7" s="1"/>
  <c r="N27" i="7"/>
  <c r="AD27" i="7" s="1"/>
  <c r="N26" i="7"/>
  <c r="AD26" i="7" s="1"/>
  <c r="N25" i="7"/>
  <c r="AD25" i="7" s="1"/>
  <c r="N24" i="7"/>
  <c r="AD24" i="7" s="1"/>
  <c r="N23" i="7"/>
  <c r="AD23" i="7" s="1"/>
  <c r="N22" i="7"/>
  <c r="AD22" i="7" s="1"/>
  <c r="N21" i="7"/>
  <c r="AD21" i="7" s="1"/>
  <c r="N20" i="7"/>
  <c r="AD20" i="7" s="1"/>
  <c r="N19" i="7"/>
  <c r="AD19" i="7" s="1"/>
  <c r="N18" i="7"/>
  <c r="AD18" i="7" s="1"/>
  <c r="N17" i="7"/>
  <c r="AD17" i="7" s="1"/>
  <c r="N16" i="7"/>
  <c r="AD16" i="7" s="1"/>
  <c r="N15" i="7"/>
  <c r="AD15" i="7" s="1"/>
  <c r="N14" i="7"/>
  <c r="AD14" i="7" s="1"/>
  <c r="N13" i="7"/>
  <c r="AD13" i="7" s="1"/>
  <c r="N12" i="7"/>
  <c r="AD12" i="7" s="1"/>
  <c r="N11" i="7"/>
  <c r="AD11" i="7" s="1"/>
  <c r="N10" i="7"/>
  <c r="AD10" i="7" s="1"/>
  <c r="N4" i="7"/>
  <c r="N2" i="7"/>
  <c r="N1" i="7"/>
  <c r="AD1" i="7" s="1"/>
  <c r="O11" i="7"/>
  <c r="AE11" i="7" s="1"/>
  <c r="O12" i="7"/>
  <c r="AE12" i="7" s="1"/>
  <c r="O13" i="7"/>
  <c r="AE13" i="7" s="1"/>
  <c r="O14" i="7"/>
  <c r="AE14" i="7" s="1"/>
  <c r="O15" i="7"/>
  <c r="AE15" i="7" s="1"/>
  <c r="O16" i="7"/>
  <c r="AE16" i="7" s="1"/>
  <c r="O17" i="7"/>
  <c r="AE17" i="7" s="1"/>
  <c r="O18" i="7"/>
  <c r="AE18" i="7" s="1"/>
  <c r="O19" i="7"/>
  <c r="AE19" i="7" s="1"/>
  <c r="O20" i="7"/>
  <c r="AE20" i="7" s="1"/>
  <c r="O21" i="7"/>
  <c r="AE21" i="7" s="1"/>
  <c r="O22" i="7"/>
  <c r="AE22" i="7" s="1"/>
  <c r="O23" i="7"/>
  <c r="AE23" i="7" s="1"/>
  <c r="O24" i="7"/>
  <c r="AE24" i="7" s="1"/>
  <c r="O25" i="7"/>
  <c r="AE25" i="7" s="1"/>
  <c r="O26" i="7"/>
  <c r="AE26" i="7" s="1"/>
  <c r="O27" i="7"/>
  <c r="AE27" i="7" s="1"/>
  <c r="O28" i="7"/>
  <c r="AE28" i="7" s="1"/>
  <c r="O29" i="7"/>
  <c r="AE29" i="7" s="1"/>
  <c r="O30" i="7"/>
  <c r="AE30" i="7" s="1"/>
  <c r="O31" i="7"/>
  <c r="AE31" i="7" s="1"/>
  <c r="O32" i="7"/>
  <c r="AE32" i="7" s="1"/>
  <c r="O33" i="7"/>
  <c r="AE33" i="7" s="1"/>
  <c r="O34" i="7"/>
  <c r="AE34" i="7" s="1"/>
  <c r="O35" i="7"/>
  <c r="AE35" i="7" s="1"/>
  <c r="O36" i="7"/>
  <c r="AE36" i="7" s="1"/>
  <c r="O37" i="7"/>
  <c r="AE37" i="7" s="1"/>
  <c r="O38" i="7"/>
  <c r="AE38" i="7" s="1"/>
  <c r="O39" i="7"/>
  <c r="AE39" i="7" s="1"/>
  <c r="O40" i="7"/>
  <c r="AE40" i="7" s="1"/>
  <c r="O41" i="7"/>
  <c r="AE41" i="7" s="1"/>
  <c r="O42" i="7"/>
  <c r="AE42" i="7" s="1"/>
  <c r="O43" i="7"/>
  <c r="AE43" i="7" s="1"/>
  <c r="O44" i="7"/>
  <c r="AE44" i="7" s="1"/>
  <c r="O45" i="7"/>
  <c r="AE45" i="7" s="1"/>
  <c r="O46" i="7"/>
  <c r="AE46" i="7" s="1"/>
  <c r="O47" i="7"/>
  <c r="AE47" i="7" s="1"/>
  <c r="O48" i="7"/>
  <c r="AE48" i="7" s="1"/>
  <c r="O49" i="7"/>
  <c r="AE49" i="7" s="1"/>
  <c r="O50" i="7"/>
  <c r="AE50" i="7" s="1"/>
  <c r="O51" i="7"/>
  <c r="AE51" i="7" s="1"/>
  <c r="O52" i="7"/>
  <c r="AE52" i="7" s="1"/>
  <c r="O53" i="7"/>
  <c r="AE53" i="7" s="1"/>
  <c r="O54" i="7"/>
  <c r="AE54" i="7" s="1"/>
  <c r="O10" i="7"/>
  <c r="AE10" i="7" s="1"/>
  <c r="O2" i="7"/>
  <c r="O4" i="7"/>
  <c r="O1" i="7"/>
  <c r="AE1" i="7" s="1"/>
  <c r="J11" i="7"/>
  <c r="Z11" i="7" s="1"/>
  <c r="J12" i="7"/>
  <c r="Z12" i="7" s="1"/>
  <c r="J13" i="7"/>
  <c r="Z13" i="7" s="1"/>
  <c r="J14" i="7"/>
  <c r="Z14" i="7" s="1"/>
  <c r="J15" i="7"/>
  <c r="Z15" i="7" s="1"/>
  <c r="J16" i="7"/>
  <c r="Z16" i="7" s="1"/>
  <c r="J17" i="7"/>
  <c r="Z17" i="7" s="1"/>
  <c r="J18" i="7"/>
  <c r="Z18" i="7" s="1"/>
  <c r="J19" i="7"/>
  <c r="Z19" i="7" s="1"/>
  <c r="J20" i="7"/>
  <c r="Z20" i="7" s="1"/>
  <c r="J21" i="7"/>
  <c r="Z21" i="7" s="1"/>
  <c r="J22" i="7"/>
  <c r="Z22" i="7" s="1"/>
  <c r="J23" i="7"/>
  <c r="Z23" i="7" s="1"/>
  <c r="J24" i="7"/>
  <c r="Z24" i="7" s="1"/>
  <c r="J25" i="7"/>
  <c r="Z25" i="7" s="1"/>
  <c r="J26" i="7"/>
  <c r="Z26" i="7" s="1"/>
  <c r="J27" i="7"/>
  <c r="Z27" i="7" s="1"/>
  <c r="J28" i="7"/>
  <c r="Z28" i="7" s="1"/>
  <c r="J29" i="7"/>
  <c r="Z29" i="7" s="1"/>
  <c r="J30" i="7"/>
  <c r="Z30" i="7" s="1"/>
  <c r="J31" i="7"/>
  <c r="Z31" i="7" s="1"/>
  <c r="J32" i="7"/>
  <c r="Z32" i="7" s="1"/>
  <c r="J33" i="7"/>
  <c r="Z33" i="7" s="1"/>
  <c r="J34" i="7"/>
  <c r="Z34" i="7" s="1"/>
  <c r="J35" i="7"/>
  <c r="Z35" i="7" s="1"/>
  <c r="J36" i="7"/>
  <c r="Z36" i="7" s="1"/>
  <c r="J37" i="7"/>
  <c r="Z37" i="7" s="1"/>
  <c r="J38" i="7"/>
  <c r="Z38" i="7" s="1"/>
  <c r="J39" i="7"/>
  <c r="Z39" i="7" s="1"/>
  <c r="J40" i="7"/>
  <c r="Z40" i="7" s="1"/>
  <c r="J41" i="7"/>
  <c r="Z41" i="7" s="1"/>
  <c r="J42" i="7"/>
  <c r="Z42" i="7" s="1"/>
  <c r="J43" i="7"/>
  <c r="Z43" i="7" s="1"/>
  <c r="J44" i="7"/>
  <c r="Z44" i="7" s="1"/>
  <c r="J45" i="7"/>
  <c r="Z45" i="7" s="1"/>
  <c r="J46" i="7"/>
  <c r="Z46" i="7" s="1"/>
  <c r="J47" i="7"/>
  <c r="Z47" i="7" s="1"/>
  <c r="J48" i="7"/>
  <c r="Z48" i="7" s="1"/>
  <c r="J49" i="7"/>
  <c r="Z49" i="7" s="1"/>
  <c r="J50" i="7"/>
  <c r="Z50" i="7" s="1"/>
  <c r="J51" i="7"/>
  <c r="Z51" i="7" s="1"/>
  <c r="J52" i="7"/>
  <c r="Z52" i="7" s="1"/>
  <c r="J53" i="7"/>
  <c r="Z53" i="7" s="1"/>
  <c r="J54" i="7"/>
  <c r="Z54" i="7" s="1"/>
  <c r="J10" i="7"/>
  <c r="Z10" i="7" s="1"/>
  <c r="J2" i="7"/>
  <c r="J4" i="7"/>
  <c r="J1" i="7"/>
  <c r="Z1" i="7" s="1"/>
  <c r="K11" i="7"/>
  <c r="AA11" i="7" s="1"/>
  <c r="K12" i="7"/>
  <c r="AA12" i="7" s="1"/>
  <c r="K13" i="7"/>
  <c r="AA13" i="7" s="1"/>
  <c r="K14" i="7"/>
  <c r="AA14" i="7" s="1"/>
  <c r="K15" i="7"/>
  <c r="AA15" i="7" s="1"/>
  <c r="K16" i="7"/>
  <c r="AA16" i="7" s="1"/>
  <c r="K17" i="7"/>
  <c r="AA17" i="7" s="1"/>
  <c r="K18" i="7"/>
  <c r="AA18" i="7" s="1"/>
  <c r="K19" i="7"/>
  <c r="AA19" i="7" s="1"/>
  <c r="K20" i="7"/>
  <c r="AA20" i="7" s="1"/>
  <c r="K21" i="7"/>
  <c r="AA21" i="7" s="1"/>
  <c r="K22" i="7"/>
  <c r="AA22" i="7" s="1"/>
  <c r="K23" i="7"/>
  <c r="AA23" i="7" s="1"/>
  <c r="K24" i="7"/>
  <c r="AA24" i="7" s="1"/>
  <c r="K25" i="7"/>
  <c r="AA25" i="7" s="1"/>
  <c r="K26" i="7"/>
  <c r="AA26" i="7" s="1"/>
  <c r="K27" i="7"/>
  <c r="AA27" i="7" s="1"/>
  <c r="K28" i="7"/>
  <c r="AA28" i="7" s="1"/>
  <c r="K29" i="7"/>
  <c r="AA29" i="7" s="1"/>
  <c r="K30" i="7"/>
  <c r="AA30" i="7" s="1"/>
  <c r="K31" i="7"/>
  <c r="AA31" i="7" s="1"/>
  <c r="K32" i="7"/>
  <c r="AA32" i="7" s="1"/>
  <c r="K33" i="7"/>
  <c r="AA33" i="7" s="1"/>
  <c r="K34" i="7"/>
  <c r="AA34" i="7" s="1"/>
  <c r="K35" i="7"/>
  <c r="AA35" i="7" s="1"/>
  <c r="K36" i="7"/>
  <c r="AA36" i="7" s="1"/>
  <c r="K37" i="7"/>
  <c r="AA37" i="7" s="1"/>
  <c r="K38" i="7"/>
  <c r="AA38" i="7" s="1"/>
  <c r="K39" i="7"/>
  <c r="AA39" i="7" s="1"/>
  <c r="K40" i="7"/>
  <c r="AA40" i="7" s="1"/>
  <c r="K41" i="7"/>
  <c r="AA41" i="7" s="1"/>
  <c r="K42" i="7"/>
  <c r="AA42" i="7" s="1"/>
  <c r="K43" i="7"/>
  <c r="AA43" i="7" s="1"/>
  <c r="K44" i="7"/>
  <c r="AA44" i="7" s="1"/>
  <c r="K45" i="7"/>
  <c r="AA45" i="7" s="1"/>
  <c r="K46" i="7"/>
  <c r="AA46" i="7" s="1"/>
  <c r="K47" i="7"/>
  <c r="AA47" i="7" s="1"/>
  <c r="K48" i="7"/>
  <c r="AA48" i="7" s="1"/>
  <c r="K49" i="7"/>
  <c r="AA49" i="7" s="1"/>
  <c r="K50" i="7"/>
  <c r="AA50" i="7" s="1"/>
  <c r="K51" i="7"/>
  <c r="AA51" i="7" s="1"/>
  <c r="K52" i="7"/>
  <c r="AA52" i="7" s="1"/>
  <c r="K53" i="7"/>
  <c r="AA53" i="7" s="1"/>
  <c r="K54" i="7"/>
  <c r="AA54" i="7" s="1"/>
  <c r="K10" i="7"/>
  <c r="AA10" i="7" s="1"/>
  <c r="K2" i="7"/>
  <c r="K4" i="7"/>
  <c r="K1" i="7"/>
  <c r="AA1" i="7" s="1"/>
  <c r="L11" i="7"/>
  <c r="AB11" i="7" s="1"/>
  <c r="L12" i="7"/>
  <c r="AB12" i="7" s="1"/>
  <c r="L13" i="7"/>
  <c r="AB13" i="7" s="1"/>
  <c r="L14" i="7"/>
  <c r="AB14" i="7" s="1"/>
  <c r="L15" i="7"/>
  <c r="AB15" i="7" s="1"/>
  <c r="L16" i="7"/>
  <c r="AB16" i="7" s="1"/>
  <c r="L17" i="7"/>
  <c r="AB17" i="7" s="1"/>
  <c r="L18" i="7"/>
  <c r="AB18" i="7" s="1"/>
  <c r="L19" i="7"/>
  <c r="AB19" i="7" s="1"/>
  <c r="L20" i="7"/>
  <c r="AB20" i="7" s="1"/>
  <c r="L21" i="7"/>
  <c r="AB21" i="7" s="1"/>
  <c r="L22" i="7"/>
  <c r="AB22" i="7" s="1"/>
  <c r="L23" i="7"/>
  <c r="AB23" i="7" s="1"/>
  <c r="L24" i="7"/>
  <c r="AB24" i="7" s="1"/>
  <c r="L25" i="7"/>
  <c r="AB25" i="7" s="1"/>
  <c r="L26" i="7"/>
  <c r="AB26" i="7" s="1"/>
  <c r="L27" i="7"/>
  <c r="AB27" i="7" s="1"/>
  <c r="L28" i="7"/>
  <c r="AB28" i="7" s="1"/>
  <c r="L29" i="7"/>
  <c r="AB29" i="7" s="1"/>
  <c r="L30" i="7"/>
  <c r="AB30" i="7" s="1"/>
  <c r="L31" i="7"/>
  <c r="AB31" i="7" s="1"/>
  <c r="L32" i="7"/>
  <c r="AB32" i="7" s="1"/>
  <c r="L33" i="7"/>
  <c r="AB33" i="7" s="1"/>
  <c r="L34" i="7"/>
  <c r="AB34" i="7" s="1"/>
  <c r="L35" i="7"/>
  <c r="AB35" i="7" s="1"/>
  <c r="L36" i="7"/>
  <c r="AB36" i="7" s="1"/>
  <c r="L37" i="7"/>
  <c r="AB37" i="7" s="1"/>
  <c r="L38" i="7"/>
  <c r="AB38" i="7" s="1"/>
  <c r="L39" i="7"/>
  <c r="AB39" i="7" s="1"/>
  <c r="L40" i="7"/>
  <c r="AB40" i="7" s="1"/>
  <c r="L41" i="7"/>
  <c r="AB41" i="7" s="1"/>
  <c r="L42" i="7"/>
  <c r="AB42" i="7" s="1"/>
  <c r="L43" i="7"/>
  <c r="AB43" i="7" s="1"/>
  <c r="L44" i="7"/>
  <c r="AB44" i="7" s="1"/>
  <c r="L45" i="7"/>
  <c r="AB45" i="7" s="1"/>
  <c r="L46" i="7"/>
  <c r="AB46" i="7" s="1"/>
  <c r="L47" i="7"/>
  <c r="AB47" i="7" s="1"/>
  <c r="L48" i="7"/>
  <c r="AB48" i="7" s="1"/>
  <c r="L49" i="7"/>
  <c r="AB49" i="7" s="1"/>
  <c r="L50" i="7"/>
  <c r="AB50" i="7" s="1"/>
  <c r="L51" i="7"/>
  <c r="AB51" i="7" s="1"/>
  <c r="L52" i="7"/>
  <c r="AB52" i="7" s="1"/>
  <c r="L53" i="7"/>
  <c r="AB53" i="7" s="1"/>
  <c r="L54" i="7"/>
  <c r="AB54" i="7" s="1"/>
  <c r="L10" i="7"/>
  <c r="AB10" i="7" s="1"/>
  <c r="L2" i="7"/>
  <c r="L4" i="7"/>
  <c r="L1" i="7"/>
  <c r="AB1" i="7" s="1"/>
  <c r="C8" i="7"/>
  <c r="B8" i="7"/>
  <c r="M4" i="7"/>
  <c r="M11" i="7"/>
  <c r="AC11" i="7" s="1"/>
  <c r="M12" i="7"/>
  <c r="AC12" i="7" s="1"/>
  <c r="M13" i="7"/>
  <c r="AC13" i="7" s="1"/>
  <c r="M14" i="7"/>
  <c r="AC14" i="7" s="1"/>
  <c r="M15" i="7"/>
  <c r="AC15" i="7" s="1"/>
  <c r="M16" i="7"/>
  <c r="AC16" i="7" s="1"/>
  <c r="M17" i="7"/>
  <c r="AC17" i="7" s="1"/>
  <c r="M18" i="7"/>
  <c r="AC18" i="7" s="1"/>
  <c r="M19" i="7"/>
  <c r="AC19" i="7" s="1"/>
  <c r="M20" i="7"/>
  <c r="AC20" i="7" s="1"/>
  <c r="M21" i="7"/>
  <c r="AC21" i="7" s="1"/>
  <c r="M22" i="7"/>
  <c r="AC22" i="7" s="1"/>
  <c r="M23" i="7"/>
  <c r="AC23" i="7" s="1"/>
  <c r="M24" i="7"/>
  <c r="AC24" i="7" s="1"/>
  <c r="M25" i="7"/>
  <c r="AC25" i="7" s="1"/>
  <c r="M26" i="7"/>
  <c r="AC26" i="7" s="1"/>
  <c r="M27" i="7"/>
  <c r="AC27" i="7" s="1"/>
  <c r="M28" i="7"/>
  <c r="AC28" i="7" s="1"/>
  <c r="M29" i="7"/>
  <c r="AC29" i="7" s="1"/>
  <c r="M30" i="7"/>
  <c r="AC30" i="7" s="1"/>
  <c r="M31" i="7"/>
  <c r="AC31" i="7" s="1"/>
  <c r="M32" i="7"/>
  <c r="AC32" i="7" s="1"/>
  <c r="M33" i="7"/>
  <c r="AC33" i="7" s="1"/>
  <c r="M34" i="7"/>
  <c r="AC34" i="7" s="1"/>
  <c r="M35" i="7"/>
  <c r="AC35" i="7" s="1"/>
  <c r="M36" i="7"/>
  <c r="AC36" i="7" s="1"/>
  <c r="M37" i="7"/>
  <c r="AC37" i="7" s="1"/>
  <c r="M38" i="7"/>
  <c r="AC38" i="7" s="1"/>
  <c r="M39" i="7"/>
  <c r="AC39" i="7" s="1"/>
  <c r="M40" i="7"/>
  <c r="AC40" i="7" s="1"/>
  <c r="M41" i="7"/>
  <c r="AC41" i="7" s="1"/>
  <c r="M42" i="7"/>
  <c r="AC42" i="7" s="1"/>
  <c r="M43" i="7"/>
  <c r="AC43" i="7" s="1"/>
  <c r="M44" i="7"/>
  <c r="AC44" i="7" s="1"/>
  <c r="M45" i="7"/>
  <c r="AC45" i="7" s="1"/>
  <c r="M46" i="7"/>
  <c r="AC46" i="7" s="1"/>
  <c r="M47" i="7"/>
  <c r="AC47" i="7" s="1"/>
  <c r="M48" i="7"/>
  <c r="AC48" i="7" s="1"/>
  <c r="M49" i="7"/>
  <c r="AC49" i="7" s="1"/>
  <c r="M50" i="7"/>
  <c r="AC50" i="7" s="1"/>
  <c r="M51" i="7"/>
  <c r="AC51" i="7" s="1"/>
  <c r="M52" i="7"/>
  <c r="AC52" i="7" s="1"/>
  <c r="M53" i="7"/>
  <c r="AC53" i="7" s="1"/>
  <c r="M54" i="7"/>
  <c r="AC54" i="7" s="1"/>
  <c r="M10" i="7"/>
  <c r="AC10" i="7" s="1"/>
  <c r="M2" i="7"/>
  <c r="M1" i="7"/>
  <c r="AC1" i="7" s="1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P3" i="7" s="1"/>
  <c r="AF3" i="7" s="1"/>
  <c r="U3" i="10"/>
  <c r="Q3" i="7" s="1"/>
  <c r="AG3" i="7" s="1"/>
  <c r="V3" i="10"/>
  <c r="W3" i="10"/>
  <c r="S3" i="7" s="1"/>
  <c r="AH3" i="7" s="1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3" i="10"/>
  <c r="C5" i="7" a="1"/>
  <c r="C5" i="7" s="1"/>
  <c r="C6" i="7" a="1"/>
  <c r="C6" i="7" s="1"/>
  <c r="C7" i="7" a="1"/>
  <c r="C7" i="7" s="1"/>
  <c r="B7" i="7" a="1"/>
  <c r="B7" i="7" s="1"/>
  <c r="B6" i="7" a="1"/>
  <c r="B6" i="7" s="1"/>
  <c r="B5" i="7" a="1"/>
  <c r="B5" i="7" s="1"/>
  <c r="E11" i="7" a="1"/>
  <c r="E11" i="7" s="1"/>
  <c r="G11" i="7" s="1"/>
  <c r="E12" i="7" a="1"/>
  <c r="E12" i="7" s="1"/>
  <c r="G12" i="7" s="1"/>
  <c r="E13" i="7" a="1"/>
  <c r="E13" i="7" s="1"/>
  <c r="G13" i="7" s="1"/>
  <c r="E14" i="7" a="1"/>
  <c r="E14" i="7" s="1"/>
  <c r="G14" i="7" s="1"/>
  <c r="E15" i="7" a="1"/>
  <c r="E15" i="7" s="1"/>
  <c r="G15" i="7" s="1"/>
  <c r="E16" i="7" a="1"/>
  <c r="E16" i="7" s="1"/>
  <c r="G16" i="7" s="1"/>
  <c r="E17" i="7" a="1"/>
  <c r="E17" i="7" s="1"/>
  <c r="G17" i="7" s="1"/>
  <c r="E18" i="7" a="1"/>
  <c r="E18" i="7" s="1"/>
  <c r="G18" i="7" s="1"/>
  <c r="E19" i="7" a="1"/>
  <c r="E19" i="7" s="1"/>
  <c r="G19" i="7" s="1"/>
  <c r="E20" i="7" a="1"/>
  <c r="E20" i="7" s="1"/>
  <c r="G20" i="7" s="1"/>
  <c r="E21" i="7" a="1"/>
  <c r="E21" i="7" s="1"/>
  <c r="G21" i="7" s="1"/>
  <c r="E22" i="7" a="1"/>
  <c r="E22" i="7" s="1"/>
  <c r="G22" i="7" s="1"/>
  <c r="E23" i="7" a="1"/>
  <c r="E23" i="7" s="1"/>
  <c r="G23" i="7" s="1"/>
  <c r="E24" i="7" a="1"/>
  <c r="E24" i="7" s="1"/>
  <c r="G24" i="7" s="1"/>
  <c r="E25" i="7" a="1"/>
  <c r="E25" i="7" s="1"/>
  <c r="G25" i="7" s="1"/>
  <c r="E26" i="7" a="1"/>
  <c r="E26" i="7" s="1"/>
  <c r="G26" i="7" s="1"/>
  <c r="E27" i="7" a="1"/>
  <c r="E27" i="7" s="1"/>
  <c r="G27" i="7" s="1"/>
  <c r="E28" i="7" a="1"/>
  <c r="E28" i="7" s="1"/>
  <c r="G28" i="7" s="1"/>
  <c r="E29" i="7" a="1"/>
  <c r="E29" i="7" s="1"/>
  <c r="G29" i="7" s="1"/>
  <c r="E30" i="7" a="1"/>
  <c r="E30" i="7" s="1"/>
  <c r="G30" i="7" s="1"/>
  <c r="E31" i="7" a="1"/>
  <c r="E31" i="7" s="1"/>
  <c r="G31" i="7" s="1"/>
  <c r="E32" i="7" a="1"/>
  <c r="E32" i="7" s="1"/>
  <c r="G32" i="7" s="1"/>
  <c r="E33" i="7" a="1"/>
  <c r="E33" i="7" s="1"/>
  <c r="G33" i="7" s="1"/>
  <c r="E34" i="7" a="1"/>
  <c r="E34" i="7" s="1"/>
  <c r="G34" i="7" s="1"/>
  <c r="E35" i="7" a="1"/>
  <c r="E35" i="7" s="1"/>
  <c r="G35" i="7" s="1"/>
  <c r="E36" i="7" a="1"/>
  <c r="E36" i="7" s="1"/>
  <c r="G36" i="7" s="1"/>
  <c r="E37" i="7" a="1"/>
  <c r="E37" i="7" s="1"/>
  <c r="G37" i="7" s="1"/>
  <c r="E38" i="7" a="1"/>
  <c r="E38" i="7" s="1"/>
  <c r="G38" i="7" s="1"/>
  <c r="E39" i="7" a="1"/>
  <c r="E39" i="7" s="1"/>
  <c r="G39" i="7" s="1"/>
  <c r="E40" i="7" a="1"/>
  <c r="E40" i="7" s="1"/>
  <c r="G40" i="7" s="1"/>
  <c r="E41" i="7" a="1"/>
  <c r="E41" i="7" s="1"/>
  <c r="G41" i="7" s="1"/>
  <c r="E42" i="7" a="1"/>
  <c r="E42" i="7" s="1"/>
  <c r="G42" i="7" s="1"/>
  <c r="E43" i="7" a="1"/>
  <c r="E43" i="7" s="1"/>
  <c r="G43" i="7" s="1"/>
  <c r="E44" i="7" a="1"/>
  <c r="E44" i="7" s="1"/>
  <c r="G44" i="7" s="1"/>
  <c r="E45" i="7" a="1"/>
  <c r="E45" i="7" s="1"/>
  <c r="G45" i="7" s="1"/>
  <c r="E46" i="7" a="1"/>
  <c r="E46" i="7" s="1"/>
  <c r="G46" i="7" s="1"/>
  <c r="E47" i="7" a="1"/>
  <c r="E47" i="7" s="1"/>
  <c r="G47" i="7" s="1"/>
  <c r="E48" i="7" a="1"/>
  <c r="E48" i="7" s="1"/>
  <c r="G48" i="7" s="1"/>
  <c r="E49" i="7" a="1"/>
  <c r="E49" i="7" s="1"/>
  <c r="G49" i="7" s="1"/>
  <c r="E50" i="7" a="1"/>
  <c r="E50" i="7" s="1"/>
  <c r="G50" i="7" s="1"/>
  <c r="E51" i="7" a="1"/>
  <c r="E51" i="7" s="1"/>
  <c r="G51" i="7" s="1"/>
  <c r="E52" i="7" a="1"/>
  <c r="E52" i="7" s="1"/>
  <c r="G52" i="7" s="1"/>
  <c r="E53" i="7" a="1"/>
  <c r="E53" i="7" s="1"/>
  <c r="G53" i="7" s="1"/>
  <c r="E54" i="7" a="1"/>
  <c r="E54" i="7" s="1"/>
  <c r="G54" i="7" s="1"/>
  <c r="E10" i="7" a="1"/>
  <c r="E10" i="7" s="1"/>
  <c r="G10" i="7" s="1"/>
  <c r="D11" i="7" a="1"/>
  <c r="D11" i="7" s="1"/>
  <c r="F11" i="7" s="1"/>
  <c r="D12" i="7" a="1"/>
  <c r="D12" i="7" s="1"/>
  <c r="F12" i="7" s="1"/>
  <c r="D13" i="7" a="1"/>
  <c r="D13" i="7" s="1"/>
  <c r="F13" i="7" s="1"/>
  <c r="D14" i="7" a="1"/>
  <c r="D14" i="7" s="1"/>
  <c r="F14" i="7" s="1"/>
  <c r="D15" i="7" a="1"/>
  <c r="D15" i="7" s="1"/>
  <c r="F15" i="7" s="1"/>
  <c r="D16" i="7" a="1"/>
  <c r="D16" i="7" s="1"/>
  <c r="F16" i="7" s="1"/>
  <c r="D17" i="7" a="1"/>
  <c r="D17" i="7" s="1"/>
  <c r="F17" i="7" s="1"/>
  <c r="D18" i="7" a="1"/>
  <c r="D18" i="7" s="1"/>
  <c r="F18" i="7" s="1"/>
  <c r="D19" i="7" a="1"/>
  <c r="D19" i="7" s="1"/>
  <c r="F19" i="7" s="1"/>
  <c r="D20" i="7" a="1"/>
  <c r="D20" i="7" s="1"/>
  <c r="F20" i="7" s="1"/>
  <c r="D21" i="7" a="1"/>
  <c r="D21" i="7" s="1"/>
  <c r="F21" i="7" s="1"/>
  <c r="D22" i="7" a="1"/>
  <c r="D22" i="7" s="1"/>
  <c r="F22" i="7" s="1"/>
  <c r="D23" i="7" a="1"/>
  <c r="D23" i="7" s="1"/>
  <c r="F23" i="7" s="1"/>
  <c r="D24" i="7" a="1"/>
  <c r="D24" i="7" s="1"/>
  <c r="F24" i="7" s="1"/>
  <c r="D25" i="7" a="1"/>
  <c r="D25" i="7" s="1"/>
  <c r="F25" i="7" s="1"/>
  <c r="D26" i="7" a="1"/>
  <c r="D26" i="7" s="1"/>
  <c r="F26" i="7" s="1"/>
  <c r="D27" i="7" a="1"/>
  <c r="D27" i="7" s="1"/>
  <c r="F27" i="7" s="1"/>
  <c r="D28" i="7" a="1"/>
  <c r="D28" i="7" s="1"/>
  <c r="F28" i="7" s="1"/>
  <c r="D29" i="7" a="1"/>
  <c r="D29" i="7" s="1"/>
  <c r="F29" i="7" s="1"/>
  <c r="D30" i="7" a="1"/>
  <c r="D30" i="7" s="1"/>
  <c r="F30" i="7" s="1"/>
  <c r="D31" i="7" a="1"/>
  <c r="D31" i="7" s="1"/>
  <c r="F31" i="7" s="1"/>
  <c r="D32" i="7" a="1"/>
  <c r="D32" i="7" s="1"/>
  <c r="F32" i="7" s="1"/>
  <c r="D33" i="7" a="1"/>
  <c r="D33" i="7" s="1"/>
  <c r="F33" i="7" s="1"/>
  <c r="D34" i="7" a="1"/>
  <c r="D34" i="7" s="1"/>
  <c r="F34" i="7" s="1"/>
  <c r="D35" i="7" a="1"/>
  <c r="D35" i="7" s="1"/>
  <c r="F35" i="7" s="1"/>
  <c r="D36" i="7" a="1"/>
  <c r="D36" i="7" s="1"/>
  <c r="F36" i="7" s="1"/>
  <c r="D37" i="7" a="1"/>
  <c r="D37" i="7" s="1"/>
  <c r="F37" i="7" s="1"/>
  <c r="D38" i="7" a="1"/>
  <c r="D38" i="7" s="1"/>
  <c r="F38" i="7" s="1"/>
  <c r="D39" i="7" a="1"/>
  <c r="D39" i="7" s="1"/>
  <c r="F39" i="7" s="1"/>
  <c r="D40" i="7" a="1"/>
  <c r="D40" i="7" s="1"/>
  <c r="F40" i="7" s="1"/>
  <c r="D41" i="7" a="1"/>
  <c r="D41" i="7" s="1"/>
  <c r="F41" i="7" s="1"/>
  <c r="D42" i="7" a="1"/>
  <c r="D42" i="7" s="1"/>
  <c r="F42" i="7" s="1"/>
  <c r="D43" i="7" a="1"/>
  <c r="D43" i="7" s="1"/>
  <c r="F43" i="7" s="1"/>
  <c r="D44" i="7" a="1"/>
  <c r="D44" i="7" s="1"/>
  <c r="F44" i="7" s="1"/>
  <c r="D45" i="7" a="1"/>
  <c r="D45" i="7" s="1"/>
  <c r="F45" i="7" s="1"/>
  <c r="D46" i="7" a="1"/>
  <c r="D46" i="7" s="1"/>
  <c r="F46" i="7" s="1"/>
  <c r="D47" i="7" a="1"/>
  <c r="D47" i="7" s="1"/>
  <c r="F47" i="7" s="1"/>
  <c r="D48" i="7" a="1"/>
  <c r="D48" i="7" s="1"/>
  <c r="F48" i="7" s="1"/>
  <c r="D49" i="7" a="1"/>
  <c r="D49" i="7" s="1"/>
  <c r="F49" i="7" s="1"/>
  <c r="D50" i="7" a="1"/>
  <c r="D50" i="7" s="1"/>
  <c r="F50" i="7" s="1"/>
  <c r="D51" i="7" a="1"/>
  <c r="D51" i="7" s="1"/>
  <c r="F51" i="7" s="1"/>
  <c r="D52" i="7" a="1"/>
  <c r="D52" i="7" s="1"/>
  <c r="F52" i="7" s="1"/>
  <c r="D53" i="7" a="1"/>
  <c r="D53" i="7" s="1"/>
  <c r="F53" i="7" s="1"/>
  <c r="D54" i="7" a="1"/>
  <c r="D54" i="7" s="1"/>
  <c r="F54" i="7" s="1"/>
  <c r="D10" i="7" a="1"/>
  <c r="D10" i="7" s="1"/>
  <c r="F10" i="7" s="1"/>
  <c r="C3" i="5"/>
  <c r="D3" i="5"/>
  <c r="E3" i="5"/>
  <c r="F3" i="5"/>
  <c r="G3" i="5"/>
  <c r="J3" i="7" s="1"/>
  <c r="Z3" i="7" s="1"/>
  <c r="H3" i="5"/>
  <c r="I3" i="5"/>
  <c r="AU3" i="7" s="1"/>
  <c r="J3" i="5"/>
  <c r="K3" i="7" s="1"/>
  <c r="AA3" i="7" s="1"/>
  <c r="K3" i="5"/>
  <c r="L3" i="5"/>
  <c r="M3" i="5"/>
  <c r="N3" i="5"/>
  <c r="L3" i="7" s="1"/>
  <c r="AB3" i="7" s="1"/>
  <c r="O3" i="5"/>
  <c r="AP3" i="7" s="1"/>
  <c r="P3" i="5"/>
  <c r="M3" i="7" s="1"/>
  <c r="AC3" i="7" s="1"/>
  <c r="Q3" i="5"/>
  <c r="R3" i="5"/>
  <c r="S3" i="5"/>
  <c r="AQ3" i="7" s="1"/>
  <c r="T3" i="5"/>
  <c r="U3" i="5"/>
  <c r="N3" i="7" s="1"/>
  <c r="AD3" i="7" s="1"/>
  <c r="V3" i="5"/>
  <c r="O3" i="7" s="1"/>
  <c r="AE3" i="7" s="1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B3" i="5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B3" i="3"/>
  <c r="AV119" i="13" l="1"/>
  <c r="AZ119" i="13" s="1"/>
  <c r="AV116" i="13"/>
  <c r="AY116" i="13" s="1"/>
  <c r="AV118" i="13"/>
  <c r="AY118" i="13" s="1"/>
  <c r="AV115" i="13"/>
  <c r="AY115" i="13" s="1"/>
  <c r="AV117" i="13"/>
  <c r="AZ117" i="13" s="1"/>
  <c r="AT64" i="13"/>
  <c r="AG48" i="12"/>
  <c r="AG40" i="12"/>
  <c r="AG32" i="12"/>
  <c r="AG24" i="12"/>
  <c r="AG16" i="12"/>
  <c r="AG52" i="12"/>
  <c r="AG44" i="12"/>
  <c r="AG36" i="12"/>
  <c r="AG28" i="12"/>
  <c r="AG20" i="12"/>
  <c r="AG12" i="12"/>
  <c r="AG50" i="12"/>
  <c r="AG42" i="12"/>
  <c r="AG34" i="12"/>
  <c r="AG26" i="12"/>
  <c r="AG18" i="12"/>
  <c r="AG10" i="12"/>
  <c r="AG49" i="12"/>
  <c r="AG41" i="12"/>
  <c r="AG33" i="12"/>
  <c r="AG25" i="12"/>
  <c r="AG17" i="12"/>
  <c r="AG47" i="12"/>
  <c r="AG39" i="12"/>
  <c r="AG31" i="12"/>
  <c r="AG23" i="12"/>
  <c r="AG15" i="12"/>
  <c r="AG54" i="12"/>
  <c r="AG46" i="12"/>
  <c r="AG38" i="12"/>
  <c r="AG30" i="12"/>
  <c r="AG22" i="12"/>
  <c r="AG14" i="12"/>
  <c r="AG53" i="12"/>
  <c r="AG45" i="12"/>
  <c r="AG37" i="12"/>
  <c r="AG29" i="12"/>
  <c r="AG21" i="12"/>
  <c r="AG13" i="12"/>
  <c r="AG51" i="12"/>
  <c r="AG43" i="12"/>
  <c r="AG35" i="12"/>
  <c r="AG27" i="12"/>
  <c r="AG19" i="12"/>
  <c r="AG11" i="12"/>
  <c r="P54" i="12"/>
  <c r="P50" i="12"/>
  <c r="P46" i="12"/>
  <c r="P42" i="12"/>
  <c r="P38" i="12"/>
  <c r="P34" i="12"/>
  <c r="P30" i="12"/>
  <c r="P26" i="12"/>
  <c r="P22" i="12"/>
  <c r="P18" i="12"/>
  <c r="P14" i="12"/>
  <c r="AC50" i="12"/>
  <c r="AC42" i="12"/>
  <c r="AC34" i="12"/>
  <c r="AC26" i="12"/>
  <c r="AC18" i="12"/>
  <c r="O54" i="12"/>
  <c r="O50" i="12"/>
  <c r="O46" i="12"/>
  <c r="O42" i="12"/>
  <c r="O38" i="12"/>
  <c r="O34" i="12"/>
  <c r="O30" i="12"/>
  <c r="O26" i="12"/>
  <c r="O22" i="12"/>
  <c r="O18" i="12"/>
  <c r="O14" i="12"/>
  <c r="AC49" i="12"/>
  <c r="AC41" i="12"/>
  <c r="AC33" i="12"/>
  <c r="AC25" i="12"/>
  <c r="AC17" i="12"/>
  <c r="P53" i="12"/>
  <c r="P49" i="12"/>
  <c r="P45" i="12"/>
  <c r="P41" i="12"/>
  <c r="P37" i="12"/>
  <c r="P33" i="12"/>
  <c r="P29" i="12"/>
  <c r="P25" i="12"/>
  <c r="P21" i="12"/>
  <c r="P17" i="12"/>
  <c r="P13" i="12"/>
  <c r="AC48" i="12"/>
  <c r="AC40" i="12"/>
  <c r="AC32" i="12"/>
  <c r="AC24" i="12"/>
  <c r="AC16" i="12"/>
  <c r="O53" i="12"/>
  <c r="O49" i="12"/>
  <c r="O45" i="12"/>
  <c r="O41" i="12"/>
  <c r="O37" i="12"/>
  <c r="O33" i="12"/>
  <c r="O29" i="12"/>
  <c r="O25" i="12"/>
  <c r="O21" i="12"/>
  <c r="O17" i="12"/>
  <c r="O13" i="12"/>
  <c r="AC10" i="12"/>
  <c r="AC47" i="12"/>
  <c r="AC39" i="12"/>
  <c r="AC31" i="12"/>
  <c r="AC23" i="12"/>
  <c r="AC15" i="12"/>
  <c r="P52" i="12"/>
  <c r="P48" i="12"/>
  <c r="P44" i="12"/>
  <c r="P40" i="12"/>
  <c r="P36" i="12"/>
  <c r="P32" i="12"/>
  <c r="P28" i="12"/>
  <c r="P24" i="12"/>
  <c r="P20" i="12"/>
  <c r="P16" i="12"/>
  <c r="P12" i="12"/>
  <c r="AC54" i="12"/>
  <c r="AC46" i="12"/>
  <c r="AC38" i="12"/>
  <c r="AC30" i="12"/>
  <c r="AC22" i="12"/>
  <c r="AC14" i="12"/>
  <c r="O52" i="12"/>
  <c r="O48" i="12"/>
  <c r="O44" i="12"/>
  <c r="O40" i="12"/>
  <c r="O36" i="12"/>
  <c r="O32" i="12"/>
  <c r="O28" i="12"/>
  <c r="O24" i="12"/>
  <c r="O20" i="12"/>
  <c r="O16" i="12"/>
  <c r="O12" i="12"/>
  <c r="AC53" i="12"/>
  <c r="AC45" i="12"/>
  <c r="AC37" i="12"/>
  <c r="AC29" i="12"/>
  <c r="AC21" i="12"/>
  <c r="AC13" i="12"/>
  <c r="P51" i="12"/>
  <c r="P47" i="12"/>
  <c r="P43" i="12"/>
  <c r="P39" i="12"/>
  <c r="P35" i="12"/>
  <c r="P31" i="12"/>
  <c r="P27" i="12"/>
  <c r="P23" i="12"/>
  <c r="P19" i="12"/>
  <c r="P15" i="12"/>
  <c r="P11" i="12"/>
  <c r="AC52" i="12"/>
  <c r="AC44" i="12"/>
  <c r="AC36" i="12"/>
  <c r="AC28" i="12"/>
  <c r="AC20" i="12"/>
  <c r="AC12" i="12"/>
  <c r="P10" i="12"/>
  <c r="O51" i="12"/>
  <c r="O47" i="12"/>
  <c r="O43" i="12"/>
  <c r="O39" i="12"/>
  <c r="O35" i="12"/>
  <c r="O31" i="12"/>
  <c r="O27" i="12"/>
  <c r="O23" i="12"/>
  <c r="O19" i="12"/>
  <c r="O15" i="12"/>
  <c r="O11" i="12"/>
  <c r="AC51" i="12"/>
  <c r="AC43" i="12"/>
  <c r="AC35" i="12"/>
  <c r="AC27" i="12"/>
  <c r="AC19" i="12"/>
  <c r="AC11" i="12"/>
  <c r="BC70" i="13"/>
  <c r="BD70" i="13"/>
  <c r="AU70" i="13"/>
  <c r="AV70" i="13"/>
  <c r="AV89" i="13"/>
  <c r="BD89" i="13" s="1"/>
  <c r="AU89" i="13"/>
  <c r="AV90" i="13"/>
  <c r="BD90" i="13" s="1"/>
  <c r="AU90" i="13"/>
  <c r="AV94" i="13"/>
  <c r="BD94" i="13" s="1"/>
  <c r="AU94" i="13"/>
  <c r="AU91" i="13"/>
  <c r="AV91" i="13"/>
  <c r="BD91" i="13" s="1"/>
  <c r="AV83" i="13"/>
  <c r="BD83" i="13" s="1"/>
  <c r="AU83" i="13"/>
  <c r="AV93" i="13"/>
  <c r="BD93" i="13" s="1"/>
  <c r="AU93" i="13"/>
  <c r="AV114" i="13"/>
  <c r="BD114" i="13" s="1"/>
  <c r="AU114" i="13"/>
  <c r="O10" i="12"/>
  <c r="I38" i="12"/>
  <c r="J19" i="12"/>
  <c r="I22" i="12"/>
  <c r="J43" i="12"/>
  <c r="I46" i="12"/>
  <c r="J27" i="12"/>
  <c r="I30" i="12"/>
  <c r="J51" i="12"/>
  <c r="J11" i="12"/>
  <c r="I54" i="12"/>
  <c r="I14" i="12"/>
  <c r="J35" i="12"/>
  <c r="BK48" i="7"/>
  <c r="BK40" i="7"/>
  <c r="BK32" i="7"/>
  <c r="BK24" i="7"/>
  <c r="BK16" i="7"/>
  <c r="T53" i="7"/>
  <c r="T45" i="7"/>
  <c r="T37" i="7"/>
  <c r="V37" i="7" s="1"/>
  <c r="T29" i="7"/>
  <c r="T21" i="7"/>
  <c r="T13" i="7"/>
  <c r="AY49" i="7"/>
  <c r="AY41" i="7"/>
  <c r="T50" i="7"/>
  <c r="T42" i="7"/>
  <c r="T34" i="7"/>
  <c r="V34" i="7" s="1"/>
  <c r="T26" i="7"/>
  <c r="T18" i="7"/>
  <c r="T48" i="7"/>
  <c r="T40" i="7"/>
  <c r="T32" i="7"/>
  <c r="W32" i="7" s="1"/>
  <c r="T24" i="7"/>
  <c r="T16" i="7"/>
  <c r="T10" i="7"/>
  <c r="W10" i="7" s="1"/>
  <c r="T47" i="7"/>
  <c r="T39" i="7"/>
  <c r="T31" i="7"/>
  <c r="T23" i="7"/>
  <c r="T15" i="7"/>
  <c r="W15" i="7" s="1"/>
  <c r="AU113" i="13"/>
  <c r="AV113" i="13"/>
  <c r="AU101" i="13"/>
  <c r="AV101" i="13"/>
  <c r="BD101" i="13" s="1"/>
  <c r="AU106" i="13"/>
  <c r="AU102" i="13"/>
  <c r="AV105" i="13"/>
  <c r="BD105" i="13" s="1"/>
  <c r="AV110" i="13"/>
  <c r="BD110" i="13" s="1"/>
  <c r="AU105" i="13"/>
  <c r="AU110" i="13"/>
  <c r="AV104" i="13"/>
  <c r="BD104" i="13" s="1"/>
  <c r="AV111" i="13"/>
  <c r="BD111" i="13" s="1"/>
  <c r="AU104" i="13"/>
  <c r="AU111" i="13"/>
  <c r="AV107" i="13"/>
  <c r="BD107" i="13" s="1"/>
  <c r="AV103" i="13"/>
  <c r="BD103" i="13" s="1"/>
  <c r="AU107" i="13"/>
  <c r="AU103" i="13"/>
  <c r="AV108" i="13"/>
  <c r="BD108" i="13" s="1"/>
  <c r="AV106" i="13"/>
  <c r="BD106" i="13" s="1"/>
  <c r="AV102" i="13"/>
  <c r="BD102" i="13" s="1"/>
  <c r="AU108" i="13"/>
  <c r="AU100" i="13"/>
  <c r="AV100" i="13"/>
  <c r="BD100" i="13" s="1"/>
  <c r="AV109" i="13"/>
  <c r="BD109" i="13" s="1"/>
  <c r="AU109" i="13"/>
  <c r="AV86" i="13"/>
  <c r="BD86" i="13" s="1"/>
  <c r="AU86" i="13"/>
  <c r="AU85" i="13"/>
  <c r="AU84" i="13"/>
  <c r="AV85" i="13"/>
  <c r="BD85" i="13" s="1"/>
  <c r="AV84" i="13"/>
  <c r="BD84" i="13" s="1"/>
  <c r="AV82" i="13"/>
  <c r="BD82" i="13" s="1"/>
  <c r="AV81" i="13"/>
  <c r="BD81" i="13" s="1"/>
  <c r="AV77" i="13"/>
  <c r="BD77" i="13" s="1"/>
  <c r="AV98" i="13"/>
  <c r="BD98" i="13" s="1"/>
  <c r="AU81" i="13"/>
  <c r="AU98" i="13"/>
  <c r="AV80" i="13"/>
  <c r="AV92" i="13"/>
  <c r="BD92" i="13" s="1"/>
  <c r="AU80" i="13"/>
  <c r="AU92" i="13"/>
  <c r="AV79" i="13"/>
  <c r="BD79" i="13" s="1"/>
  <c r="AV88" i="13"/>
  <c r="BD88" i="13" s="1"/>
  <c r="AU74" i="13"/>
  <c r="BC115" i="13" s="1"/>
  <c r="AU79" i="13"/>
  <c r="AU88" i="13"/>
  <c r="AU82" i="13"/>
  <c r="V51" i="7"/>
  <c r="W51" i="7"/>
  <c r="V43" i="7"/>
  <c r="W43" i="7"/>
  <c r="V35" i="7"/>
  <c r="W35" i="7"/>
  <c r="V27" i="7"/>
  <c r="W27" i="7"/>
  <c r="V19" i="7"/>
  <c r="W19" i="7"/>
  <c r="V11" i="7"/>
  <c r="W11" i="7"/>
  <c r="V50" i="7"/>
  <c r="W50" i="7"/>
  <c r="V42" i="7"/>
  <c r="W42" i="7"/>
  <c r="V26" i="7"/>
  <c r="W26" i="7"/>
  <c r="V18" i="7"/>
  <c r="W18" i="7"/>
  <c r="W48" i="7"/>
  <c r="V48" i="7"/>
  <c r="W40" i="7"/>
  <c r="V40" i="7"/>
  <c r="W24" i="7"/>
  <c r="V24" i="7"/>
  <c r="W16" i="7"/>
  <c r="V16" i="7"/>
  <c r="W47" i="7"/>
  <c r="V47" i="7"/>
  <c r="W39" i="7"/>
  <c r="V39" i="7"/>
  <c r="W31" i="7"/>
  <c r="V31" i="7"/>
  <c r="W23" i="7"/>
  <c r="V23" i="7"/>
  <c r="V53" i="7"/>
  <c r="W53" i="7"/>
  <c r="V45" i="7"/>
  <c r="W45" i="7"/>
  <c r="V29" i="7"/>
  <c r="W29" i="7"/>
  <c r="V21" i="7"/>
  <c r="W21" i="7"/>
  <c r="V13" i="7"/>
  <c r="W13" i="7"/>
  <c r="T44" i="7"/>
  <c r="T28" i="7"/>
  <c r="T12" i="7"/>
  <c r="T49" i="7"/>
  <c r="T41" i="7"/>
  <c r="T33" i="7"/>
  <c r="T25" i="7"/>
  <c r="T17" i="7"/>
  <c r="AY53" i="7"/>
  <c r="AY45" i="7"/>
  <c r="AY37" i="7"/>
  <c r="AY29" i="7"/>
  <c r="AY21" i="7"/>
  <c r="AY13" i="7"/>
  <c r="BK53" i="7"/>
  <c r="BK49" i="7"/>
  <c r="BK45" i="7"/>
  <c r="BK41" i="7"/>
  <c r="BK37" i="7"/>
  <c r="BK33" i="7"/>
  <c r="BK29" i="7"/>
  <c r="BK25" i="7"/>
  <c r="BK21" i="7"/>
  <c r="BK17" i="7"/>
  <c r="BK13" i="7"/>
  <c r="BL51" i="7"/>
  <c r="BL43" i="7"/>
  <c r="BM43" i="7" s="1"/>
  <c r="BL35" i="7"/>
  <c r="BL27" i="7"/>
  <c r="BL19" i="7"/>
  <c r="BL11" i="7"/>
  <c r="BM11" i="7" s="1"/>
  <c r="T52" i="7"/>
  <c r="T36" i="7"/>
  <c r="T20" i="7"/>
  <c r="T54" i="7"/>
  <c r="T46" i="7"/>
  <c r="T38" i="7"/>
  <c r="T30" i="7"/>
  <c r="T22" i="7"/>
  <c r="T14" i="7"/>
  <c r="AY25" i="7"/>
  <c r="AY17" i="7"/>
  <c r="BK46" i="7"/>
  <c r="BK38" i="7"/>
  <c r="BK30" i="7"/>
  <c r="BK22" i="7"/>
  <c r="BK14" i="7"/>
  <c r="BG42" i="7"/>
  <c r="AY52" i="7"/>
  <c r="AY44" i="7"/>
  <c r="AY36" i="7"/>
  <c r="AY28" i="7"/>
  <c r="AY20" i="7"/>
  <c r="AY12" i="7"/>
  <c r="AY51" i="7"/>
  <c r="AY47" i="7"/>
  <c r="AY43" i="7"/>
  <c r="AY39" i="7"/>
  <c r="AY35" i="7"/>
  <c r="AY31" i="7"/>
  <c r="AY27" i="7"/>
  <c r="AY23" i="7"/>
  <c r="AY19" i="7"/>
  <c r="AY15" i="7"/>
  <c r="AY11" i="7"/>
  <c r="AY10" i="7"/>
  <c r="BK54" i="7"/>
  <c r="BG50" i="7"/>
  <c r="AY46" i="7"/>
  <c r="AY42" i="7"/>
  <c r="AY38" i="7"/>
  <c r="AY34" i="7"/>
  <c r="AY30" i="7"/>
  <c r="AY26" i="7"/>
  <c r="AY22" i="7"/>
  <c r="BG18" i="7"/>
  <c r="AY14" i="7"/>
  <c r="BK47" i="7"/>
  <c r="BK39" i="7"/>
  <c r="BK31" i="7"/>
  <c r="BK23" i="7"/>
  <c r="BK15" i="7"/>
  <c r="BG33" i="7"/>
  <c r="BK10" i="7"/>
  <c r="BG51" i="7"/>
  <c r="BG47" i="7"/>
  <c r="BG43" i="7"/>
  <c r="BG39" i="7"/>
  <c r="BG35" i="7"/>
  <c r="BG31" i="7"/>
  <c r="BG27" i="7"/>
  <c r="BG23" i="7"/>
  <c r="BG19" i="7"/>
  <c r="BG15" i="7"/>
  <c r="BG11" i="7"/>
  <c r="BK50" i="7"/>
  <c r="BK42" i="7"/>
  <c r="BK34" i="7"/>
  <c r="BK26" i="7"/>
  <c r="BK18" i="7"/>
  <c r="AY50" i="7"/>
  <c r="AY18" i="7"/>
  <c r="BG34" i="7"/>
  <c r="BG26" i="7"/>
  <c r="AY33" i="7"/>
  <c r="AY48" i="7"/>
  <c r="AY40" i="7"/>
  <c r="AY32" i="7"/>
  <c r="AY24" i="7"/>
  <c r="AY16" i="7"/>
  <c r="BG49" i="7"/>
  <c r="BG41" i="7"/>
  <c r="BG25" i="7"/>
  <c r="BK51" i="7"/>
  <c r="BK43" i="7"/>
  <c r="BK35" i="7"/>
  <c r="BK27" i="7"/>
  <c r="BK19" i="7"/>
  <c r="BK11" i="7"/>
  <c r="BK52" i="7"/>
  <c r="BK44" i="7"/>
  <c r="BK36" i="7"/>
  <c r="BK28" i="7"/>
  <c r="BK20" i="7"/>
  <c r="BK12" i="7"/>
  <c r="AY54" i="7"/>
  <c r="W8" i="12"/>
  <c r="W5" i="12" a="1"/>
  <c r="W5" i="12" s="1"/>
  <c r="K5" i="12" a="1"/>
  <c r="K5" i="12" s="1"/>
  <c r="K8" i="12"/>
  <c r="L5" i="12" a="1"/>
  <c r="L5" i="12" s="1"/>
  <c r="L8" i="12"/>
  <c r="U46" i="12"/>
  <c r="J14" i="12"/>
  <c r="I17" i="12"/>
  <c r="J22" i="12"/>
  <c r="I25" i="12"/>
  <c r="J30" i="12"/>
  <c r="I33" i="12"/>
  <c r="J38" i="12"/>
  <c r="I41" i="12"/>
  <c r="J46" i="12"/>
  <c r="I49" i="12"/>
  <c r="J54" i="12"/>
  <c r="U51" i="12"/>
  <c r="U43" i="12"/>
  <c r="U35" i="12"/>
  <c r="U27" i="12"/>
  <c r="U19" i="12"/>
  <c r="U11" i="12"/>
  <c r="U54" i="12"/>
  <c r="I12" i="12"/>
  <c r="J17" i="12"/>
  <c r="I20" i="12"/>
  <c r="J25" i="12"/>
  <c r="I28" i="12"/>
  <c r="J33" i="12"/>
  <c r="I36" i="12"/>
  <c r="J41" i="12"/>
  <c r="I44" i="12"/>
  <c r="J49" i="12"/>
  <c r="I52" i="12"/>
  <c r="U48" i="12"/>
  <c r="U40" i="12"/>
  <c r="U32" i="12"/>
  <c r="U24" i="12"/>
  <c r="U16" i="12"/>
  <c r="U30" i="12"/>
  <c r="U14" i="12"/>
  <c r="J12" i="12"/>
  <c r="I15" i="12"/>
  <c r="J20" i="12"/>
  <c r="I23" i="12"/>
  <c r="J28" i="12"/>
  <c r="I31" i="12"/>
  <c r="J36" i="12"/>
  <c r="I39" i="12"/>
  <c r="J44" i="12"/>
  <c r="I47" i="12"/>
  <c r="J52" i="12"/>
  <c r="U10" i="12"/>
  <c r="U53" i="12"/>
  <c r="U45" i="12"/>
  <c r="U37" i="12"/>
  <c r="U29" i="12"/>
  <c r="U21" i="12"/>
  <c r="U13" i="12"/>
  <c r="S33" i="12"/>
  <c r="V33" i="12" s="1"/>
  <c r="I10" i="12"/>
  <c r="J15" i="12"/>
  <c r="I18" i="12"/>
  <c r="J23" i="12"/>
  <c r="I26" i="12"/>
  <c r="J31" i="12"/>
  <c r="I34" i="12"/>
  <c r="J39" i="12"/>
  <c r="I42" i="12"/>
  <c r="J47" i="12"/>
  <c r="I50" i="12"/>
  <c r="U50" i="12"/>
  <c r="U42" i="12"/>
  <c r="U34" i="12"/>
  <c r="U26" i="12"/>
  <c r="U18" i="12"/>
  <c r="S25" i="12"/>
  <c r="V25" i="12" s="1"/>
  <c r="J10" i="12"/>
  <c r="I13" i="12"/>
  <c r="J18" i="12"/>
  <c r="I21" i="12"/>
  <c r="J26" i="12"/>
  <c r="I29" i="12"/>
  <c r="J34" i="12"/>
  <c r="I37" i="12"/>
  <c r="J42" i="12"/>
  <c r="I45" i="12"/>
  <c r="J50" i="12"/>
  <c r="I53" i="12"/>
  <c r="U47" i="12"/>
  <c r="U39" i="12"/>
  <c r="U31" i="12"/>
  <c r="U23" i="12"/>
  <c r="U15" i="12"/>
  <c r="U38" i="12"/>
  <c r="U22" i="12"/>
  <c r="J13" i="12"/>
  <c r="I16" i="12"/>
  <c r="J21" i="12"/>
  <c r="I24" i="12"/>
  <c r="J29" i="12"/>
  <c r="I32" i="12"/>
  <c r="J37" i="12"/>
  <c r="I40" i="12"/>
  <c r="J45" i="12"/>
  <c r="I48" i="12"/>
  <c r="J53" i="12"/>
  <c r="U52" i="12"/>
  <c r="U44" i="12"/>
  <c r="U36" i="12"/>
  <c r="U28" i="12"/>
  <c r="U20" i="12"/>
  <c r="U12" i="12"/>
  <c r="I11" i="12"/>
  <c r="J16" i="12"/>
  <c r="I19" i="12"/>
  <c r="J24" i="12"/>
  <c r="I27" i="12"/>
  <c r="J32" i="12"/>
  <c r="I35" i="12"/>
  <c r="J40" i="12"/>
  <c r="I43" i="12"/>
  <c r="J48" i="12"/>
  <c r="I51" i="12"/>
  <c r="U49" i="12"/>
  <c r="U41" i="12"/>
  <c r="U17" i="12"/>
  <c r="BG54" i="7"/>
  <c r="BG46" i="7"/>
  <c r="BG38" i="7"/>
  <c r="BG30" i="7"/>
  <c r="BG22" i="7"/>
  <c r="BG14" i="7"/>
  <c r="BG53" i="7"/>
  <c r="BG45" i="7"/>
  <c r="BG37" i="7"/>
  <c r="BG29" i="7"/>
  <c r="BG21" i="7"/>
  <c r="BG17" i="7"/>
  <c r="BG13" i="7"/>
  <c r="BJ7" i="7"/>
  <c r="BG52" i="7"/>
  <c r="BG48" i="7"/>
  <c r="BG44" i="7"/>
  <c r="BG40" i="7"/>
  <c r="BG36" i="7"/>
  <c r="BG32" i="7"/>
  <c r="BG28" i="7"/>
  <c r="BG24" i="7"/>
  <c r="BG20" i="7"/>
  <c r="BG16" i="7"/>
  <c r="BG12" i="7"/>
  <c r="BG10" i="7"/>
  <c r="BT46" i="7"/>
  <c r="BP46" i="7" s="1"/>
  <c r="BT38" i="7"/>
  <c r="BP38" i="7" s="1"/>
  <c r="BT30" i="7"/>
  <c r="BP30" i="7" s="1"/>
  <c r="BT22" i="7"/>
  <c r="BP22" i="7" s="1"/>
  <c r="BT14" i="7"/>
  <c r="BP14" i="7" s="1"/>
  <c r="BL10" i="7"/>
  <c r="BM10" i="7" s="1"/>
  <c r="BL47" i="7"/>
  <c r="BM47" i="7" s="1"/>
  <c r="BL39" i="7"/>
  <c r="BM39" i="7" s="1"/>
  <c r="BL31" i="7"/>
  <c r="BM31" i="7" s="1"/>
  <c r="BL23" i="7"/>
  <c r="BM23" i="7" s="1"/>
  <c r="BL15" i="7"/>
  <c r="BM15" i="7" s="1"/>
  <c r="BM51" i="7"/>
  <c r="BM35" i="7"/>
  <c r="BM27" i="7"/>
  <c r="BM19" i="7"/>
  <c r="BL50" i="7"/>
  <c r="BM50" i="7" s="1"/>
  <c r="BL42" i="7"/>
  <c r="BM42" i="7" s="1"/>
  <c r="BL34" i="7"/>
  <c r="BM34" i="7" s="1"/>
  <c r="BL26" i="7"/>
  <c r="BM26" i="7" s="1"/>
  <c r="BL18" i="7"/>
  <c r="BM18" i="7" s="1"/>
  <c r="BT48" i="7"/>
  <c r="BP48" i="7" s="1"/>
  <c r="BT40" i="7"/>
  <c r="BP40" i="7" s="1"/>
  <c r="BT32" i="7"/>
  <c r="BP32" i="7" s="1"/>
  <c r="BT24" i="7"/>
  <c r="BP24" i="7" s="1"/>
  <c r="BT16" i="7"/>
  <c r="BP16" i="7" s="1"/>
  <c r="BL49" i="7"/>
  <c r="BM49" i="7" s="1"/>
  <c r="BL33" i="7"/>
  <c r="BM33" i="7" s="1"/>
  <c r="BL17" i="7"/>
  <c r="BM17" i="7" s="1"/>
  <c r="BL48" i="7"/>
  <c r="BM48" i="7" s="1"/>
  <c r="BL40" i="7"/>
  <c r="BM40" i="7" s="1"/>
  <c r="BL32" i="7"/>
  <c r="BM32" i="7" s="1"/>
  <c r="BL24" i="7"/>
  <c r="BM24" i="7" s="1"/>
  <c r="BL16" i="7"/>
  <c r="BM16" i="7" s="1"/>
  <c r="BL25" i="7"/>
  <c r="BM25" i="7" s="1"/>
  <c r="BL41" i="7"/>
  <c r="BM41" i="7" s="1"/>
  <c r="BL54" i="7"/>
  <c r="BM54" i="7" s="1"/>
  <c r="BL46" i="7"/>
  <c r="BM46" i="7" s="1"/>
  <c r="BL38" i="7"/>
  <c r="BM38" i="7" s="1"/>
  <c r="BL30" i="7"/>
  <c r="BM30" i="7" s="1"/>
  <c r="BL22" i="7"/>
  <c r="BM22" i="7" s="1"/>
  <c r="BL14" i="7"/>
  <c r="BM14" i="7" s="1"/>
  <c r="BL53" i="7"/>
  <c r="BM53" i="7" s="1"/>
  <c r="BL45" i="7"/>
  <c r="BM45" i="7" s="1"/>
  <c r="BL37" i="7"/>
  <c r="BM37" i="7" s="1"/>
  <c r="BL29" i="7"/>
  <c r="BM29" i="7" s="1"/>
  <c r="BL21" i="7"/>
  <c r="BM21" i="7" s="1"/>
  <c r="BL13" i="7"/>
  <c r="BM13" i="7" s="1"/>
  <c r="BF7" i="7"/>
  <c r="BL52" i="7"/>
  <c r="BM52" i="7" s="1"/>
  <c r="BL44" i="7"/>
  <c r="BM44" i="7" s="1"/>
  <c r="BL36" i="7"/>
  <c r="BM36" i="7" s="1"/>
  <c r="BL28" i="7"/>
  <c r="BM28" i="7" s="1"/>
  <c r="BL20" i="7"/>
  <c r="BM20" i="7" s="1"/>
  <c r="BL12" i="7"/>
  <c r="BM12" i="7" s="1"/>
  <c r="BT50" i="7"/>
  <c r="BP50" i="7" s="1"/>
  <c r="BT42" i="7"/>
  <c r="BP42" i="7" s="1"/>
  <c r="BT34" i="7"/>
  <c r="BP34" i="7" s="1"/>
  <c r="BT26" i="7"/>
  <c r="BP26" i="7" s="1"/>
  <c r="BT18" i="7"/>
  <c r="BP18" i="7" s="1"/>
  <c r="BT53" i="7"/>
  <c r="BP53" i="7" s="1"/>
  <c r="BT45" i="7"/>
  <c r="BP45" i="7" s="1"/>
  <c r="BT37" i="7"/>
  <c r="BP37" i="7" s="1"/>
  <c r="BT29" i="7"/>
  <c r="BP29" i="7" s="1"/>
  <c r="BT21" i="7"/>
  <c r="BP21" i="7" s="1"/>
  <c r="BT13" i="7"/>
  <c r="BP13" i="7" s="1"/>
  <c r="BT52" i="7"/>
  <c r="BP52" i="7" s="1"/>
  <c r="BT44" i="7"/>
  <c r="BP44" i="7" s="1"/>
  <c r="BT36" i="7"/>
  <c r="BP36" i="7" s="1"/>
  <c r="BT28" i="7"/>
  <c r="BP28" i="7" s="1"/>
  <c r="BT20" i="7"/>
  <c r="BP20" i="7" s="1"/>
  <c r="BT12" i="7"/>
  <c r="BP12" i="7" s="1"/>
  <c r="BT10" i="7"/>
  <c r="BP10" i="7" s="1"/>
  <c r="BT47" i="7"/>
  <c r="BP47" i="7" s="1"/>
  <c r="BT39" i="7"/>
  <c r="BP39" i="7" s="1"/>
  <c r="BT31" i="7"/>
  <c r="BP31" i="7" s="1"/>
  <c r="BT23" i="7"/>
  <c r="BP23" i="7" s="1"/>
  <c r="BT15" i="7"/>
  <c r="BP15" i="7" s="1"/>
  <c r="BT54" i="7"/>
  <c r="BP54" i="7" s="1"/>
  <c r="BT51" i="7"/>
  <c r="BP51" i="7" s="1"/>
  <c r="BT43" i="7"/>
  <c r="BP43" i="7" s="1"/>
  <c r="BT35" i="7"/>
  <c r="BP35" i="7" s="1"/>
  <c r="BT27" i="7"/>
  <c r="BP27" i="7" s="1"/>
  <c r="BT19" i="7"/>
  <c r="BP19" i="7" s="1"/>
  <c r="BT11" i="7"/>
  <c r="BP11" i="7" s="1"/>
  <c r="BT49" i="7"/>
  <c r="BP49" i="7" s="1"/>
  <c r="BT41" i="7"/>
  <c r="BP41" i="7" s="1"/>
  <c r="BT33" i="7"/>
  <c r="BP33" i="7" s="1"/>
  <c r="BT25" i="7"/>
  <c r="BP25" i="7" s="1"/>
  <c r="BT17" i="7"/>
  <c r="BP17" i="7" s="1"/>
  <c r="AV10" i="7"/>
  <c r="AW10" i="7" s="1"/>
  <c r="AV19" i="7"/>
  <c r="AW19" i="7" s="1"/>
  <c r="AV11" i="7"/>
  <c r="AV54" i="7"/>
  <c r="AW54" i="7" s="1"/>
  <c r="AV50" i="7"/>
  <c r="AW50" i="7" s="1"/>
  <c r="AV46" i="7"/>
  <c r="AW46" i="7" s="1"/>
  <c r="AV42" i="7"/>
  <c r="AW42" i="7" s="1"/>
  <c r="AV38" i="7"/>
  <c r="AW38" i="7" s="1"/>
  <c r="AV34" i="7"/>
  <c r="AW34" i="7" s="1"/>
  <c r="AV30" i="7"/>
  <c r="AW30" i="7" s="1"/>
  <c r="AV26" i="7"/>
  <c r="AW26" i="7" s="1"/>
  <c r="AV22" i="7"/>
  <c r="AW22" i="7" s="1"/>
  <c r="AV18" i="7"/>
  <c r="AW18" i="7" s="1"/>
  <c r="AV52" i="7"/>
  <c r="AW52" i="7" s="1"/>
  <c r="AV44" i="7"/>
  <c r="AW44" i="7" s="1"/>
  <c r="AV36" i="7"/>
  <c r="AW36" i="7" s="1"/>
  <c r="AV28" i="7"/>
  <c r="AW28" i="7" s="1"/>
  <c r="AV20" i="7"/>
  <c r="AW20" i="7" s="1"/>
  <c r="AZ53" i="7"/>
  <c r="BA53" i="7" s="1"/>
  <c r="AZ49" i="7"/>
  <c r="BA49" i="7" s="1"/>
  <c r="AZ45" i="7"/>
  <c r="BA45" i="7" s="1"/>
  <c r="AV53" i="7"/>
  <c r="AW53" i="7" s="1"/>
  <c r="AV49" i="7"/>
  <c r="AW49" i="7" s="1"/>
  <c r="AV45" i="7"/>
  <c r="AW45" i="7" s="1"/>
  <c r="AV41" i="7"/>
  <c r="AW41" i="7" s="1"/>
  <c r="AV37" i="7"/>
  <c r="AW37" i="7" s="1"/>
  <c r="AV33" i="7"/>
  <c r="AW33" i="7" s="1"/>
  <c r="AV29" i="7"/>
  <c r="AW29" i="7" s="1"/>
  <c r="AV25" i="7"/>
  <c r="AW25" i="7" s="1"/>
  <c r="AV21" i="7"/>
  <c r="AW21" i="7" s="1"/>
  <c r="AV17" i="7"/>
  <c r="AW17" i="7" s="1"/>
  <c r="AV13" i="7"/>
  <c r="AW13" i="7" s="1"/>
  <c r="AV12" i="7"/>
  <c r="AW12" i="7" s="1"/>
  <c r="AV14" i="7"/>
  <c r="AW14" i="7" s="1"/>
  <c r="AW11" i="7"/>
  <c r="AV51" i="7"/>
  <c r="AW51" i="7" s="1"/>
  <c r="AV43" i="7"/>
  <c r="AW43" i="7" s="1"/>
  <c r="AV35" i="7"/>
  <c r="AW35" i="7" s="1"/>
  <c r="AV27" i="7"/>
  <c r="AW27" i="7" s="1"/>
  <c r="AZ41" i="7"/>
  <c r="BA41" i="7" s="1"/>
  <c r="AZ37" i="7"/>
  <c r="BA37" i="7" s="1"/>
  <c r="AZ33" i="7"/>
  <c r="BA33" i="7" s="1"/>
  <c r="AZ29" i="7"/>
  <c r="BA29" i="7" s="1"/>
  <c r="AZ25" i="7"/>
  <c r="BA25" i="7" s="1"/>
  <c r="AV47" i="7"/>
  <c r="AW47" i="7" s="1"/>
  <c r="AV39" i="7"/>
  <c r="AW39" i="7" s="1"/>
  <c r="AV31" i="7"/>
  <c r="AW31" i="7" s="1"/>
  <c r="AV23" i="7"/>
  <c r="AW23" i="7" s="1"/>
  <c r="AV15" i="7"/>
  <c r="AW15" i="7" s="1"/>
  <c r="AZ21" i="7"/>
  <c r="BA21" i="7" s="1"/>
  <c r="AZ17" i="7"/>
  <c r="BA17" i="7" s="1"/>
  <c r="AZ13" i="7"/>
  <c r="BA13" i="7" s="1"/>
  <c r="AZ52" i="7"/>
  <c r="BA52" i="7" s="1"/>
  <c r="AZ48" i="7"/>
  <c r="BA48" i="7" s="1"/>
  <c r="AZ44" i="7"/>
  <c r="BA44" i="7" s="1"/>
  <c r="AV48" i="7"/>
  <c r="AW48" i="7" s="1"/>
  <c r="AV40" i="7"/>
  <c r="AW40" i="7" s="1"/>
  <c r="AV32" i="7"/>
  <c r="AW32" i="7" s="1"/>
  <c r="AV24" i="7"/>
  <c r="AW24" i="7" s="1"/>
  <c r="AV16" i="7"/>
  <c r="AW16" i="7" s="1"/>
  <c r="AZ40" i="7"/>
  <c r="BA40" i="7" s="1"/>
  <c r="AZ10" i="7"/>
  <c r="BA10" i="7" s="1"/>
  <c r="AZ54" i="7"/>
  <c r="BA54" i="7" s="1"/>
  <c r="AZ50" i="7"/>
  <c r="BA50" i="7" s="1"/>
  <c r="AZ46" i="7"/>
  <c r="BA46" i="7" s="1"/>
  <c r="AZ42" i="7"/>
  <c r="BA42" i="7" s="1"/>
  <c r="AZ38" i="7"/>
  <c r="BA38" i="7" s="1"/>
  <c r="AZ34" i="7"/>
  <c r="BA34" i="7" s="1"/>
  <c r="AZ30" i="7"/>
  <c r="BA30" i="7" s="1"/>
  <c r="AZ26" i="7"/>
  <c r="BA26" i="7" s="1"/>
  <c r="AZ22" i="7"/>
  <c r="BA22" i="7" s="1"/>
  <c r="AZ18" i="7"/>
  <c r="BA18" i="7" s="1"/>
  <c r="AZ14" i="7"/>
  <c r="BA14" i="7" s="1"/>
  <c r="AZ36" i="7"/>
  <c r="BA36" i="7" s="1"/>
  <c r="AZ32" i="7"/>
  <c r="BA32" i="7" s="1"/>
  <c r="AZ28" i="7"/>
  <c r="BA28" i="7" s="1"/>
  <c r="AZ24" i="7"/>
  <c r="BA24" i="7" s="1"/>
  <c r="AZ20" i="7"/>
  <c r="BA20" i="7" s="1"/>
  <c r="AZ16" i="7"/>
  <c r="BA16" i="7" s="1"/>
  <c r="AZ12" i="7"/>
  <c r="BA12" i="7" s="1"/>
  <c r="AZ51" i="7"/>
  <c r="BA51" i="7" s="1"/>
  <c r="AZ47" i="7"/>
  <c r="BA47" i="7" s="1"/>
  <c r="AZ43" i="7"/>
  <c r="BA43" i="7" s="1"/>
  <c r="AZ39" i="7"/>
  <c r="BA39" i="7" s="1"/>
  <c r="AZ35" i="7"/>
  <c r="BA35" i="7" s="1"/>
  <c r="AZ31" i="7"/>
  <c r="BA31" i="7" s="1"/>
  <c r="AZ27" i="7"/>
  <c r="BA27" i="7" s="1"/>
  <c r="AZ23" i="7"/>
  <c r="BA23" i="7" s="1"/>
  <c r="AZ19" i="7"/>
  <c r="BA19" i="7" s="1"/>
  <c r="AZ15" i="7"/>
  <c r="BA15" i="7" s="1"/>
  <c r="AZ11" i="7"/>
  <c r="BA11" i="7" s="1"/>
  <c r="AR10" i="7"/>
  <c r="AS10" i="7" s="1"/>
  <c r="AR51" i="7"/>
  <c r="AS51" i="7" s="1"/>
  <c r="AR43" i="7"/>
  <c r="AS43" i="7" s="1"/>
  <c r="AR35" i="7"/>
  <c r="AS35" i="7" s="1"/>
  <c r="AR27" i="7"/>
  <c r="AS27" i="7" s="1"/>
  <c r="AR19" i="7"/>
  <c r="AS19" i="7" s="1"/>
  <c r="AR11" i="7"/>
  <c r="AS11" i="7" s="1"/>
  <c r="AR54" i="7"/>
  <c r="AS54" i="7" s="1"/>
  <c r="AR50" i="7"/>
  <c r="AS50" i="7" s="1"/>
  <c r="AR46" i="7"/>
  <c r="AS46" i="7" s="1"/>
  <c r="AR42" i="7"/>
  <c r="AS42" i="7" s="1"/>
  <c r="AR38" i="7"/>
  <c r="AS38" i="7" s="1"/>
  <c r="AR34" i="7"/>
  <c r="AS34" i="7" s="1"/>
  <c r="AR30" i="7"/>
  <c r="AS30" i="7" s="1"/>
  <c r="AR26" i="7"/>
  <c r="AS26" i="7" s="1"/>
  <c r="AR22" i="7"/>
  <c r="AS22" i="7" s="1"/>
  <c r="AR18" i="7"/>
  <c r="AS18" i="7" s="1"/>
  <c r="AR33" i="7"/>
  <c r="AS33" i="7" s="1"/>
  <c r="AR52" i="7"/>
  <c r="AS52" i="7" s="1"/>
  <c r="AR48" i="7"/>
  <c r="AS48" i="7" s="1"/>
  <c r="AR44" i="7"/>
  <c r="AS44" i="7" s="1"/>
  <c r="AR40" i="7"/>
  <c r="AS40" i="7" s="1"/>
  <c r="AR36" i="7"/>
  <c r="AS36" i="7" s="1"/>
  <c r="AR32" i="7"/>
  <c r="AS32" i="7" s="1"/>
  <c r="AR28" i="7"/>
  <c r="AS28" i="7" s="1"/>
  <c r="AR24" i="7"/>
  <c r="AS24" i="7" s="1"/>
  <c r="AR20" i="7"/>
  <c r="AS20" i="7" s="1"/>
  <c r="AR16" i="7"/>
  <c r="AS16" i="7" s="1"/>
  <c r="AR12" i="7"/>
  <c r="AS12" i="7" s="1"/>
  <c r="AR14" i="7"/>
  <c r="AS14" i="7" s="1"/>
  <c r="AR53" i="7"/>
  <c r="AS53" i="7" s="1"/>
  <c r="AR49" i="7"/>
  <c r="AS49" i="7" s="1"/>
  <c r="AR45" i="7"/>
  <c r="AS45" i="7" s="1"/>
  <c r="AR41" i="7"/>
  <c r="AS41" i="7" s="1"/>
  <c r="AR37" i="7"/>
  <c r="AS37" i="7" s="1"/>
  <c r="AR29" i="7"/>
  <c r="AS29" i="7" s="1"/>
  <c r="AR25" i="7"/>
  <c r="AS25" i="7" s="1"/>
  <c r="AR21" i="7"/>
  <c r="AS21" i="7" s="1"/>
  <c r="AR17" i="7"/>
  <c r="AS17" i="7" s="1"/>
  <c r="AR13" i="7"/>
  <c r="AS13" i="7" s="1"/>
  <c r="AR47" i="7"/>
  <c r="AS47" i="7" s="1"/>
  <c r="AR39" i="7"/>
  <c r="AS39" i="7" s="1"/>
  <c r="AR31" i="7"/>
  <c r="AS31" i="7" s="1"/>
  <c r="AR23" i="7"/>
  <c r="AS23" i="7" s="1"/>
  <c r="AR15" i="7"/>
  <c r="AS15" i="7" s="1"/>
  <c r="AM51" i="7"/>
  <c r="AN51" i="7" s="1"/>
  <c r="AM43" i="7"/>
  <c r="AN43" i="7" s="1"/>
  <c r="AM35" i="7"/>
  <c r="AN35" i="7" s="1"/>
  <c r="AM27" i="7"/>
  <c r="AN27" i="7" s="1"/>
  <c r="AM19" i="7"/>
  <c r="AN19" i="7" s="1"/>
  <c r="AM11" i="7"/>
  <c r="AN11" i="7" s="1"/>
  <c r="AM49" i="7"/>
  <c r="AN49" i="7" s="1"/>
  <c r="AM41" i="7"/>
  <c r="AN41" i="7" s="1"/>
  <c r="AM33" i="7"/>
  <c r="AN33" i="7" s="1"/>
  <c r="AM25" i="7"/>
  <c r="AN25" i="7" s="1"/>
  <c r="AM17" i="7"/>
  <c r="AN17" i="7" s="1"/>
  <c r="AM54" i="7"/>
  <c r="AN54" i="7" s="1"/>
  <c r="AM46" i="7"/>
  <c r="AN46" i="7" s="1"/>
  <c r="AM38" i="7"/>
  <c r="AN38" i="7" s="1"/>
  <c r="AM30" i="7"/>
  <c r="AN30" i="7" s="1"/>
  <c r="AM22" i="7"/>
  <c r="AN22" i="7" s="1"/>
  <c r="AM14" i="7"/>
  <c r="AN14" i="7" s="1"/>
  <c r="AN42" i="7"/>
  <c r="AM52" i="7"/>
  <c r="AN52" i="7" s="1"/>
  <c r="AM44" i="7"/>
  <c r="AN44" i="7" s="1"/>
  <c r="AM36" i="7"/>
  <c r="AN36" i="7" s="1"/>
  <c r="AM28" i="7"/>
  <c r="AN28" i="7" s="1"/>
  <c r="AM20" i="7"/>
  <c r="AN20" i="7" s="1"/>
  <c r="AM12" i="7"/>
  <c r="AN12" i="7" s="1"/>
  <c r="AN50" i="7"/>
  <c r="AN34" i="7"/>
  <c r="AN26" i="7"/>
  <c r="AN18" i="7"/>
  <c r="AM53" i="7"/>
  <c r="AN53" i="7" s="1"/>
  <c r="AM45" i="7"/>
  <c r="AN45" i="7" s="1"/>
  <c r="AM37" i="7"/>
  <c r="AN37" i="7" s="1"/>
  <c r="AM29" i="7"/>
  <c r="AN29" i="7" s="1"/>
  <c r="AM21" i="7"/>
  <c r="AN21" i="7" s="1"/>
  <c r="AM13" i="7"/>
  <c r="AN13" i="7" s="1"/>
  <c r="AM10" i="7"/>
  <c r="AN10" i="7" s="1"/>
  <c r="AM47" i="7"/>
  <c r="AN47" i="7" s="1"/>
  <c r="AM39" i="7"/>
  <c r="AN39" i="7" s="1"/>
  <c r="AM31" i="7"/>
  <c r="AN31" i="7" s="1"/>
  <c r="AM23" i="7"/>
  <c r="AN23" i="7" s="1"/>
  <c r="AM15" i="7"/>
  <c r="AN15" i="7" s="1"/>
  <c r="AM48" i="7"/>
  <c r="AN48" i="7" s="1"/>
  <c r="AM40" i="7"/>
  <c r="AN40" i="7" s="1"/>
  <c r="AM32" i="7"/>
  <c r="AN32" i="7" s="1"/>
  <c r="AM24" i="7"/>
  <c r="AN24" i="7" s="1"/>
  <c r="AM16" i="7"/>
  <c r="AN16" i="7" s="1"/>
  <c r="AF53" i="7"/>
  <c r="AF45" i="7"/>
  <c r="AF37" i="7"/>
  <c r="AF29" i="7"/>
  <c r="AF21" i="7"/>
  <c r="AF13" i="7"/>
  <c r="U48" i="7"/>
  <c r="U40" i="7"/>
  <c r="U32" i="7"/>
  <c r="U24" i="7"/>
  <c r="U16" i="7"/>
  <c r="AF50" i="7"/>
  <c r="AF42" i="7"/>
  <c r="AF34" i="7"/>
  <c r="AF26" i="7"/>
  <c r="AF18" i="7"/>
  <c r="AF10" i="7"/>
  <c r="U10" i="7"/>
  <c r="U47" i="7"/>
  <c r="U39" i="7"/>
  <c r="U31" i="7"/>
  <c r="U23" i="7"/>
  <c r="U15" i="7"/>
  <c r="AF47" i="7"/>
  <c r="AF39" i="7"/>
  <c r="AF31" i="7"/>
  <c r="AF23" i="7"/>
  <c r="AF15" i="7"/>
  <c r="U54" i="7"/>
  <c r="U46" i="7"/>
  <c r="U38" i="7"/>
  <c r="U30" i="7"/>
  <c r="U22" i="7"/>
  <c r="U14" i="7"/>
  <c r="AF52" i="7"/>
  <c r="AF44" i="7"/>
  <c r="AF36" i="7"/>
  <c r="AF28" i="7"/>
  <c r="AF20" i="7"/>
  <c r="AF12" i="7"/>
  <c r="U53" i="7"/>
  <c r="U45" i="7"/>
  <c r="U37" i="7"/>
  <c r="U29" i="7"/>
  <c r="U21" i="7"/>
  <c r="U13" i="7"/>
  <c r="U52" i="7"/>
  <c r="U44" i="7"/>
  <c r="U36" i="7"/>
  <c r="U28" i="7"/>
  <c r="U20" i="7"/>
  <c r="U12" i="7"/>
  <c r="U51" i="7"/>
  <c r="U43" i="7"/>
  <c r="U35" i="7"/>
  <c r="U27" i="7"/>
  <c r="U19" i="7"/>
  <c r="U11" i="7"/>
  <c r="AF51" i="7"/>
  <c r="AF43" i="7"/>
  <c r="AF35" i="7"/>
  <c r="AF27" i="7"/>
  <c r="AF19" i="7"/>
  <c r="AF11" i="7"/>
  <c r="U50" i="7"/>
  <c r="U42" i="7"/>
  <c r="U34" i="7"/>
  <c r="U26" i="7"/>
  <c r="U18" i="7"/>
  <c r="AF48" i="7"/>
  <c r="AF40" i="7"/>
  <c r="AF32" i="7"/>
  <c r="AF24" i="7"/>
  <c r="AF16" i="7"/>
  <c r="U49" i="7"/>
  <c r="U41" i="7"/>
  <c r="U33" i="7"/>
  <c r="U25" i="7"/>
  <c r="U17" i="7"/>
  <c r="F8" i="7"/>
  <c r="G8" i="7"/>
  <c r="E8" i="7"/>
  <c r="D8" i="7"/>
  <c r="AJ36" i="7"/>
  <c r="AJ54" i="7"/>
  <c r="AJ46" i="7"/>
  <c r="AJ38" i="7"/>
  <c r="AJ30" i="7"/>
  <c r="AJ22" i="7"/>
  <c r="AJ14" i="7"/>
  <c r="AJ37" i="7"/>
  <c r="AJ52" i="7"/>
  <c r="AJ44" i="7"/>
  <c r="AJ28" i="7"/>
  <c r="AJ20" i="7"/>
  <c r="AJ12" i="7"/>
  <c r="AJ53" i="7"/>
  <c r="AJ45" i="7"/>
  <c r="AJ29" i="7"/>
  <c r="AJ21" i="7"/>
  <c r="AJ13" i="7"/>
  <c r="AJ51" i="7"/>
  <c r="AJ35" i="7"/>
  <c r="AJ27" i="7"/>
  <c r="AJ19" i="7"/>
  <c r="AJ10" i="7"/>
  <c r="AJ50" i="7"/>
  <c r="AJ42" i="7"/>
  <c r="AJ34" i="7"/>
  <c r="AJ26" i="7"/>
  <c r="AJ18" i="7"/>
  <c r="AJ49" i="7"/>
  <c r="AJ41" i="7"/>
  <c r="AJ33" i="7"/>
  <c r="AJ25" i="7"/>
  <c r="AJ17" i="7"/>
  <c r="AJ48" i="7"/>
  <c r="AJ40" i="7"/>
  <c r="AJ32" i="7"/>
  <c r="AJ24" i="7"/>
  <c r="AJ16" i="7"/>
  <c r="AJ47" i="7"/>
  <c r="AJ39" i="7"/>
  <c r="AJ31" i="7"/>
  <c r="AJ23" i="7"/>
  <c r="AJ15" i="7"/>
  <c r="AJ43" i="7"/>
  <c r="AJ11" i="7"/>
  <c r="E5" i="7" a="1"/>
  <c r="E5" i="7" s="1"/>
  <c r="G5" i="7" s="1"/>
  <c r="D5" i="7" a="1"/>
  <c r="D5" i="7" s="1"/>
  <c r="F5" i="7" s="1"/>
  <c r="E7" i="7" a="1"/>
  <c r="E7" i="7" s="1"/>
  <c r="G7" i="7" s="1"/>
  <c r="D7" i="7" a="1"/>
  <c r="D7" i="7" s="1"/>
  <c r="F7" i="7" s="1"/>
  <c r="E6" i="7" a="1"/>
  <c r="E6" i="7" s="1"/>
  <c r="D6" i="7" a="1"/>
  <c r="D6" i="7" s="1"/>
  <c r="BD119" i="13" l="1"/>
  <c r="AZ115" i="13"/>
  <c r="BD118" i="13"/>
  <c r="AZ116" i="13"/>
  <c r="AY119" i="13"/>
  <c r="BI119" i="13"/>
  <c r="AY117" i="13"/>
  <c r="BD117" i="13"/>
  <c r="BD116" i="13"/>
  <c r="AZ118" i="13"/>
  <c r="BD115" i="13"/>
  <c r="BI115" i="13"/>
  <c r="BI118" i="13"/>
  <c r="BI116" i="13"/>
  <c r="BI117" i="13"/>
  <c r="BH115" i="13"/>
  <c r="BH116" i="13"/>
  <c r="BH119" i="13"/>
  <c r="BH117" i="13"/>
  <c r="BC116" i="13"/>
  <c r="BH118" i="13"/>
  <c r="BC119" i="13"/>
  <c r="BC117" i="13"/>
  <c r="BC118" i="13"/>
  <c r="BD113" i="13"/>
  <c r="BD80" i="13"/>
  <c r="AV95" i="13"/>
  <c r="BD95" i="13" s="1"/>
  <c r="AU95" i="13"/>
  <c r="BC77" i="13"/>
  <c r="BC81" i="13"/>
  <c r="BC85" i="13"/>
  <c r="BC104" i="13"/>
  <c r="BC82" i="13"/>
  <c r="BC86" i="13"/>
  <c r="BC93" i="13"/>
  <c r="BC90" i="13"/>
  <c r="BH92" i="13"/>
  <c r="BC92" i="13"/>
  <c r="BC106" i="13"/>
  <c r="BH88" i="13"/>
  <c r="BC88" i="13"/>
  <c r="BC101" i="13"/>
  <c r="BC80" i="13"/>
  <c r="BH79" i="13"/>
  <c r="BC79" i="13"/>
  <c r="BC98" i="13"/>
  <c r="BC84" i="13"/>
  <c r="BC109" i="13"/>
  <c r="BC103" i="13"/>
  <c r="BC110" i="13"/>
  <c r="BC114" i="13"/>
  <c r="BC83" i="13"/>
  <c r="BC89" i="13"/>
  <c r="BC107" i="13"/>
  <c r="BC105" i="13"/>
  <c r="BC113" i="13"/>
  <c r="BC100" i="13"/>
  <c r="BC91" i="13"/>
  <c r="BC108" i="13"/>
  <c r="BC111" i="13"/>
  <c r="BC102" i="13"/>
  <c r="BC94" i="13"/>
  <c r="AY74" i="13"/>
  <c r="AY89" i="13"/>
  <c r="AZ89" i="13"/>
  <c r="AY90" i="13"/>
  <c r="BI90" i="13"/>
  <c r="BI89" i="13"/>
  <c r="BH89" i="13"/>
  <c r="AZ90" i="13"/>
  <c r="BH94" i="13"/>
  <c r="BI94" i="13"/>
  <c r="BI93" i="13"/>
  <c r="BH93" i="13"/>
  <c r="BH90" i="13"/>
  <c r="BH83" i="13"/>
  <c r="AY94" i="13"/>
  <c r="AZ94" i="13"/>
  <c r="BI83" i="13"/>
  <c r="AY83" i="13"/>
  <c r="BI91" i="13"/>
  <c r="BH91" i="13"/>
  <c r="AZ83" i="13"/>
  <c r="AZ91" i="13"/>
  <c r="AY91" i="13"/>
  <c r="AY93" i="13"/>
  <c r="AZ93" i="13"/>
  <c r="BI77" i="13"/>
  <c r="AY114" i="13"/>
  <c r="BH114" i="13"/>
  <c r="BI114" i="13"/>
  <c r="AZ114" i="13"/>
  <c r="V8" i="12"/>
  <c r="BI41" i="7"/>
  <c r="BH41" i="7"/>
  <c r="BI49" i="7"/>
  <c r="BH49" i="7"/>
  <c r="BI15" i="7"/>
  <c r="BH15" i="7"/>
  <c r="BH28" i="7"/>
  <c r="BI28" i="7" s="1"/>
  <c r="BI45" i="7"/>
  <c r="BH45" i="7"/>
  <c r="BI48" i="7"/>
  <c r="BH48" i="7"/>
  <c r="BI37" i="7"/>
  <c r="BH37" i="7"/>
  <c r="BH11" i="7"/>
  <c r="BI11" i="7" s="1"/>
  <c r="BI23" i="7"/>
  <c r="BH23" i="7"/>
  <c r="BI36" i="7"/>
  <c r="BH36" i="7"/>
  <c r="BI53" i="7"/>
  <c r="BH53" i="7"/>
  <c r="BH14" i="7"/>
  <c r="BI14" i="7" s="1"/>
  <c r="W34" i="7"/>
  <c r="BH20" i="7"/>
  <c r="BI20" i="7" s="1"/>
  <c r="BH19" i="7"/>
  <c r="BI19" i="7" s="1"/>
  <c r="BH31" i="7"/>
  <c r="BI31" i="7" s="1"/>
  <c r="BH44" i="7"/>
  <c r="BI44" i="7" s="1"/>
  <c r="BH18" i="7"/>
  <c r="BI18" i="7" s="1"/>
  <c r="BH22" i="7"/>
  <c r="BI22" i="7" s="1"/>
  <c r="BH40" i="7"/>
  <c r="BI40" i="7" s="1"/>
  <c r="BH27" i="7"/>
  <c r="BI27" i="7" s="1"/>
  <c r="BH39" i="7"/>
  <c r="BI39" i="7" s="1"/>
  <c r="BH52" i="7"/>
  <c r="BI52" i="7" s="1"/>
  <c r="BH26" i="7"/>
  <c r="BI26" i="7" s="1"/>
  <c r="BH30" i="7"/>
  <c r="BI30" i="7" s="1"/>
  <c r="V10" i="7"/>
  <c r="BI54" i="7"/>
  <c r="BH54" i="7"/>
  <c r="BI17" i="7"/>
  <c r="BH17" i="7"/>
  <c r="BH35" i="7"/>
  <c r="BI35" i="7" s="1"/>
  <c r="BI47" i="7"/>
  <c r="BH47" i="7"/>
  <c r="BI13" i="7"/>
  <c r="BH13" i="7"/>
  <c r="BI34" i="7"/>
  <c r="BH34" i="7"/>
  <c r="BH16" i="7"/>
  <c r="BI16" i="7" s="1"/>
  <c r="BI38" i="7"/>
  <c r="BH38" i="7"/>
  <c r="BI25" i="7"/>
  <c r="BH25" i="7"/>
  <c r="BI43" i="7"/>
  <c r="BH43" i="7"/>
  <c r="BH10" i="7"/>
  <c r="BI10" i="7" s="1"/>
  <c r="BI21" i="7"/>
  <c r="BH21" i="7"/>
  <c r="BI42" i="7"/>
  <c r="BH42" i="7"/>
  <c r="BI24" i="7"/>
  <c r="BH24" i="7"/>
  <c r="BH46" i="7"/>
  <c r="BI46" i="7" s="1"/>
  <c r="W37" i="7"/>
  <c r="BH33" i="7"/>
  <c r="BI33" i="7" s="1"/>
  <c r="BH51" i="7"/>
  <c r="BI51" i="7" s="1"/>
  <c r="BH12" i="7"/>
  <c r="BI12" i="7" s="1"/>
  <c r="BH29" i="7"/>
  <c r="BI29" i="7" s="1"/>
  <c r="BH50" i="7"/>
  <c r="BI50" i="7" s="1"/>
  <c r="BH32" i="7"/>
  <c r="BI32" i="7" s="1"/>
  <c r="V15" i="7"/>
  <c r="V32" i="7"/>
  <c r="BI106" i="13"/>
  <c r="BH113" i="13"/>
  <c r="AY113" i="13"/>
  <c r="AZ113" i="13"/>
  <c r="BI98" i="13"/>
  <c r="BI109" i="13"/>
  <c r="BH109" i="13"/>
  <c r="BI113" i="13"/>
  <c r="BH110" i="13"/>
  <c r="BI110" i="13"/>
  <c r="BH111" i="13"/>
  <c r="BI111" i="13"/>
  <c r="BI79" i="13"/>
  <c r="BI103" i="13"/>
  <c r="BI107" i="13"/>
  <c r="BI105" i="13"/>
  <c r="BI102" i="13"/>
  <c r="BI104" i="13"/>
  <c r="BH107" i="13"/>
  <c r="BH105" i="13"/>
  <c r="BH104" i="13"/>
  <c r="BI108" i="13"/>
  <c r="BH108" i="13"/>
  <c r="BH103" i="13"/>
  <c r="BH106" i="13"/>
  <c r="BH102" i="13"/>
  <c r="BI101" i="13"/>
  <c r="BH101" i="13"/>
  <c r="BH98" i="13"/>
  <c r="BH77" i="13"/>
  <c r="BI100" i="13"/>
  <c r="BH100" i="13"/>
  <c r="AY101" i="13"/>
  <c r="AY107" i="13"/>
  <c r="AY106" i="13"/>
  <c r="AZ101" i="13"/>
  <c r="AY102" i="13"/>
  <c r="AY103" i="13"/>
  <c r="AZ102" i="13"/>
  <c r="AY111" i="13"/>
  <c r="AZ103" i="13"/>
  <c r="AZ110" i="13"/>
  <c r="AZ107" i="13"/>
  <c r="AY105" i="13"/>
  <c r="AZ106" i="13"/>
  <c r="AY110" i="13"/>
  <c r="AY108" i="13"/>
  <c r="AY104" i="13"/>
  <c r="BI81" i="13"/>
  <c r="BI82" i="13"/>
  <c r="AZ111" i="13"/>
  <c r="AZ104" i="13"/>
  <c r="AZ105" i="13"/>
  <c r="AZ108" i="13"/>
  <c r="BH81" i="13"/>
  <c r="BH82" i="13"/>
  <c r="BI80" i="13"/>
  <c r="BH80" i="13"/>
  <c r="BI92" i="13"/>
  <c r="BI88" i="13"/>
  <c r="AZ100" i="13"/>
  <c r="AY100" i="13"/>
  <c r="AY109" i="13"/>
  <c r="AZ109" i="13"/>
  <c r="AY86" i="13"/>
  <c r="BI86" i="13"/>
  <c r="BH86" i="13"/>
  <c r="BI84" i="13"/>
  <c r="AZ86" i="13"/>
  <c r="BI85" i="13"/>
  <c r="BH85" i="13"/>
  <c r="BH84" i="13"/>
  <c r="AY84" i="13"/>
  <c r="AZ85" i="13"/>
  <c r="AZ84" i="13"/>
  <c r="AY85" i="13"/>
  <c r="AY77" i="13"/>
  <c r="AY82" i="13"/>
  <c r="AY79" i="13"/>
  <c r="AZ88" i="13"/>
  <c r="AZ77" i="13"/>
  <c r="AZ80" i="13"/>
  <c r="AY98" i="13"/>
  <c r="AY92" i="13"/>
  <c r="AY80" i="13"/>
  <c r="AY81" i="13"/>
  <c r="AY88" i="13"/>
  <c r="AZ74" i="13"/>
  <c r="AZ98" i="13"/>
  <c r="AZ82" i="13"/>
  <c r="AZ79" i="13"/>
  <c r="AZ81" i="13"/>
  <c r="AZ92" i="13"/>
  <c r="V14" i="7"/>
  <c r="W14" i="7"/>
  <c r="V52" i="7"/>
  <c r="W52" i="7"/>
  <c r="W17" i="7"/>
  <c r="V17" i="7"/>
  <c r="W22" i="7"/>
  <c r="V22" i="7"/>
  <c r="W25" i="7"/>
  <c r="V25" i="7"/>
  <c r="W30" i="7"/>
  <c r="V30" i="7"/>
  <c r="V33" i="7"/>
  <c r="W33" i="7"/>
  <c r="W38" i="7"/>
  <c r="V38" i="7"/>
  <c r="W41" i="7"/>
  <c r="V41" i="7"/>
  <c r="V46" i="7"/>
  <c r="W46" i="7"/>
  <c r="V49" i="7"/>
  <c r="W49" i="7"/>
  <c r="W54" i="7"/>
  <c r="V54" i="7"/>
  <c r="V12" i="7"/>
  <c r="W12" i="7"/>
  <c r="V20" i="7"/>
  <c r="W20" i="7"/>
  <c r="V28" i="7"/>
  <c r="W28" i="7"/>
  <c r="V36" i="7"/>
  <c r="W36" i="7"/>
  <c r="V44" i="7"/>
  <c r="W44" i="7"/>
  <c r="BK8" i="7"/>
  <c r="BK5" i="7" a="1"/>
  <c r="BK5" i="7" s="1"/>
  <c r="J8" i="12"/>
  <c r="J5" i="12" a="1"/>
  <c r="J5" i="12" s="1"/>
  <c r="V5" i="12" a="1"/>
  <c r="V5" i="12" s="1"/>
  <c r="I8" i="12"/>
  <c r="I5" i="12" a="1"/>
  <c r="I5" i="12" s="1"/>
  <c r="U8" i="12"/>
  <c r="U5" i="12" a="1"/>
  <c r="U5" i="12" s="1"/>
  <c r="BG8" i="7"/>
  <c r="BG5" i="7" a="1"/>
  <c r="BG5" i="7" s="1"/>
  <c r="BM8" i="7"/>
  <c r="BM5" i="7" a="1"/>
  <c r="BM5" i="7" s="1"/>
  <c r="AW5" i="7" a="1"/>
  <c r="AW5" i="7" s="1"/>
  <c r="AW8" i="7"/>
  <c r="AS5" i="7" a="1"/>
  <c r="AS5" i="7" s="1"/>
  <c r="AS8" i="7"/>
  <c r="AN8" i="7"/>
  <c r="AN5" i="7" a="1"/>
  <c r="AN5" i="7" s="1"/>
  <c r="AJ5" i="7" a="1"/>
  <c r="AJ5" i="7" s="1"/>
  <c r="AJ8" i="7"/>
  <c r="BE116" i="13" l="1"/>
  <c r="BE117" i="13"/>
  <c r="BE118" i="13"/>
  <c r="BE115" i="13"/>
  <c r="BJ116" i="13"/>
  <c r="BJ118" i="13"/>
  <c r="BJ117" i="13"/>
  <c r="BJ115" i="13"/>
  <c r="BJ119" i="13"/>
  <c r="BE119" i="13"/>
  <c r="AY95" i="13"/>
  <c r="BE95" i="13" s="1"/>
  <c r="AZ95" i="13"/>
  <c r="BC95" i="13"/>
  <c r="BE86" i="13"/>
  <c r="BE114" i="13"/>
  <c r="BE83" i="13"/>
  <c r="BE89" i="13"/>
  <c r="BE90" i="13"/>
  <c r="BJ90" i="13"/>
  <c r="BJ89" i="13"/>
  <c r="BJ94" i="13"/>
  <c r="BJ93" i="13"/>
  <c r="BE94" i="13"/>
  <c r="BJ83" i="13"/>
  <c r="BJ91" i="13"/>
  <c r="BE91" i="13"/>
  <c r="BJ109" i="13"/>
  <c r="BE93" i="13"/>
  <c r="BJ77" i="13"/>
  <c r="BE113" i="13"/>
  <c r="BJ114" i="13"/>
  <c r="BI5" i="7" a="1"/>
  <c r="BI5" i="7" s="1"/>
  <c r="BI8" i="7"/>
  <c r="W5" i="7"/>
  <c r="W8" i="7"/>
  <c r="V5" i="7"/>
  <c r="V8" i="7"/>
  <c r="BJ98" i="13"/>
  <c r="BJ113" i="13"/>
  <c r="BJ111" i="13"/>
  <c r="BJ110" i="13"/>
  <c r="BJ105" i="13"/>
  <c r="BJ104" i="13"/>
  <c r="BJ106" i="13"/>
  <c r="BJ107" i="13"/>
  <c r="BE102" i="13"/>
  <c r="BJ102" i="13"/>
  <c r="BJ103" i="13"/>
  <c r="BJ108" i="13"/>
  <c r="BE104" i="13"/>
  <c r="BE107" i="13"/>
  <c r="BE105" i="13"/>
  <c r="BJ101" i="13"/>
  <c r="BJ79" i="13"/>
  <c r="BE100" i="13"/>
  <c r="BJ100" i="13"/>
  <c r="BE101" i="13"/>
  <c r="BE103" i="13"/>
  <c r="BE111" i="13"/>
  <c r="BE106" i="13"/>
  <c r="BE110" i="13"/>
  <c r="BE108" i="13"/>
  <c r="BJ82" i="13"/>
  <c r="BJ81" i="13"/>
  <c r="BJ80" i="13"/>
  <c r="BE88" i="13"/>
  <c r="BJ88" i="13"/>
  <c r="BE92" i="13"/>
  <c r="BJ92" i="13"/>
  <c r="BJ86" i="13"/>
  <c r="BE109" i="13"/>
  <c r="BJ84" i="13"/>
  <c r="BJ85" i="13"/>
  <c r="BE85" i="13"/>
  <c r="BE84" i="13"/>
  <c r="BE77" i="13"/>
  <c r="BE98" i="13"/>
  <c r="BE79" i="13"/>
  <c r="BE80" i="13"/>
  <c r="BE81" i="13"/>
  <c r="BE82" i="13"/>
</calcChain>
</file>

<file path=xl/sharedStrings.xml><?xml version="1.0" encoding="utf-8"?>
<sst xmlns="http://schemas.openxmlformats.org/spreadsheetml/2006/main" count="2292" uniqueCount="375">
  <si>
    <t>Crude animal foods, agricultural</t>
  </si>
  <si>
    <t>Crude animal foods, nonagricultrual</t>
  </si>
  <si>
    <t>Hay</t>
  </si>
  <si>
    <t>Coffee, green</t>
  </si>
  <si>
    <t>Grains</t>
  </si>
  <si>
    <t>Vegetables</t>
  </si>
  <si>
    <t>Fruits</t>
  </si>
  <si>
    <t>Beef</t>
  </si>
  <si>
    <t>Pork and related products</t>
  </si>
  <si>
    <t>Other meats and products</t>
  </si>
  <si>
    <t>Lard, oleo, and related products</t>
  </si>
  <si>
    <t>Dairy products, manufactured</t>
  </si>
  <si>
    <t>Manufactured animal foods, nonagricultural</t>
  </si>
  <si>
    <t>Flour and other grain products</t>
  </si>
  <si>
    <t>Vegetable oil, cake, and meal</t>
  </si>
  <si>
    <t>Other feeds</t>
  </si>
  <si>
    <t>Vegetables and products, manufactured</t>
  </si>
  <si>
    <t>Canned and dried fruits</t>
  </si>
  <si>
    <t>Sugar and related products, agricultural</t>
  </si>
  <si>
    <t>Sugar and related products, nonagricultual</t>
  </si>
  <si>
    <t>Coffee, chocolate, and spices</t>
  </si>
  <si>
    <t>Malt beverages</t>
  </si>
  <si>
    <t>Wines</t>
  </si>
  <si>
    <t>Alcoholic beverages, nonagricultural</t>
  </si>
  <si>
    <t>Crude tobacco</t>
  </si>
  <si>
    <t>Manufactured tobacco products</t>
  </si>
  <si>
    <t>Hides, leather, and manufactures, crude</t>
  </si>
  <si>
    <t>Hides, leather, and products, semimanufactured</t>
  </si>
  <si>
    <t>Hides, leather, and products, manufactured</t>
  </si>
  <si>
    <t>Furs, unmanufactured</t>
  </si>
  <si>
    <t>Furs, semimanufactured</t>
  </si>
  <si>
    <t>Other animal products, crude, agricultural</t>
  </si>
  <si>
    <t>Other animal products, semimanufactured, agricultural</t>
  </si>
  <si>
    <t>Other animal products, semimanufactured, nonagricultural</t>
  </si>
  <si>
    <t>Rubber and products, semimanufactured</t>
  </si>
  <si>
    <t>Rubber and products, manufactured</t>
  </si>
  <si>
    <t>Oilseeds, crude</t>
  </si>
  <si>
    <t>Vegetable oils, expressed, and fats, semimanufactured</t>
  </si>
  <si>
    <t>Other vegetable products, crude, agricultural</t>
  </si>
  <si>
    <t>Other vegetable products, semimanufactured, nonagricultural</t>
  </si>
  <si>
    <t>Other vegetable products, manufactured, agricultural</t>
  </si>
  <si>
    <t>Cotton textiles, crude</t>
  </si>
  <si>
    <t>Cotton textiles, semimanufactured</t>
  </si>
  <si>
    <t>Cotton textiles, manufactured</t>
  </si>
  <si>
    <t>Other vegetable textiles, manufactured</t>
  </si>
  <si>
    <t>Wool textiles, crude</t>
  </si>
  <si>
    <t>Wool textiles, semimanufactured</t>
  </si>
  <si>
    <t>Wool textiles, manufactured</t>
  </si>
  <si>
    <t>Silk textiles, manufactured</t>
  </si>
  <si>
    <t>Other animal textiles, crude</t>
  </si>
  <si>
    <t>Wood and related products, crude</t>
  </si>
  <si>
    <t>Wood and related products, semimanufactured</t>
  </si>
  <si>
    <t>Wood and related products, manufactured</t>
  </si>
  <si>
    <t>Paper and related products, semimanufactured</t>
  </si>
  <si>
    <t>Paper and related products, manufactured</t>
  </si>
  <si>
    <t>Books and other printed matter</t>
  </si>
  <si>
    <t>Coal and products, crude</t>
  </si>
  <si>
    <t>Coal and products, semimanufactured</t>
  </si>
  <si>
    <t>Petroleum and products, crude</t>
  </si>
  <si>
    <t>Petroleum and products, semimanufactured</t>
  </si>
  <si>
    <t>Petroleum and prodcuts, manufactured</t>
  </si>
  <si>
    <t>Other nonmetallic minerals, crude</t>
  </si>
  <si>
    <t>Other nonmetallic minerals, semimanufactured</t>
  </si>
  <si>
    <t>Other nonmetallic minerals, manufactured</t>
  </si>
  <si>
    <t>Nonferrous metals, crude</t>
  </si>
  <si>
    <t>Nonferrous metals, semimanufactured</t>
  </si>
  <si>
    <t>Nonferrous metals, manufactured</t>
  </si>
  <si>
    <t>Iron and steel products, crude</t>
  </si>
  <si>
    <t>Iron and steel products, semimanufactured</t>
  </si>
  <si>
    <t>Iron and steel products, manufactured</t>
  </si>
  <si>
    <t>Machiery and vehicles, except automobiles</t>
  </si>
  <si>
    <t>Automobiles and parts</t>
  </si>
  <si>
    <t>Chemicals and allied products, crude</t>
  </si>
  <si>
    <t>Chemicals and allied products, semimanufactured</t>
  </si>
  <si>
    <t>Chemicals and allied products, manufactured</t>
  </si>
  <si>
    <t>Miscellaneous items, covered by price data</t>
  </si>
  <si>
    <t>Miscellaneous items, uncovered</t>
  </si>
  <si>
    <t>Code</t>
  </si>
  <si>
    <t>Name</t>
  </si>
  <si>
    <t>1879</t>
  </si>
  <si>
    <t>Good #</t>
  </si>
  <si>
    <t>Good Name</t>
  </si>
  <si>
    <t>Data Type</t>
  </si>
  <si>
    <t>Price Index</t>
  </si>
  <si>
    <t>1.01.1</t>
  </si>
  <si>
    <t>Vegetables, crude</t>
  </si>
  <si>
    <t>Spices, crude</t>
  </si>
  <si>
    <t>Fruits and nuts, crude, except bananas</t>
  </si>
  <si>
    <t>Tea</t>
  </si>
  <si>
    <t>Coffee</t>
  </si>
  <si>
    <t>Cocoa or cacao beans</t>
  </si>
  <si>
    <t>Bananas</t>
  </si>
  <si>
    <t>Manufactured animal foods, agricultural</t>
  </si>
  <si>
    <t>Fruits, processed</t>
  </si>
  <si>
    <t>Vegetable oil, cake, and meal, edible</t>
  </si>
  <si>
    <t>Cocoa and chocolate, prepared</t>
  </si>
  <si>
    <t>Sugar, except refined, and related products</t>
  </si>
  <si>
    <t>Sugar, refined, and related products</t>
  </si>
  <si>
    <t>Beverages, agricultural</t>
  </si>
  <si>
    <t>Beverages, nonagricultural</t>
  </si>
  <si>
    <t>Spices, ground</t>
  </si>
  <si>
    <t>Tobacco, crude</t>
  </si>
  <si>
    <t>Manufactured tabacco products</t>
  </si>
  <si>
    <t>Hides, leather and products, crude</t>
  </si>
  <si>
    <t>Hides, leather and products, semimanufatured</t>
  </si>
  <si>
    <t>Other animal products, crude, nonagricultural</t>
  </si>
  <si>
    <t>Other animal products, manufactured, nonagricultrual</t>
  </si>
  <si>
    <t>Rubber and related gums, crude</t>
  </si>
  <si>
    <t>Rubber and related gums, manufactured</t>
  </si>
  <si>
    <t>Other vegetable products, crude, nonagricultural</t>
  </si>
  <si>
    <t>Other vegetable products, semimanufactured, agricultural</t>
  </si>
  <si>
    <t>Jute and products, crude</t>
  </si>
  <si>
    <t>Jute textiles, semimanufactured</t>
  </si>
  <si>
    <t>Jute textiles, manufactured</t>
  </si>
  <si>
    <t>Other vegetable fibers, crude</t>
  </si>
  <si>
    <t>Other vegetable fibers, semimanufactured</t>
  </si>
  <si>
    <t>Silk textiles, crude</t>
  </si>
  <si>
    <t>Silk texiles, semimanufactured</t>
  </si>
  <si>
    <t>Other animal fibers, crude</t>
  </si>
  <si>
    <t>Other animal fibers, manufactured</t>
  </si>
  <si>
    <t>Wood and products, crude</t>
  </si>
  <si>
    <t>Wood and products, exc. paper, semimanufactured</t>
  </si>
  <si>
    <t>Wood and products, exc. paper, manufactured</t>
  </si>
  <si>
    <t>Paper and products, manufactured</t>
  </si>
  <si>
    <t>Coal, crude</t>
  </si>
  <si>
    <t>Coal, semimanufactured</t>
  </si>
  <si>
    <t>Petroleum and related products, crude</t>
  </si>
  <si>
    <t>Petroleum and related products, semimanufactured</t>
  </si>
  <si>
    <t>Petroleum and related prodcuts, manufactured</t>
  </si>
  <si>
    <t>Precious stones, crude</t>
  </si>
  <si>
    <t>Precious stones, semimanufactured</t>
  </si>
  <si>
    <t>Other nonmetallic minterals, manufactured</t>
  </si>
  <si>
    <t>Machinery</t>
  </si>
  <si>
    <t>Vehicles</t>
  </si>
  <si>
    <t>Chemicals, semimanufactured</t>
  </si>
  <si>
    <t>Miscellaneous</t>
  </si>
  <si>
    <t>Art works</t>
  </si>
  <si>
    <t>U.S. exports returned</t>
  </si>
  <si>
    <t>Exports</t>
  </si>
  <si>
    <t>Imports</t>
  </si>
  <si>
    <t>Export</t>
  </si>
  <si>
    <t>Quantity Index</t>
  </si>
  <si>
    <t>$mn</t>
  </si>
  <si>
    <t>Import</t>
  </si>
  <si>
    <t>Direction</t>
  </si>
  <si>
    <t>Cat</t>
  </si>
  <si>
    <t>Cat #</t>
  </si>
  <si>
    <t>Nme</t>
  </si>
  <si>
    <t>Crude foodstuffs, excluding tobacco</t>
  </si>
  <si>
    <t>Crude foodstuffs, including tobacco</t>
  </si>
  <si>
    <t>Manufactured foodstuffs, excluding tobacco</t>
  </si>
  <si>
    <t>Manufactured foodstuffs, including tobacco</t>
  </si>
  <si>
    <t>Agricultural foodstuffs, excluding tobacco</t>
  </si>
  <si>
    <t>Agricultural foodstuffs, including tobacco</t>
  </si>
  <si>
    <t>Foodstuffs, excluding tobacco and products</t>
  </si>
  <si>
    <t>Foodstuffs, including tobacco and products</t>
  </si>
  <si>
    <t>Agricultural products</t>
  </si>
  <si>
    <t>Products of animal or vegetable origin, excluding printed matter and rubber products</t>
  </si>
  <si>
    <t>Crude materials, excluding tobacco</t>
  </si>
  <si>
    <t>Crude materials, including tobacco</t>
  </si>
  <si>
    <t>Semimanufactured products</t>
  </si>
  <si>
    <t>Manufactured products, excluding tobacco manufactures</t>
  </si>
  <si>
    <t>Manufactured products, including tobacco manufactures</t>
  </si>
  <si>
    <t>Crude materials and semimanufactures, excluding tobacco</t>
  </si>
  <si>
    <t>Crude materials and semimanufactures, including tobacco</t>
  </si>
  <si>
    <t>Crude materials, semimanufactures and foods, including tobacco and products</t>
  </si>
  <si>
    <t>Total exports, excluding "all other articles, n.e.s."</t>
  </si>
  <si>
    <t>Grand total</t>
  </si>
  <si>
    <t>Total products other than those of animal or vegetable origin</t>
  </si>
  <si>
    <t>Total nonagricultural products</t>
  </si>
  <si>
    <t>Products of animal or vegetable origin</t>
  </si>
  <si>
    <t>Crude materials and semimanufactured products</t>
  </si>
  <si>
    <t>Crude materials, including tobacco; and semimanufactured products</t>
  </si>
  <si>
    <t>Crude materials, semimanufactured products, and foods, including tobacco and products</t>
  </si>
  <si>
    <t>Manufactured products, excluding tobacco</t>
  </si>
  <si>
    <t>Manufactured products, including tobacco</t>
  </si>
  <si>
    <t>Total, excluding "all other articles n.e.s." and art works</t>
  </si>
  <si>
    <t>Manufactured products, including tobacco products and art works</t>
  </si>
  <si>
    <t>Total products of mineral origin</t>
  </si>
  <si>
    <t>Represented</t>
  </si>
  <si>
    <t>Grand Total</t>
  </si>
  <si>
    <t>mean</t>
  </si>
  <si>
    <t>stdev</t>
  </si>
  <si>
    <t>variance</t>
  </si>
  <si>
    <t>Represented Share</t>
  </si>
  <si>
    <t>-</t>
  </si>
  <si>
    <t>Minor</t>
  </si>
  <si>
    <t>Major</t>
  </si>
  <si>
    <t>Total</t>
  </si>
  <si>
    <t>dataType</t>
  </si>
  <si>
    <t>direction</t>
  </si>
  <si>
    <t>aggregationLevel</t>
  </si>
  <si>
    <t>categoryName</t>
  </si>
  <si>
    <t>categoryNum</t>
  </si>
  <si>
    <t>Export Maj</t>
  </si>
  <si>
    <t>Import Maj</t>
  </si>
  <si>
    <t>Export Int</t>
  </si>
  <si>
    <t>Import Int</t>
  </si>
  <si>
    <t>Animal</t>
  </si>
  <si>
    <t>Vegetable, except tropical</t>
  </si>
  <si>
    <t>Vegetable, tropical</t>
  </si>
  <si>
    <t>Vegetable, all</t>
  </si>
  <si>
    <t>Vegetable, including tobacco</t>
  </si>
  <si>
    <t>Agricultural, all</t>
  </si>
  <si>
    <t>Agricultural, including tobacco</t>
  </si>
  <si>
    <t>Vegetable, agricultural, excluding sugar and beverages</t>
  </si>
  <si>
    <t>Vegetable, agricultural</t>
  </si>
  <si>
    <t>Vegetable, including tobacco products</t>
  </si>
  <si>
    <t>Manufactured foodstuffs, agricultural</t>
  </si>
  <si>
    <t>Hides, leather and products</t>
  </si>
  <si>
    <t>Crude, agricultural, excluding fibers</t>
  </si>
  <si>
    <t>Crude, all, except fibers</t>
  </si>
  <si>
    <t>Crude and semimanufactured, except fibers</t>
  </si>
  <si>
    <t>Crude, agricultural, except fibers</t>
  </si>
  <si>
    <t>Crude and semimanufactured, agricultural, except fibers</t>
  </si>
  <si>
    <t>Crude, vegetable</t>
  </si>
  <si>
    <t>Manufactured, vegetable</t>
  </si>
  <si>
    <t>Crude, animal</t>
  </si>
  <si>
    <t>Semimanufactured, all</t>
  </si>
  <si>
    <t>Manufactured, animal</t>
  </si>
  <si>
    <t>Crude, all</t>
  </si>
  <si>
    <t>Manufactured, all</t>
  </si>
  <si>
    <t>All fibers</t>
  </si>
  <si>
    <t>Crude, except fibers and tobacco</t>
  </si>
  <si>
    <t>Crude materials</t>
  </si>
  <si>
    <t>Crude, including tobacco</t>
  </si>
  <si>
    <t>Crude and semimanufactured</t>
  </si>
  <si>
    <t>Crude and semimanufactured,including tobacco</t>
  </si>
  <si>
    <t>Wood and products, except paper and pulp</t>
  </si>
  <si>
    <t>Wood and products, including pulp</t>
  </si>
  <si>
    <t>Nonagricultural crude materials of animal or vegetable origin</t>
  </si>
  <si>
    <t>Crude</t>
  </si>
  <si>
    <t>Nonagricultural semimanufactured</t>
  </si>
  <si>
    <t>Nonagricultural manufactures</t>
  </si>
  <si>
    <t>Nonagricultural crude and semimanufactured</t>
  </si>
  <si>
    <t>Crude and semimanufactured, including tobacco</t>
  </si>
  <si>
    <t>Crude fuels</t>
  </si>
  <si>
    <t>Precious stones, crude and semimanufactured</t>
  </si>
  <si>
    <t>Crude metals</t>
  </si>
  <si>
    <t>Semimanufactured metals</t>
  </si>
  <si>
    <t>Manufactured metal products</t>
  </si>
  <si>
    <t xml:space="preserve">Crude materials </t>
  </si>
  <si>
    <t xml:space="preserve">Semimanufactures </t>
  </si>
  <si>
    <t xml:space="preserve">Manufactured products </t>
  </si>
  <si>
    <t>Vegetable, excluding tobacco</t>
  </si>
  <si>
    <t>All agricultural, excluding tobacco</t>
  </si>
  <si>
    <t>All agricultural, including tobacco</t>
  </si>
  <si>
    <t>Meats</t>
  </si>
  <si>
    <t>Animal, agricultural</t>
  </si>
  <si>
    <t>Animal, all</t>
  </si>
  <si>
    <t>Vegetable, agricultural, excluding beverages and tropical products</t>
  </si>
  <si>
    <t>All agricultural</t>
  </si>
  <si>
    <t>Hides, leather, and products, crude, semimanufactured and manufactured</t>
  </si>
  <si>
    <t>All agricultural, crude and semimanufactured except fibers</t>
  </si>
  <si>
    <t>All crude and semimanufactured, except fibers</t>
  </si>
  <si>
    <t>All, except textiles</t>
  </si>
  <si>
    <t>All agricultural, crude and semimanufactured, except textiles</t>
  </si>
  <si>
    <t>All crude and semimanufactured, except textiles</t>
  </si>
  <si>
    <t>Cotton textiles, crude, semimanufactured and manufactured</t>
  </si>
  <si>
    <t>Manufactured textiles</t>
  </si>
  <si>
    <t>Wood and manufactures, except paper</t>
  </si>
  <si>
    <t>Crude, excluding textiles and tobacco</t>
  </si>
  <si>
    <t>Crude, excluding tobacco</t>
  </si>
  <si>
    <t>Semimanufactures</t>
  </si>
  <si>
    <t>Agricultural, excluding tobacco</t>
  </si>
  <si>
    <t>Nonagricultural</t>
  </si>
  <si>
    <t>All, excluding tobacco</t>
  </si>
  <si>
    <t>All, including tobacco</t>
  </si>
  <si>
    <t>Manufactures of animal or vegetable origin, excluding rubber</t>
  </si>
  <si>
    <t>Petroleum and products</t>
  </si>
  <si>
    <t>Fuels</t>
  </si>
  <si>
    <t>Machinery and automobiles and parts</t>
  </si>
  <si>
    <t>Manufactured iron and steel products including machinery and vehicles</t>
  </si>
  <si>
    <t>Manufactured products, including rubber, books, and other printed matter</t>
  </si>
  <si>
    <t>Intermediate</t>
  </si>
  <si>
    <t>max</t>
  </si>
  <si>
    <t>share of total</t>
  </si>
  <si>
    <t>nonveg</t>
  </si>
  <si>
    <t>veg</t>
  </si>
  <si>
    <t>Inferred Export</t>
  </si>
  <si>
    <t>Bottoms up</t>
  </si>
  <si>
    <t>bottoms up</t>
  </si>
  <si>
    <t>Total = 214 + 218</t>
  </si>
  <si>
    <t>218 = 216  + 208</t>
  </si>
  <si>
    <t>Reconciliation</t>
  </si>
  <si>
    <t>216 = 211 + 213</t>
  </si>
  <si>
    <t>208 = 202 + 204</t>
  </si>
  <si>
    <t>211 = 129 + 144</t>
  </si>
  <si>
    <t>213 = 131 + 141 + 063 + 074</t>
  </si>
  <si>
    <t>213 = 131 + 145</t>
  </si>
  <si>
    <t>Missing</t>
  </si>
  <si>
    <t>211 and 213 must overlap</t>
  </si>
  <si>
    <t>Veg/ Agricultural and Nonagricultural/ Semimanufactures</t>
  </si>
  <si>
    <t>Nonveg/ Semimanufactures</t>
  </si>
  <si>
    <t>Veg/Crude, excluding tobacco</t>
  </si>
  <si>
    <t>129 = 124 + 127</t>
  </si>
  <si>
    <t>Synthetic</t>
  </si>
  <si>
    <t>Veg/NonAg/Crude</t>
  </si>
  <si>
    <t>Veg/Ag/Crude, excluding tobacco</t>
  </si>
  <si>
    <t>125 - 025</t>
  </si>
  <si>
    <t>30 + 51</t>
  </si>
  <si>
    <t>veg/nonag/semi</t>
  </si>
  <si>
    <t>veg/agricultural/semi</t>
  </si>
  <si>
    <t>131 = 126 + 128</t>
  </si>
  <si>
    <t>126 = 33 + 38</t>
  </si>
  <si>
    <t>variance/parent corr</t>
  </si>
  <si>
    <t>share of parent</t>
  </si>
  <si>
    <t>Inferred - Total Products of Animal or Vegetable Origin</t>
  </si>
  <si>
    <t>Inferred - Total Agricultural Products</t>
  </si>
  <si>
    <t>Share of total</t>
  </si>
  <si>
    <t>144+145+147</t>
  </si>
  <si>
    <t>(144+145+147)/222</t>
  </si>
  <si>
    <t>(144+145+147)/221</t>
  </si>
  <si>
    <t>Year</t>
  </si>
  <si>
    <t>Total Agricultural Products</t>
  </si>
  <si>
    <t>Share of agriculture</t>
  </si>
  <si>
    <t>Share of nonagriculture</t>
  </si>
  <si>
    <t>Total Products of Animal or Vegetable Origin</t>
  </si>
  <si>
    <t>Total Products Other Than Those of Animal or Vegetable Origin</t>
  </si>
  <si>
    <t>Manufactured products</t>
  </si>
  <si>
    <t>Machinery and vehicles, except automobiles</t>
  </si>
  <si>
    <t>Semi- manufactures</t>
  </si>
  <si>
    <t>Non-Agricultural</t>
  </si>
  <si>
    <t>Total Exports</t>
  </si>
  <si>
    <t>id</t>
  </si>
  <si>
    <t>End</t>
  </si>
  <si>
    <t>Start</t>
  </si>
  <si>
    <t>levelNum</t>
  </si>
  <si>
    <t>raw title</t>
  </si>
  <si>
    <t>Agricultural</t>
  </si>
  <si>
    <t>Share of parent</t>
  </si>
  <si>
    <t>starting</t>
  </si>
  <si>
    <t>ending</t>
  </si>
  <si>
    <t>growth</t>
  </si>
  <si>
    <t>Table 2: Agricultural and Non-Agricultural US Exports, 1880-1910</t>
  </si>
  <si>
    <t>Table 2a: Non-Agricultural US Exports, 1880-1910</t>
  </si>
  <si>
    <t>Inferred - Nonfood Agricultural</t>
  </si>
  <si>
    <t>Inferred - Nonfood Animal or Vegetable</t>
  </si>
  <si>
    <t>Title</t>
  </si>
  <si>
    <t>Percent</t>
  </si>
  <si>
    <t>Share of Total</t>
  </si>
  <si>
    <t>Change</t>
  </si>
  <si>
    <t>Manufactured Products</t>
  </si>
  <si>
    <t>Metal Manufactures</t>
  </si>
  <si>
    <t>Iron and Steel</t>
  </si>
  <si>
    <t>Machinery and Vehicles</t>
  </si>
  <si>
    <t>Petroleum Products</t>
  </si>
  <si>
    <t>Foodstuffs, incl. tobacco</t>
  </si>
  <si>
    <t>Manufactured foods</t>
  </si>
  <si>
    <t>Pork</t>
  </si>
  <si>
    <t>Lard and related</t>
  </si>
  <si>
    <t>Flour and related</t>
  </si>
  <si>
    <t>Raw Foodstuffs, incl tobacco</t>
  </si>
  <si>
    <t>Animal Feed</t>
  </si>
  <si>
    <t>Tobacco</t>
  </si>
  <si>
    <t>Non-Food Agricultural</t>
  </si>
  <si>
    <t>Table num</t>
  </si>
  <si>
    <t>Table 2b: Agricultural US Exports, 1880-1910</t>
  </si>
  <si>
    <t>Nonferrous metals</t>
  </si>
  <si>
    <t>Iron and steel</t>
  </si>
  <si>
    <t>All Metals</t>
  </si>
  <si>
    <t>Chemicals</t>
  </si>
  <si>
    <t>Nonmetallic Mineral Manufactures</t>
  </si>
  <si>
    <t>Nonferrous Manufactures</t>
  </si>
  <si>
    <t>Coal Products</t>
  </si>
  <si>
    <t>Dairy</t>
  </si>
  <si>
    <t>Vegetable Oil/Cake/Meal</t>
  </si>
  <si>
    <t>Vegetable Fibers</t>
  </si>
  <si>
    <t>Leather Products</t>
  </si>
  <si>
    <t>Wood Products</t>
  </si>
  <si>
    <t>Manufactured Cotton</t>
  </si>
  <si>
    <t>Paper Products</t>
  </si>
  <si>
    <t>Inferred for chart - Other agricultural</t>
  </si>
  <si>
    <t>Inferred for chart - Other Manufactured</t>
  </si>
  <si>
    <t>Raw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</si>
</sst>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"/>
    <numFmt numFmtId="166" formatCode="&quot;$&quot;#,##0;&quot;$&quot;\-#,##0"/>
    <numFmt numFmtId="167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9"/>
      <color theme="1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</cellStyleXfs>
  <cellXfs count="197">
    <xf numFmtId="0" fontId="0" fillId="0" borderId="0" xfId="0"/>
    <xf numFmtId="164" fontId="18" fillId="0" borderId="0" xfId="0" applyNumberFormat="1" applyFont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right" vertical="center"/>
    </xf>
    <xf numFmtId="0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right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" fontId="18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9" fontId="0" fillId="0" borderId="0" xfId="0" applyNumberFormat="1"/>
    <xf numFmtId="1" fontId="18" fillId="0" borderId="0" xfId="0" applyNumberFormat="1" applyFont="1" applyAlignment="1">
      <alignment horizontal="right" vertical="center" wrapText="1"/>
    </xf>
    <xf numFmtId="9" fontId="0" fillId="0" borderId="0" xfId="42" applyFont="1"/>
    <xf numFmtId="0" fontId="0" fillId="0" borderId="0" xfId="0" applyNumberFormat="1"/>
    <xf numFmtId="1" fontId="0" fillId="0" borderId="0" xfId="0" applyNumberFormat="1"/>
    <xf numFmtId="9" fontId="18" fillId="0" borderId="0" xfId="0" applyNumberFormat="1" applyFont="1" applyAlignment="1">
      <alignment horizontal="right" vertical="center" wrapText="1"/>
    </xf>
    <xf numFmtId="1" fontId="18" fillId="0" borderId="0" xfId="43" applyNumberFormat="1" applyFont="1" applyFill="1" applyAlignment="1">
      <alignment horizontal="right" vertical="center"/>
    </xf>
    <xf numFmtId="0" fontId="18" fillId="0" borderId="0" xfId="43" applyFont="1" applyFill="1" applyAlignment="1">
      <alignment horizontal="right" vertical="center" wrapText="1"/>
    </xf>
    <xf numFmtId="1" fontId="18" fillId="0" borderId="0" xfId="43" applyNumberFormat="1" applyFont="1" applyFill="1" applyAlignment="1">
      <alignment horizontal="right" vertical="center"/>
    </xf>
    <xf numFmtId="0" fontId="18" fillId="0" borderId="0" xfId="43" applyFont="1" applyFill="1" applyAlignment="1">
      <alignment horizontal="right" vertical="center" wrapText="1"/>
    </xf>
    <xf numFmtId="0" fontId="18" fillId="0" borderId="0" xfId="43" applyFont="1" applyAlignment="1">
      <alignment horizontal="right" vertical="center" wrapText="1"/>
    </xf>
    <xf numFmtId="0" fontId="18" fillId="0" borderId="0" xfId="43" applyFont="1" applyFill="1" applyAlignment="1">
      <alignment horizontal="right" vertical="center"/>
    </xf>
    <xf numFmtId="1" fontId="18" fillId="0" borderId="0" xfId="43" applyNumberFormat="1" applyFont="1" applyFill="1" applyAlignment="1">
      <alignment horizontal="right" vertical="center"/>
    </xf>
    <xf numFmtId="0" fontId="18" fillId="0" borderId="0" xfId="43" applyFont="1" applyFill="1" applyAlignment="1">
      <alignment horizontal="right" vertical="center" wrapText="1"/>
    </xf>
    <xf numFmtId="1" fontId="18" fillId="0" borderId="0" xfId="43" applyNumberFormat="1" applyFont="1" applyFill="1" applyAlignment="1">
      <alignment horizontal="right" vertical="center"/>
    </xf>
    <xf numFmtId="1" fontId="18" fillId="0" borderId="0" xfId="43" applyNumberFormat="1" applyFont="1" applyFill="1" applyAlignment="1">
      <alignment horizontal="right" vertical="center"/>
    </xf>
    <xf numFmtId="0" fontId="18" fillId="0" borderId="0" xfId="43" applyFont="1" applyFill="1" applyAlignment="1">
      <alignment horizontal="right" vertical="center" wrapText="1"/>
    </xf>
    <xf numFmtId="0" fontId="18" fillId="0" borderId="0" xfId="43" applyFont="1" applyAlignment="1">
      <alignment horizontal="right" vertical="center" wrapText="1"/>
    </xf>
    <xf numFmtId="0" fontId="18" fillId="0" borderId="0" xfId="43" applyFont="1" applyFill="1" applyAlignment="1">
      <alignment horizontal="right" vertical="center"/>
    </xf>
    <xf numFmtId="1" fontId="18" fillId="0" borderId="0" xfId="43" applyNumberFormat="1" applyFont="1" applyAlignment="1">
      <alignment horizontal="right" vertical="center" wrapText="1"/>
    </xf>
    <xf numFmtId="1" fontId="18" fillId="0" borderId="0" xfId="43" applyNumberFormat="1" applyFont="1" applyFill="1" applyAlignment="1">
      <alignment horizontal="right" vertic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1" fontId="20" fillId="0" borderId="0" xfId="0" applyNumberFormat="1" applyFont="1" applyAlignment="1">
      <alignment wrapText="1"/>
    </xf>
    <xf numFmtId="0" fontId="0" fillId="33" borderId="0" xfId="0" applyFill="1"/>
    <xf numFmtId="0" fontId="20" fillId="33" borderId="0" xfId="0" applyFont="1" applyFill="1" applyAlignment="1">
      <alignment wrapText="1"/>
    </xf>
    <xf numFmtId="0" fontId="7" fillId="3" borderId="0" xfId="7"/>
    <xf numFmtId="0" fontId="6" fillId="2" borderId="0" xfId="6"/>
    <xf numFmtId="9" fontId="6" fillId="2" borderId="0" xfId="6" applyNumberFormat="1" applyAlignment="1">
      <alignment horizontal="right" vertical="center" wrapText="1"/>
    </xf>
    <xf numFmtId="9" fontId="6" fillId="2" borderId="0" xfId="6" applyNumberFormat="1"/>
    <xf numFmtId="1" fontId="6" fillId="2" borderId="0" xfId="6" applyNumberFormat="1"/>
    <xf numFmtId="0" fontId="21" fillId="2" borderId="0" xfId="6" applyFont="1" applyAlignment="1">
      <alignment wrapText="1"/>
    </xf>
    <xf numFmtId="0" fontId="22" fillId="3" borderId="0" xfId="7" applyFont="1" applyAlignment="1">
      <alignment wrapText="1"/>
    </xf>
    <xf numFmtId="0" fontId="23" fillId="0" borderId="0" xfId="0" applyFont="1" applyAlignment="1">
      <alignment horizontal="left" vertical="top" wrapText="1"/>
    </xf>
    <xf numFmtId="0" fontId="23" fillId="33" borderId="0" xfId="0" applyFont="1" applyFill="1" applyAlignment="1">
      <alignment horizontal="left" vertical="top" wrapText="1"/>
    </xf>
    <xf numFmtId="0" fontId="9" fillId="5" borderId="4" xfId="9"/>
    <xf numFmtId="0" fontId="9" fillId="5" borderId="4" xfId="9" applyAlignment="1">
      <alignment horizontal="left" vertical="top" wrapText="1"/>
    </xf>
    <xf numFmtId="0" fontId="8" fillId="4" borderId="0" xfId="8"/>
    <xf numFmtId="0" fontId="8" fillId="4" borderId="0" xfId="8" applyAlignment="1">
      <alignment wrapText="1"/>
    </xf>
    <xf numFmtId="9" fontId="8" fillId="4" borderId="0" xfId="8" applyNumberFormat="1" applyAlignment="1">
      <alignment horizontal="right" vertical="center" wrapText="1"/>
    </xf>
    <xf numFmtId="0" fontId="9" fillId="5" borderId="4" xfId="9" applyAlignment="1">
      <alignment wrapText="1"/>
    </xf>
    <xf numFmtId="167" fontId="0" fillId="0" borderId="0" xfId="44" applyNumberFormat="1" applyFont="1"/>
    <xf numFmtId="167" fontId="0" fillId="0" borderId="0" xfId="0" applyNumberFormat="1"/>
    <xf numFmtId="167" fontId="0" fillId="0" borderId="0" xfId="44" applyNumberFormat="1" applyFont="1" applyAlignment="1">
      <alignment wrapText="1"/>
    </xf>
    <xf numFmtId="0" fontId="0" fillId="0" borderId="0" xfId="0" applyBorder="1" applyAlignment="1">
      <alignment wrapText="1"/>
    </xf>
    <xf numFmtId="0" fontId="0" fillId="0" borderId="12" xfId="0" applyBorder="1"/>
    <xf numFmtId="0" fontId="0" fillId="0" borderId="10" xfId="0" applyBorder="1"/>
    <xf numFmtId="167" fontId="0" fillId="0" borderId="10" xfId="44" applyNumberFormat="1" applyFont="1" applyBorder="1"/>
    <xf numFmtId="0" fontId="0" fillId="0" borderId="13" xfId="0" applyBorder="1"/>
    <xf numFmtId="0" fontId="0" fillId="0" borderId="14" xfId="0" applyBorder="1"/>
    <xf numFmtId="0" fontId="16" fillId="0" borderId="0" xfId="0" applyFont="1" applyBorder="1" applyAlignment="1">
      <alignment horizontal="centerContinuous"/>
    </xf>
    <xf numFmtId="167" fontId="0" fillId="0" borderId="0" xfId="44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15" xfId="0" applyBorder="1"/>
    <xf numFmtId="0" fontId="0" fillId="0" borderId="16" xfId="0" applyBorder="1"/>
    <xf numFmtId="0" fontId="0" fillId="0" borderId="11" xfId="0" applyBorder="1"/>
    <xf numFmtId="167" fontId="0" fillId="0" borderId="11" xfId="44" applyNumberFormat="1" applyFont="1" applyBorder="1"/>
    <xf numFmtId="0" fontId="0" fillId="0" borderId="17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0" xfId="0" applyBorder="1"/>
    <xf numFmtId="167" fontId="0" fillId="0" borderId="0" xfId="44" applyNumberFormat="1" applyFont="1" applyBorder="1"/>
    <xf numFmtId="9" fontId="0" fillId="0" borderId="0" xfId="0" applyNumberFormat="1" applyBorder="1"/>
    <xf numFmtId="0" fontId="24" fillId="0" borderId="14" xfId="0" applyFont="1" applyBorder="1"/>
    <xf numFmtId="0" fontId="24" fillId="0" borderId="0" xfId="0" applyFont="1" applyBorder="1"/>
    <xf numFmtId="0" fontId="24" fillId="0" borderId="15" xfId="0" applyFont="1" applyBorder="1"/>
    <xf numFmtId="0" fontId="24" fillId="0" borderId="0" xfId="0" applyFont="1"/>
    <xf numFmtId="167" fontId="24" fillId="0" borderId="0" xfId="44" applyNumberFormat="1" applyFont="1"/>
    <xf numFmtId="167" fontId="24" fillId="0" borderId="0" xfId="44" applyNumberFormat="1" applyFont="1" applyBorder="1" applyAlignment="1">
      <alignment horizontal="right"/>
    </xf>
    <xf numFmtId="0" fontId="24" fillId="0" borderId="0" xfId="0" applyFont="1" applyBorder="1" applyAlignment="1">
      <alignment horizontal="right"/>
    </xf>
    <xf numFmtId="0" fontId="24" fillId="0" borderId="14" xfId="0" applyFont="1" applyBorder="1" applyAlignment="1">
      <alignment horizontal="right"/>
    </xf>
    <xf numFmtId="167" fontId="0" fillId="0" borderId="0" xfId="44" applyNumberFormat="1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167" fontId="20" fillId="0" borderId="0" xfId="44" applyNumberFormat="1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14" xfId="0" applyFont="1" applyBorder="1" applyAlignment="1">
      <alignment horizontal="center" vertical="top" wrapText="1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24" fillId="0" borderId="0" xfId="0" applyFont="1" applyBorder="1" applyAlignment="1">
      <alignment horizontal="left"/>
    </xf>
    <xf numFmtId="167" fontId="0" fillId="0" borderId="13" xfId="44" applyNumberFormat="1" applyFont="1" applyBorder="1"/>
    <xf numFmtId="167" fontId="0" fillId="0" borderId="15" xfId="44" applyNumberFormat="1" applyFont="1" applyBorder="1" applyAlignment="1">
      <alignment horizontal="center" vertical="top" wrapText="1"/>
    </xf>
    <xf numFmtId="167" fontId="0" fillId="0" borderId="17" xfId="44" applyNumberFormat="1" applyFont="1" applyBorder="1"/>
    <xf numFmtId="167" fontId="0" fillId="0" borderId="15" xfId="44" applyNumberFormat="1" applyFont="1" applyBorder="1"/>
    <xf numFmtId="167" fontId="24" fillId="0" borderId="15" xfId="44" applyNumberFormat="1" applyFont="1" applyBorder="1" applyAlignment="1">
      <alignment horizontal="right"/>
    </xf>
    <xf numFmtId="167" fontId="20" fillId="0" borderId="15" xfId="44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7" fontId="0" fillId="0" borderId="0" xfId="44" applyNumberFormat="1" applyFont="1" applyAlignment="1">
      <alignment horizontal="center" vertical="top" wrapText="1"/>
    </xf>
    <xf numFmtId="0" fontId="16" fillId="0" borderId="11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15" xfId="0" applyBorder="1" applyAlignment="1">
      <alignment horizontal="center" vertical="top" wrapText="1"/>
    </xf>
    <xf numFmtId="1" fontId="0" fillId="0" borderId="0" xfId="0" applyNumberFormat="1" applyBorder="1"/>
    <xf numFmtId="1" fontId="0" fillId="0" borderId="11" xfId="0" applyNumberFormat="1" applyBorder="1"/>
    <xf numFmtId="9" fontId="0" fillId="0" borderId="11" xfId="0" applyNumberFormat="1" applyBorder="1"/>
    <xf numFmtId="0" fontId="25" fillId="0" borderId="0" xfId="0" applyFont="1" applyBorder="1"/>
    <xf numFmtId="0" fontId="16" fillId="0" borderId="10" xfId="0" applyFont="1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20" fillId="0" borderId="15" xfId="0" applyFont="1" applyBorder="1" applyAlignment="1">
      <alignment horizontal="center" vertical="top" wrapText="1"/>
    </xf>
    <xf numFmtId="9" fontId="0" fillId="0" borderId="15" xfId="0" applyNumberFormat="1" applyBorder="1"/>
    <xf numFmtId="9" fontId="0" fillId="0" borderId="17" xfId="0" applyNumberFormat="1" applyBorder="1"/>
    <xf numFmtId="0" fontId="0" fillId="0" borderId="12" xfId="0" applyBorder="1" applyAlignment="1">
      <alignment horizontal="centerContinuous"/>
    </xf>
    <xf numFmtId="167" fontId="0" fillId="0" borderId="14" xfId="44" applyNumberFormat="1" applyFont="1" applyBorder="1" applyAlignment="1">
      <alignment horizontal="center" vertical="top" wrapText="1"/>
    </xf>
    <xf numFmtId="167" fontId="0" fillId="0" borderId="16" xfId="44" applyNumberFormat="1" applyFont="1" applyBorder="1"/>
    <xf numFmtId="167" fontId="0" fillId="0" borderId="14" xfId="44" applyNumberFormat="1" applyFont="1" applyBorder="1"/>
    <xf numFmtId="9" fontId="0" fillId="0" borderId="0" xfId="0" applyNumberFormat="1" applyAlignment="1">
      <alignment wrapText="1"/>
    </xf>
    <xf numFmtId="9" fontId="24" fillId="0" borderId="0" xfId="0" applyNumberFormat="1" applyFont="1"/>
    <xf numFmtId="9" fontId="0" fillId="0" borderId="0" xfId="0" applyNumberFormat="1" applyAlignment="1">
      <alignment horizontal="center" vertical="top" wrapText="1"/>
    </xf>
    <xf numFmtId="0" fontId="16" fillId="0" borderId="0" xfId="0" applyFont="1"/>
    <xf numFmtId="3" fontId="0" fillId="0" borderId="0" xfId="0" applyNumberFormat="1"/>
    <xf numFmtId="0" fontId="0" fillId="0" borderId="0" xfId="0" applyAlignment="1">
      <alignment horizontal="right" vertical="top"/>
    </xf>
    <xf numFmtId="167" fontId="0" fillId="0" borderId="12" xfId="0" applyNumberFormat="1" applyBorder="1"/>
    <xf numFmtId="1" fontId="0" fillId="0" borderId="10" xfId="0" applyNumberFormat="1" applyBorder="1"/>
    <xf numFmtId="3" fontId="0" fillId="0" borderId="10" xfId="0" applyNumberFormat="1" applyBorder="1"/>
    <xf numFmtId="167" fontId="0" fillId="0" borderId="10" xfId="0" applyNumberFormat="1" applyBorder="1"/>
    <xf numFmtId="9" fontId="0" fillId="0" borderId="10" xfId="0" applyNumberFormat="1" applyBorder="1"/>
    <xf numFmtId="167" fontId="0" fillId="0" borderId="13" xfId="0" applyNumberFormat="1" applyBorder="1"/>
    <xf numFmtId="167" fontId="0" fillId="0" borderId="16" xfId="0" applyNumberFormat="1" applyBorder="1"/>
    <xf numFmtId="3" fontId="0" fillId="0" borderId="11" xfId="0" applyNumberFormat="1" applyBorder="1"/>
    <xf numFmtId="167" fontId="0" fillId="0" borderId="11" xfId="0" applyNumberFormat="1" applyBorder="1"/>
    <xf numFmtId="167" fontId="0" fillId="0" borderId="17" xfId="0" applyNumberFormat="1" applyBorder="1"/>
    <xf numFmtId="167" fontId="0" fillId="0" borderId="14" xfId="0" applyNumberFormat="1" applyBorder="1"/>
    <xf numFmtId="3" fontId="0" fillId="0" borderId="0" xfId="0" applyNumberFormat="1" applyBorder="1"/>
    <xf numFmtId="167" fontId="0" fillId="0" borderId="0" xfId="0" applyNumberFormat="1" applyBorder="1"/>
    <xf numFmtId="167" fontId="0" fillId="0" borderId="15" xfId="0" applyNumberFormat="1" applyBorder="1"/>
    <xf numFmtId="0" fontId="0" fillId="0" borderId="14" xfId="0" applyBorder="1" applyAlignment="1">
      <alignment horizontal="right" vertical="top"/>
    </xf>
    <xf numFmtId="0" fontId="0" fillId="0" borderId="0" xfId="0" applyBorder="1" applyAlignment="1">
      <alignment horizontal="right" vertical="top"/>
    </xf>
    <xf numFmtId="0" fontId="16" fillId="0" borderId="0" xfId="0" applyFont="1" applyBorder="1"/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left" indent="2"/>
    </xf>
    <xf numFmtId="0" fontId="0" fillId="0" borderId="0" xfId="0" applyBorder="1" applyAlignment="1">
      <alignment horizontal="left" indent="3"/>
    </xf>
    <xf numFmtId="1" fontId="25" fillId="0" borderId="0" xfId="0" applyNumberFormat="1" applyFont="1" applyBorder="1"/>
    <xf numFmtId="3" fontId="25" fillId="0" borderId="0" xfId="0" applyNumberFormat="1" applyFont="1" applyBorder="1"/>
    <xf numFmtId="167" fontId="25" fillId="0" borderId="0" xfId="0" applyNumberFormat="1" applyFont="1" applyBorder="1"/>
    <xf numFmtId="9" fontId="25" fillId="0" borderId="0" xfId="0" applyNumberFormat="1" applyFont="1" applyBorder="1"/>
    <xf numFmtId="0" fontId="26" fillId="0" borderId="0" xfId="0" applyFont="1" applyBorder="1" applyAlignment="1">
      <alignment horizontal="left" indent="3"/>
    </xf>
    <xf numFmtId="0" fontId="26" fillId="0" borderId="0" xfId="0" applyFont="1" applyBorder="1"/>
    <xf numFmtId="1" fontId="26" fillId="0" borderId="0" xfId="0" applyNumberFormat="1" applyFont="1" applyBorder="1"/>
    <xf numFmtId="3" fontId="26" fillId="0" borderId="0" xfId="0" applyNumberFormat="1" applyFont="1" applyBorder="1"/>
    <xf numFmtId="167" fontId="26" fillId="0" borderId="0" xfId="0" applyNumberFormat="1" applyFont="1" applyBorder="1"/>
    <xf numFmtId="9" fontId="26" fillId="0" borderId="0" xfId="0" applyNumberFormat="1" applyFont="1" applyBorder="1"/>
    <xf numFmtId="0" fontId="25" fillId="0" borderId="0" xfId="0" applyFont="1" applyBorder="1" applyAlignment="1">
      <alignment horizontal="left" indent="2"/>
    </xf>
    <xf numFmtId="1" fontId="16" fillId="0" borderId="0" xfId="0" applyNumberFormat="1" applyFont="1" applyBorder="1"/>
    <xf numFmtId="3" fontId="16" fillId="0" borderId="0" xfId="0" applyNumberFormat="1" applyFont="1" applyBorder="1"/>
    <xf numFmtId="167" fontId="16" fillId="0" borderId="0" xfId="0" applyNumberFormat="1" applyFont="1" applyBorder="1"/>
    <xf numFmtId="9" fontId="16" fillId="0" borderId="0" xfId="0" applyNumberFormat="1" applyFont="1" applyBorder="1"/>
    <xf numFmtId="167" fontId="16" fillId="0" borderId="0" xfId="44" applyNumberFormat="1" applyFont="1"/>
    <xf numFmtId="167" fontId="16" fillId="0" borderId="0" xfId="0" applyNumberFormat="1" applyFont="1"/>
    <xf numFmtId="167" fontId="16" fillId="0" borderId="14" xfId="0" applyNumberFormat="1" applyFont="1" applyBorder="1"/>
    <xf numFmtId="167" fontId="16" fillId="0" borderId="15" xfId="0" applyNumberFormat="1" applyFont="1" applyBorder="1"/>
    <xf numFmtId="9" fontId="16" fillId="0" borderId="0" xfId="0" applyNumberFormat="1" applyFont="1"/>
    <xf numFmtId="167" fontId="0" fillId="0" borderId="18" xfId="0" applyNumberFormat="1" applyBorder="1"/>
    <xf numFmtId="0" fontId="0" fillId="0" borderId="19" xfId="0" applyBorder="1"/>
    <xf numFmtId="167" fontId="0" fillId="0" borderId="20" xfId="0" applyNumberFormat="1" applyBorder="1"/>
    <xf numFmtId="0" fontId="16" fillId="34" borderId="19" xfId="0" applyFont="1" applyFill="1" applyBorder="1"/>
    <xf numFmtId="1" fontId="16" fillId="34" borderId="19" xfId="0" applyNumberFormat="1" applyFont="1" applyFill="1" applyBorder="1"/>
    <xf numFmtId="3" fontId="16" fillId="34" borderId="19" xfId="0" applyNumberFormat="1" applyFont="1" applyFill="1" applyBorder="1"/>
    <xf numFmtId="167" fontId="16" fillId="34" borderId="19" xfId="0" applyNumberFormat="1" applyFont="1" applyFill="1" applyBorder="1"/>
    <xf numFmtId="9" fontId="16" fillId="34" borderId="19" xfId="0" applyNumberFormat="1" applyFont="1" applyFill="1" applyBorder="1"/>
    <xf numFmtId="0" fontId="0" fillId="35" borderId="0" xfId="0" applyFill="1" applyBorder="1" applyAlignment="1">
      <alignment horizontal="left" indent="1"/>
    </xf>
    <xf numFmtId="0" fontId="0" fillId="35" borderId="0" xfId="0" applyFill="1" applyBorder="1"/>
    <xf numFmtId="1" fontId="0" fillId="35" borderId="0" xfId="0" applyNumberFormat="1" applyFill="1" applyBorder="1"/>
    <xf numFmtId="3" fontId="0" fillId="35" borderId="0" xfId="0" applyNumberFormat="1" applyFill="1" applyBorder="1"/>
    <xf numFmtId="167" fontId="0" fillId="35" borderId="0" xfId="0" applyNumberFormat="1" applyFill="1" applyBorder="1"/>
    <xf numFmtId="9" fontId="0" fillId="35" borderId="0" xfId="0" applyNumberFormat="1" applyFill="1" applyBorder="1"/>
    <xf numFmtId="0" fontId="0" fillId="0" borderId="15" xfId="0" applyBorder="1" applyAlignment="1">
      <alignment horizontal="right" vertical="top"/>
    </xf>
    <xf numFmtId="167" fontId="16" fillId="34" borderId="18" xfId="0" applyNumberFormat="1" applyFont="1" applyFill="1" applyBorder="1"/>
    <xf numFmtId="167" fontId="16" fillId="34" borderId="20" xfId="0" applyNumberFormat="1" applyFont="1" applyFill="1" applyBorder="1"/>
    <xf numFmtId="167" fontId="0" fillId="35" borderId="14" xfId="0" applyNumberFormat="1" applyFill="1" applyBorder="1"/>
    <xf numFmtId="167" fontId="0" fillId="35" borderId="15" xfId="0" applyNumberFormat="1" applyFill="1" applyBorder="1"/>
    <xf numFmtId="167" fontId="25" fillId="0" borderId="14" xfId="0" applyNumberFormat="1" applyFont="1" applyBorder="1"/>
    <xf numFmtId="167" fontId="25" fillId="0" borderId="15" xfId="0" applyNumberFormat="1" applyFont="1" applyBorder="1"/>
    <xf numFmtId="167" fontId="26" fillId="0" borderId="14" xfId="0" applyNumberFormat="1" applyFont="1" applyBorder="1"/>
    <xf numFmtId="167" fontId="26" fillId="0" borderId="15" xfId="0" applyNumberFormat="1" applyFont="1" applyBorder="1"/>
    <xf numFmtId="0" fontId="26" fillId="35" borderId="0" xfId="0" applyFont="1" applyFill="1" applyBorder="1" applyAlignment="1">
      <alignment horizontal="left" indent="1"/>
    </xf>
    <xf numFmtId="0" fontId="26" fillId="35" borderId="0" xfId="0" applyFont="1" applyFill="1" applyBorder="1"/>
    <xf numFmtId="1" fontId="26" fillId="35" borderId="0" xfId="0" applyNumberFormat="1" applyFont="1" applyFill="1" applyBorder="1"/>
    <xf numFmtId="3" fontId="26" fillId="35" borderId="0" xfId="0" applyNumberFormat="1" applyFont="1" applyFill="1" applyBorder="1"/>
    <xf numFmtId="167" fontId="26" fillId="35" borderId="0" xfId="0" applyNumberFormat="1" applyFont="1" applyFill="1" applyBorder="1"/>
    <xf numFmtId="167" fontId="26" fillId="35" borderId="14" xfId="0" applyNumberFormat="1" applyFont="1" applyFill="1" applyBorder="1"/>
    <xf numFmtId="9" fontId="26" fillId="35" borderId="0" xfId="0" applyNumberFormat="1" applyFont="1" applyFill="1" applyBorder="1"/>
    <xf numFmtId="167" fontId="26" fillId="35" borderId="15" xfId="0" applyNumberFormat="1" applyFont="1" applyFill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23DD8F89-2172-4BAE-A468-72A519F1D1C8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11</xdr:col>
      <xdr:colOff>330200</xdr:colOff>
      <xdr:row>43</xdr:row>
      <xdr:rowOff>69850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52E5BB-7AA8-6AFA-AE14-D13FAB85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08650"/>
          <a:ext cx="6426200" cy="227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14</xdr:col>
      <xdr:colOff>266700</xdr:colOff>
      <xdr:row>57</xdr:row>
      <xdr:rowOff>127000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86CCD8-ED61-64E8-0873-EB74484F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86750"/>
          <a:ext cx="8191500" cy="233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11</xdr:col>
      <xdr:colOff>330200</xdr:colOff>
      <xdr:row>71</xdr:row>
      <xdr:rowOff>69850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4455902-7EAB-BD9B-D85C-885F651C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64850"/>
          <a:ext cx="6426200" cy="227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12</xdr:col>
      <xdr:colOff>431800</xdr:colOff>
      <xdr:row>31</xdr:row>
      <xdr:rowOff>69850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7B141EF-F3C3-BEB8-DD21-142BB0F8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7137400" cy="559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24</xdr:col>
      <xdr:colOff>431800</xdr:colOff>
      <xdr:row>45</xdr:row>
      <xdr:rowOff>69850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CE34173-BA1E-1507-6104-E268DA44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4150"/>
          <a:ext cx="7137400" cy="817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101</v>
          </cell>
          <cell r="B2" t="str">
            <v>Animal</v>
          </cell>
        </row>
        <row r="3">
          <cell r="A3">
            <v>102</v>
          </cell>
          <cell r="B3" t="str">
            <v>Vegetable, excluding tobacco</v>
          </cell>
        </row>
        <row r="4">
          <cell r="A4">
            <v>103</v>
          </cell>
          <cell r="B4" t="str">
            <v>Vegetable, including tobacco</v>
          </cell>
        </row>
        <row r="5">
          <cell r="A5">
            <v>104</v>
          </cell>
          <cell r="B5" t="str">
            <v>All agricultural, excluding tobacco</v>
          </cell>
        </row>
        <row r="6">
          <cell r="A6">
            <v>105</v>
          </cell>
          <cell r="B6" t="str">
            <v>All agricultural, including tobacco</v>
          </cell>
        </row>
        <row r="7">
          <cell r="A7">
            <v>106</v>
          </cell>
          <cell r="B7" t="str">
            <v>Meats</v>
          </cell>
        </row>
        <row r="8">
          <cell r="A8">
            <v>107</v>
          </cell>
          <cell r="B8" t="str">
            <v>Animal, agricultural</v>
          </cell>
        </row>
        <row r="9">
          <cell r="A9" t="str">
            <v>108t</v>
          </cell>
          <cell r="B9" t="str">
            <v>Animal, all</v>
          </cell>
        </row>
        <row r="10">
          <cell r="A10">
            <v>109</v>
          </cell>
          <cell r="B10" t="str">
            <v>Vegetable, agricultural, excluding beverages and tropical products</v>
          </cell>
        </row>
        <row r="11">
          <cell r="A11">
            <v>110</v>
          </cell>
          <cell r="B11" t="str">
            <v>Vegetable, agricultural</v>
          </cell>
        </row>
        <row r="12">
          <cell r="A12">
            <v>111</v>
          </cell>
          <cell r="B12" t="str">
            <v>Vegetable, all</v>
          </cell>
        </row>
        <row r="13">
          <cell r="A13">
            <v>112</v>
          </cell>
          <cell r="B13" t="str">
            <v>Vegetable, including tobacco products</v>
          </cell>
        </row>
        <row r="14">
          <cell r="A14">
            <v>113</v>
          </cell>
          <cell r="B14" t="str">
            <v>All agricultural</v>
          </cell>
        </row>
        <row r="15">
          <cell r="A15">
            <v>114</v>
          </cell>
          <cell r="B15" t="str">
            <v>Hides, leather, and products, crude, semimanufactured and manufactured</v>
          </cell>
        </row>
        <row r="16">
          <cell r="A16">
            <v>115</v>
          </cell>
          <cell r="B16" t="str">
            <v>All agricultural, crude and semimanufactured except fibers</v>
          </cell>
        </row>
        <row r="17">
          <cell r="A17">
            <v>116</v>
          </cell>
          <cell r="B17" t="str">
            <v>All crude and semimanufactured, except fibers</v>
          </cell>
        </row>
        <row r="18">
          <cell r="A18">
            <v>117</v>
          </cell>
          <cell r="B18" t="str">
            <v>All, except textiles</v>
          </cell>
        </row>
        <row r="19">
          <cell r="A19">
            <v>118</v>
          </cell>
          <cell r="B19" t="str">
            <v>All agricultural, crude and semimanufactured, except textiles</v>
          </cell>
        </row>
        <row r="20">
          <cell r="A20">
            <v>119</v>
          </cell>
          <cell r="B20" t="str">
            <v>All crude and semimanufactured, except textiles</v>
          </cell>
        </row>
        <row r="21">
          <cell r="A21">
            <v>120</v>
          </cell>
          <cell r="B21" t="str">
            <v>Cotton textiles, crude, semimanufactured and manufactured</v>
          </cell>
        </row>
        <row r="22">
          <cell r="A22">
            <v>121</v>
          </cell>
          <cell r="B22" t="str">
            <v>Manufactured textiles</v>
          </cell>
        </row>
        <row r="23">
          <cell r="A23">
            <v>122</v>
          </cell>
          <cell r="B23" t="str">
            <v>Wood and manufactures, except paper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FM54"/>
  <sheetViews>
    <sheetView workbookViewId="0">
      <pane xSplit="1" ySplit="9" topLeftCell="DJ34" activePane="bottomRight" state="frozen"/>
      <selection activeCell="DV4" sqref="DV4"/>
      <selection pane="topRight" activeCell="DV4" sqref="DV4"/>
      <selection pane="bottomLeft" activeCell="DV4" sqref="DV4"/>
      <selection pane="bottomRight" activeCell="DV4" sqref="DV4"/>
    </sheetView>
  </sheetViews>
  <sheetFormatPr defaultRowHeight="14.5" x14ac:dyDescent="0.35"/>
  <sheetData>
    <row r="1" spans="1:169" x14ac:dyDescent="0.35">
      <c r="A1" t="s">
        <v>144</v>
      </c>
      <c r="B1" t="s">
        <v>140</v>
      </c>
      <c r="C1" t="s">
        <v>140</v>
      </c>
      <c r="D1" t="s">
        <v>140</v>
      </c>
      <c r="E1" t="s">
        <v>140</v>
      </c>
      <c r="F1" t="s">
        <v>140</v>
      </c>
      <c r="G1" t="s">
        <v>140</v>
      </c>
      <c r="H1" t="s">
        <v>140</v>
      </c>
      <c r="I1" t="s">
        <v>140</v>
      </c>
      <c r="J1" t="s">
        <v>140</v>
      </c>
      <c r="K1" t="s">
        <v>140</v>
      </c>
      <c r="L1" t="s">
        <v>140</v>
      </c>
      <c r="M1" t="s">
        <v>140</v>
      </c>
      <c r="N1" t="s">
        <v>140</v>
      </c>
      <c r="O1" t="s">
        <v>140</v>
      </c>
      <c r="P1" t="s">
        <v>140</v>
      </c>
      <c r="Q1" t="s">
        <v>140</v>
      </c>
      <c r="R1" t="s">
        <v>140</v>
      </c>
      <c r="S1" t="s">
        <v>140</v>
      </c>
      <c r="T1" t="s">
        <v>140</v>
      </c>
      <c r="U1" t="s">
        <v>140</v>
      </c>
      <c r="V1" t="s">
        <v>140</v>
      </c>
      <c r="W1" t="s">
        <v>140</v>
      </c>
      <c r="X1" t="s">
        <v>140</v>
      </c>
      <c r="Y1" t="s">
        <v>140</v>
      </c>
      <c r="Z1" t="s">
        <v>140</v>
      </c>
      <c r="AA1" t="s">
        <v>140</v>
      </c>
      <c r="AB1" t="s">
        <v>140</v>
      </c>
      <c r="AC1" t="s">
        <v>140</v>
      </c>
      <c r="AD1" t="s">
        <v>140</v>
      </c>
      <c r="AE1" t="s">
        <v>140</v>
      </c>
      <c r="AF1" t="s">
        <v>140</v>
      </c>
      <c r="AG1" t="s">
        <v>140</v>
      </c>
      <c r="AH1" t="s">
        <v>140</v>
      </c>
      <c r="AI1" t="s">
        <v>140</v>
      </c>
      <c r="AJ1" t="s">
        <v>140</v>
      </c>
      <c r="AK1" t="s">
        <v>140</v>
      </c>
      <c r="AL1" t="s">
        <v>140</v>
      </c>
      <c r="AM1" t="s">
        <v>140</v>
      </c>
      <c r="AN1" t="s">
        <v>140</v>
      </c>
      <c r="AO1" t="s">
        <v>140</v>
      </c>
      <c r="AP1" t="s">
        <v>140</v>
      </c>
      <c r="AQ1" t="s">
        <v>140</v>
      </c>
      <c r="AR1" t="s">
        <v>140</v>
      </c>
      <c r="AS1" t="s">
        <v>140</v>
      </c>
      <c r="AT1" t="s">
        <v>140</v>
      </c>
      <c r="AU1" t="s">
        <v>140</v>
      </c>
      <c r="AV1" t="s">
        <v>140</v>
      </c>
      <c r="AW1" t="s">
        <v>140</v>
      </c>
      <c r="AX1" t="s">
        <v>140</v>
      </c>
      <c r="AY1" t="s">
        <v>140</v>
      </c>
      <c r="AZ1" t="s">
        <v>140</v>
      </c>
      <c r="BA1" t="s">
        <v>140</v>
      </c>
      <c r="BB1" t="s">
        <v>143</v>
      </c>
      <c r="BC1" t="s">
        <v>143</v>
      </c>
      <c r="BD1" t="s">
        <v>143</v>
      </c>
      <c r="BE1" t="s">
        <v>143</v>
      </c>
      <c r="BF1" t="s">
        <v>143</v>
      </c>
      <c r="BG1" t="s">
        <v>143</v>
      </c>
      <c r="BH1" t="s">
        <v>143</v>
      </c>
      <c r="BI1" t="s">
        <v>143</v>
      </c>
      <c r="BJ1" t="s">
        <v>143</v>
      </c>
      <c r="BK1" t="s">
        <v>143</v>
      </c>
      <c r="BL1" t="s">
        <v>143</v>
      </c>
      <c r="BM1" t="s">
        <v>143</v>
      </c>
      <c r="BN1" t="s">
        <v>143</v>
      </c>
      <c r="BO1" t="s">
        <v>143</v>
      </c>
      <c r="BP1" t="s">
        <v>143</v>
      </c>
      <c r="BQ1" t="s">
        <v>143</v>
      </c>
      <c r="BR1" t="s">
        <v>143</v>
      </c>
      <c r="BS1" t="s">
        <v>143</v>
      </c>
      <c r="BT1" t="s">
        <v>143</v>
      </c>
      <c r="BU1" t="s">
        <v>143</v>
      </c>
      <c r="BV1" t="s">
        <v>143</v>
      </c>
      <c r="BW1" t="s">
        <v>143</v>
      </c>
      <c r="BX1" t="s">
        <v>143</v>
      </c>
      <c r="BY1" t="s">
        <v>143</v>
      </c>
      <c r="BZ1" t="s">
        <v>143</v>
      </c>
      <c r="CA1" t="s">
        <v>143</v>
      </c>
      <c r="CB1" t="s">
        <v>143</v>
      </c>
      <c r="CC1" t="s">
        <v>143</v>
      </c>
      <c r="CD1" t="s">
        <v>143</v>
      </c>
      <c r="CE1" t="s">
        <v>143</v>
      </c>
      <c r="CF1" t="s">
        <v>143</v>
      </c>
      <c r="CG1" t="s">
        <v>143</v>
      </c>
      <c r="CH1" t="s">
        <v>143</v>
      </c>
      <c r="CI1" t="s">
        <v>143</v>
      </c>
      <c r="CJ1" t="s">
        <v>143</v>
      </c>
      <c r="CK1" t="s">
        <v>143</v>
      </c>
      <c r="CL1" t="s">
        <v>143</v>
      </c>
      <c r="CM1" t="s">
        <v>143</v>
      </c>
      <c r="CN1" t="s">
        <v>143</v>
      </c>
      <c r="CO1" t="s">
        <v>143</v>
      </c>
      <c r="CP1" t="s">
        <v>143</v>
      </c>
      <c r="CQ1" t="s">
        <v>143</v>
      </c>
      <c r="CR1" t="s">
        <v>143</v>
      </c>
      <c r="CS1" t="s">
        <v>143</v>
      </c>
      <c r="CT1" t="s">
        <v>143</v>
      </c>
      <c r="CU1" t="s">
        <v>143</v>
      </c>
      <c r="CV1" t="s">
        <v>143</v>
      </c>
      <c r="CW1" t="s">
        <v>143</v>
      </c>
      <c r="CX1" t="s">
        <v>143</v>
      </c>
      <c r="CY1" t="s">
        <v>143</v>
      </c>
      <c r="CZ1" t="s">
        <v>143</v>
      </c>
      <c r="DA1" t="s">
        <v>143</v>
      </c>
      <c r="DB1" t="s">
        <v>143</v>
      </c>
      <c r="DC1" t="s">
        <v>143</v>
      </c>
      <c r="DD1" t="s">
        <v>143</v>
      </c>
      <c r="DE1" t="s">
        <v>143</v>
      </c>
      <c r="DF1" t="s">
        <v>143</v>
      </c>
      <c r="DG1" t="s">
        <v>143</v>
      </c>
      <c r="DH1" t="s">
        <v>143</v>
      </c>
      <c r="DI1" t="s">
        <v>143</v>
      </c>
      <c r="DJ1" t="s">
        <v>140</v>
      </c>
      <c r="DK1" t="s">
        <v>140</v>
      </c>
      <c r="DL1" t="s">
        <v>140</v>
      </c>
      <c r="DM1" t="s">
        <v>140</v>
      </c>
      <c r="DN1" t="s">
        <v>140</v>
      </c>
      <c r="DO1" t="s">
        <v>140</v>
      </c>
      <c r="DP1" t="s">
        <v>140</v>
      </c>
      <c r="DQ1" t="s">
        <v>140</v>
      </c>
      <c r="DR1" t="s">
        <v>140</v>
      </c>
      <c r="DS1" t="s">
        <v>140</v>
      </c>
      <c r="DT1" t="s">
        <v>140</v>
      </c>
      <c r="DU1" t="s">
        <v>140</v>
      </c>
      <c r="DV1" t="s">
        <v>140</v>
      </c>
      <c r="DW1" t="s">
        <v>140</v>
      </c>
      <c r="DX1" t="s">
        <v>140</v>
      </c>
      <c r="DY1" t="s">
        <v>140</v>
      </c>
      <c r="DZ1" t="s">
        <v>140</v>
      </c>
      <c r="EA1" t="s">
        <v>140</v>
      </c>
      <c r="EB1" t="s">
        <v>140</v>
      </c>
      <c r="EC1" t="s">
        <v>140</v>
      </c>
      <c r="ED1" t="s">
        <v>140</v>
      </c>
      <c r="EE1" t="s">
        <v>140</v>
      </c>
      <c r="EF1" t="s">
        <v>140</v>
      </c>
      <c r="EG1" t="s">
        <v>140</v>
      </c>
      <c r="EH1" t="s">
        <v>140</v>
      </c>
      <c r="EI1" t="s">
        <v>140</v>
      </c>
      <c r="EJ1" t="s">
        <v>143</v>
      </c>
      <c r="EK1" t="s">
        <v>143</v>
      </c>
      <c r="EL1" t="s">
        <v>143</v>
      </c>
      <c r="EM1" t="s">
        <v>143</v>
      </c>
      <c r="EN1" t="s">
        <v>143</v>
      </c>
      <c r="EO1" t="s">
        <v>143</v>
      </c>
      <c r="EP1" t="s">
        <v>143</v>
      </c>
      <c r="EQ1" t="s">
        <v>143</v>
      </c>
      <c r="ER1" t="s">
        <v>143</v>
      </c>
      <c r="ES1" t="s">
        <v>143</v>
      </c>
      <c r="ET1" t="s">
        <v>143</v>
      </c>
      <c r="EU1" t="s">
        <v>143</v>
      </c>
      <c r="EV1" t="s">
        <v>143</v>
      </c>
      <c r="EW1" t="s">
        <v>143</v>
      </c>
      <c r="EX1" t="s">
        <v>143</v>
      </c>
      <c r="EY1" t="s">
        <v>143</v>
      </c>
      <c r="EZ1" t="s">
        <v>143</v>
      </c>
      <c r="FA1" t="s">
        <v>143</v>
      </c>
      <c r="FB1" t="s">
        <v>143</v>
      </c>
      <c r="FC1" t="s">
        <v>143</v>
      </c>
      <c r="FD1" t="s">
        <v>143</v>
      </c>
      <c r="FE1" t="s">
        <v>143</v>
      </c>
      <c r="FF1" t="s">
        <v>143</v>
      </c>
      <c r="FG1" t="s">
        <v>143</v>
      </c>
      <c r="FH1" t="s">
        <v>143</v>
      </c>
      <c r="FI1" t="s">
        <v>143</v>
      </c>
      <c r="FJ1" t="s">
        <v>143</v>
      </c>
      <c r="FK1" t="s">
        <v>143</v>
      </c>
      <c r="FL1" t="s">
        <v>143</v>
      </c>
      <c r="FM1" t="s">
        <v>143</v>
      </c>
    </row>
    <row r="2" spans="1:169" x14ac:dyDescent="0.35">
      <c r="A2" t="s">
        <v>82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83</v>
      </c>
      <c r="Y2" t="s">
        <v>83</v>
      </c>
      <c r="Z2" t="s">
        <v>83</v>
      </c>
      <c r="AA2" t="s">
        <v>83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M2" t="s">
        <v>141</v>
      </c>
      <c r="AN2" t="s">
        <v>141</v>
      </c>
      <c r="AO2" t="s">
        <v>141</v>
      </c>
      <c r="AP2" t="s">
        <v>141</v>
      </c>
      <c r="AQ2" t="s">
        <v>141</v>
      </c>
      <c r="AR2" t="s">
        <v>141</v>
      </c>
      <c r="AS2" t="s">
        <v>141</v>
      </c>
      <c r="AT2" t="s">
        <v>141</v>
      </c>
      <c r="AU2" t="s">
        <v>141</v>
      </c>
      <c r="AV2" t="s">
        <v>141</v>
      </c>
      <c r="AW2" t="s">
        <v>141</v>
      </c>
      <c r="AX2" t="s">
        <v>141</v>
      </c>
      <c r="AY2" t="s">
        <v>141</v>
      </c>
      <c r="AZ2" t="s">
        <v>141</v>
      </c>
      <c r="BA2" t="s">
        <v>141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83</v>
      </c>
      <c r="BM2" t="s">
        <v>83</v>
      </c>
      <c r="BN2" t="s">
        <v>83</v>
      </c>
      <c r="BO2" t="s">
        <v>83</v>
      </c>
      <c r="BP2" t="s">
        <v>83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83</v>
      </c>
      <c r="CB2" t="s">
        <v>83</v>
      </c>
      <c r="CC2" t="s">
        <v>83</v>
      </c>
      <c r="CD2" t="s">
        <v>83</v>
      </c>
      <c r="CE2" t="s">
        <v>83</v>
      </c>
      <c r="CF2" t="s">
        <v>141</v>
      </c>
      <c r="CG2" t="s">
        <v>141</v>
      </c>
      <c r="CH2" t="s">
        <v>141</v>
      </c>
      <c r="CI2" t="s">
        <v>141</v>
      </c>
      <c r="CJ2" t="s">
        <v>141</v>
      </c>
      <c r="CK2" t="s">
        <v>141</v>
      </c>
      <c r="CL2" t="s">
        <v>141</v>
      </c>
      <c r="CM2" t="s">
        <v>141</v>
      </c>
      <c r="CN2" t="s">
        <v>141</v>
      </c>
      <c r="CO2" t="s">
        <v>141</v>
      </c>
      <c r="CP2" t="s">
        <v>141</v>
      </c>
      <c r="CQ2" t="s">
        <v>141</v>
      </c>
      <c r="CR2" t="s">
        <v>141</v>
      </c>
      <c r="CS2" t="s">
        <v>141</v>
      </c>
      <c r="CT2" t="s">
        <v>141</v>
      </c>
      <c r="CU2" t="s">
        <v>141</v>
      </c>
      <c r="CV2" t="s">
        <v>141</v>
      </c>
      <c r="CW2" t="s">
        <v>141</v>
      </c>
      <c r="CX2" t="s">
        <v>141</v>
      </c>
      <c r="CY2" t="s">
        <v>141</v>
      </c>
      <c r="CZ2" t="s">
        <v>141</v>
      </c>
      <c r="DA2" t="s">
        <v>141</v>
      </c>
      <c r="DB2" t="s">
        <v>141</v>
      </c>
      <c r="DC2" t="s">
        <v>141</v>
      </c>
      <c r="DD2" t="s">
        <v>141</v>
      </c>
      <c r="DE2" t="s">
        <v>141</v>
      </c>
      <c r="DF2" t="s">
        <v>141</v>
      </c>
      <c r="DG2" t="s">
        <v>141</v>
      </c>
      <c r="DH2" t="s">
        <v>141</v>
      </c>
      <c r="DI2" t="s">
        <v>141</v>
      </c>
      <c r="DJ2" t="s">
        <v>142</v>
      </c>
      <c r="DK2" t="s">
        <v>142</v>
      </c>
      <c r="DL2" t="s">
        <v>142</v>
      </c>
      <c r="DM2" t="s">
        <v>142</v>
      </c>
      <c r="DN2" t="s">
        <v>142</v>
      </c>
      <c r="DO2" t="s">
        <v>142</v>
      </c>
      <c r="DP2" t="s">
        <v>142</v>
      </c>
      <c r="DQ2" t="s">
        <v>142</v>
      </c>
      <c r="DR2" t="s">
        <v>142</v>
      </c>
      <c r="DS2" t="s">
        <v>142</v>
      </c>
      <c r="DT2" t="s">
        <v>142</v>
      </c>
      <c r="DU2" t="s">
        <v>142</v>
      </c>
      <c r="DV2" t="s">
        <v>142</v>
      </c>
      <c r="DW2" t="s">
        <v>142</v>
      </c>
      <c r="DX2" t="s">
        <v>142</v>
      </c>
      <c r="DY2" t="s">
        <v>142</v>
      </c>
      <c r="DZ2" t="s">
        <v>142</v>
      </c>
      <c r="EA2" t="s">
        <v>142</v>
      </c>
      <c r="EB2" t="s">
        <v>142</v>
      </c>
      <c r="EC2" t="s">
        <v>142</v>
      </c>
      <c r="ED2" t="s">
        <v>142</v>
      </c>
      <c r="EE2" t="s">
        <v>142</v>
      </c>
      <c r="EF2" t="s">
        <v>142</v>
      </c>
      <c r="EG2" t="s">
        <v>142</v>
      </c>
      <c r="EH2" t="s">
        <v>142</v>
      </c>
      <c r="EI2" t="s">
        <v>142</v>
      </c>
      <c r="EJ2" t="s">
        <v>142</v>
      </c>
      <c r="EK2" t="s">
        <v>142</v>
      </c>
      <c r="EL2" t="s">
        <v>142</v>
      </c>
      <c r="EM2" t="s">
        <v>142</v>
      </c>
      <c r="EN2" t="s">
        <v>142</v>
      </c>
      <c r="EO2" t="s">
        <v>142</v>
      </c>
      <c r="EP2" t="s">
        <v>142</v>
      </c>
      <c r="EQ2" t="s">
        <v>142</v>
      </c>
      <c r="ER2" t="s">
        <v>142</v>
      </c>
      <c r="ES2" t="s">
        <v>142</v>
      </c>
      <c r="ET2" t="s">
        <v>142</v>
      </c>
      <c r="EU2" t="s">
        <v>142</v>
      </c>
      <c r="EV2" t="s">
        <v>142</v>
      </c>
      <c r="EW2" t="s">
        <v>142</v>
      </c>
      <c r="EX2" t="s">
        <v>142</v>
      </c>
      <c r="EY2" t="s">
        <v>142</v>
      </c>
      <c r="EZ2" t="s">
        <v>142</v>
      </c>
      <c r="FA2" t="s">
        <v>142</v>
      </c>
      <c r="FB2" t="s">
        <v>142</v>
      </c>
      <c r="FC2" t="s">
        <v>142</v>
      </c>
      <c r="FD2" t="s">
        <v>142</v>
      </c>
      <c r="FE2" t="s">
        <v>142</v>
      </c>
      <c r="FF2" t="s">
        <v>142</v>
      </c>
      <c r="FG2" t="s">
        <v>142</v>
      </c>
      <c r="FH2" t="s">
        <v>142</v>
      </c>
      <c r="FI2" t="s">
        <v>142</v>
      </c>
      <c r="FJ2" t="s">
        <v>142</v>
      </c>
      <c r="FK2" t="s">
        <v>142</v>
      </c>
      <c r="FL2" t="s">
        <v>142</v>
      </c>
      <c r="FM2" t="s">
        <v>142</v>
      </c>
    </row>
    <row r="3" spans="1:169" x14ac:dyDescent="0.35">
      <c r="A3" t="s">
        <v>81</v>
      </c>
      <c r="B3" t="str">
        <f>IF(B$1="Export",INDEX(CodesIndex!$B$3:$B$200,MATCH(B$4,CodesIndex!$A$3:$A$200,0)),IF(B1="Import",INDEX(CodesIndex!$D$3:$D$200,MATCH(B$4,CodesIndex!$C$3:$C$200,0)),NA()))</f>
        <v>Crude animal foods, agricultural</v>
      </c>
      <c r="C3" t="str">
        <f>IF(C$1="Export",INDEX(CodesIndex!$B$3:$B$200,MATCH(C$4,CodesIndex!$A$3:$A$200,0)),IF(C1="Import",INDEX(CodesIndex!$D$3:$D$200,MATCH(C$4,CodesIndex!$C$3:$C$200,0)),NA()))</f>
        <v>Grains</v>
      </c>
      <c r="D3" t="str">
        <f>IF(D$1="Export",INDEX(CodesIndex!$B$3:$B$200,MATCH(D$4,CodesIndex!$A$3:$A$200,0)),IF(D1="Import",INDEX(CodesIndex!$D$3:$D$200,MATCH(D$4,CodesIndex!$C$3:$C$200,0)),NA()))</f>
        <v>Beef</v>
      </c>
      <c r="E3" t="str">
        <f>IF(E$1="Export",INDEX(CodesIndex!$B$3:$B$200,MATCH(E$4,CodesIndex!$A$3:$A$200,0)),IF(E1="Import",INDEX(CodesIndex!$D$3:$D$200,MATCH(E$4,CodesIndex!$C$3:$C$200,0)),NA()))</f>
        <v>Pork and related products</v>
      </c>
      <c r="F3" t="str">
        <f>IF(F$1="Export",INDEX(CodesIndex!$B$3:$B$200,MATCH(F$4,CodesIndex!$A$3:$A$200,0)),IF(F1="Import",INDEX(CodesIndex!$D$3:$D$200,MATCH(F$4,CodesIndex!$C$3:$C$200,0)),NA()))</f>
        <v>Lard, oleo, and related products</v>
      </c>
      <c r="G3" t="str">
        <f>IF(G$1="Export",INDEX(CodesIndex!$B$3:$B$200,MATCH(G$4,CodesIndex!$A$3:$A$200,0)),IF(G1="Import",INDEX(CodesIndex!$D$3:$D$200,MATCH(G$4,CodesIndex!$C$3:$C$200,0)),NA()))</f>
        <v>Dairy products, manufactured</v>
      </c>
      <c r="H3" t="str">
        <f>IF(H$1="Export",INDEX(CodesIndex!$B$3:$B$200,MATCH(H$4,CodesIndex!$A$3:$A$200,0)),IF(H1="Import",INDEX(CodesIndex!$D$3:$D$200,MATCH(H$4,CodesIndex!$C$3:$C$200,0)),NA()))</f>
        <v>Flour and other grain products</v>
      </c>
      <c r="I3" t="str">
        <f>IF(I$1="Export",INDEX(CodesIndex!$B$3:$B$200,MATCH(I$4,CodesIndex!$A$3:$A$200,0)),IF(I1="Import",INDEX(CodesIndex!$D$3:$D$200,MATCH(I$4,CodesIndex!$C$3:$C$200,0)),NA()))</f>
        <v>Vegetable oil, cake, and meal</v>
      </c>
      <c r="J3" t="str">
        <f>IF(J$1="Export",INDEX(CodesIndex!$B$3:$B$200,MATCH(J$4,CodesIndex!$A$3:$A$200,0)),IF(J1="Import",INDEX(CodesIndex!$D$3:$D$200,MATCH(J$4,CodesIndex!$C$3:$C$200,0)),NA()))</f>
        <v>Crude tobacco</v>
      </c>
      <c r="K3" t="str">
        <f>IF(K$1="Export",INDEX(CodesIndex!$B$3:$B$200,MATCH(K$4,CodesIndex!$A$3:$A$200,0)),IF(K1="Import",INDEX(CodesIndex!$D$3:$D$200,MATCH(K$4,CodesIndex!$C$3:$C$200,0)),NA()))</f>
        <v>Hides, leather, and products, semimanufactured</v>
      </c>
      <c r="L3" t="str">
        <f>IF(L$1="Export",INDEX(CodesIndex!$B$3:$B$200,MATCH(L$4,CodesIndex!$A$3:$A$200,0)),IF(L1="Import",INDEX(CodesIndex!$D$3:$D$200,MATCH(L$4,CodesIndex!$C$3:$C$200,0)),NA()))</f>
        <v>Cotton textiles, crude</v>
      </c>
      <c r="M3" t="str">
        <f>IF(M$1="Export",INDEX(CodesIndex!$B$3:$B$200,MATCH(M$4,CodesIndex!$A$3:$A$200,0)),IF(M1="Import",INDEX(CodesIndex!$D$3:$D$200,MATCH(M$4,CodesIndex!$C$3:$C$200,0)),NA()))</f>
        <v>Cotton textiles, manufactured</v>
      </c>
      <c r="N3" t="str">
        <f>IF(N$1="Export",INDEX(CodesIndex!$B$3:$B$200,MATCH(N$4,CodesIndex!$A$3:$A$200,0)),IF(N1="Import",INDEX(CodesIndex!$D$3:$D$200,MATCH(N$4,CodesIndex!$C$3:$C$200,0)),NA()))</f>
        <v>Wood and related products, semimanufactured</v>
      </c>
      <c r="O3" t="str">
        <f>IF(O$1="Export",INDEX(CodesIndex!$B$3:$B$200,MATCH(O$4,CodesIndex!$A$3:$A$200,0)),IF(O1="Import",INDEX(CodesIndex!$D$3:$D$200,MATCH(O$4,CodesIndex!$C$3:$C$200,0)),NA()))</f>
        <v>Paper and related products, manufactured</v>
      </c>
      <c r="P3" t="str">
        <f>IF(P$1="Export",INDEX(CodesIndex!$B$3:$B$200,MATCH(P$4,CodesIndex!$A$3:$A$200,0)),IF(P1="Import",INDEX(CodesIndex!$D$3:$D$200,MATCH(P$4,CodesIndex!$C$3:$C$200,0)),NA()))</f>
        <v>Coal and products, crude</v>
      </c>
      <c r="Q3" t="str">
        <f>IF(Q$1="Export",INDEX(CodesIndex!$B$3:$B$200,MATCH(Q$4,CodesIndex!$A$3:$A$200,0)),IF(Q1="Import",INDEX(CodesIndex!$D$3:$D$200,MATCH(Q$4,CodesIndex!$C$3:$C$200,0)),NA()))</f>
        <v>Petroleum and products, crude</v>
      </c>
      <c r="R3" t="str">
        <f>IF(R$1="Export",INDEX(CodesIndex!$B$3:$B$200,MATCH(R$4,CodesIndex!$A$3:$A$200,0)),IF(R1="Import",INDEX(CodesIndex!$D$3:$D$200,MATCH(R$4,CodesIndex!$C$3:$C$200,0)),NA()))</f>
        <v>Petroleum and products, semimanufactured</v>
      </c>
      <c r="S3" t="str">
        <f>IF(S$1="Export",INDEX(CodesIndex!$B$3:$B$200,MATCH(S$4,CodesIndex!$A$3:$A$200,0)),IF(S1="Import",INDEX(CodesIndex!$D$3:$D$200,MATCH(S$4,CodesIndex!$C$3:$C$200,0)),NA()))</f>
        <v>Petroleum and prodcuts, manufactured</v>
      </c>
      <c r="T3" t="str">
        <f>IF(T$1="Export",INDEX(CodesIndex!$B$3:$B$200,MATCH(T$4,CodesIndex!$A$3:$A$200,0)),IF(T1="Import",INDEX(CodesIndex!$D$3:$D$200,MATCH(T$4,CodesIndex!$C$3:$C$200,0)),NA()))</f>
        <v>Nonferrous metals, semimanufactured</v>
      </c>
      <c r="U3" t="str">
        <f>IF(U$1="Export",INDEX(CodesIndex!$B$3:$B$200,MATCH(U$4,CodesIndex!$A$3:$A$200,0)),IF(U1="Import",INDEX(CodesIndex!$D$3:$D$200,MATCH(U$4,CodesIndex!$C$3:$C$200,0)),NA()))</f>
        <v>Nonferrous metals, manufactured</v>
      </c>
      <c r="V3" t="str">
        <f>IF(V$1="Export",INDEX(CodesIndex!$B$3:$B$200,MATCH(V$4,CodesIndex!$A$3:$A$200,0)),IF(V1="Import",INDEX(CodesIndex!$D$3:$D$200,MATCH(V$4,CodesIndex!$C$3:$C$200,0)),NA()))</f>
        <v>Iron and steel products, semimanufactured</v>
      </c>
      <c r="W3" t="str">
        <f>IF(W$1="Export",INDEX(CodesIndex!$B$3:$B$200,MATCH(W$4,CodesIndex!$A$3:$A$200,0)),IF(W1="Import",INDEX(CodesIndex!$D$3:$D$200,MATCH(W$4,CodesIndex!$C$3:$C$200,0)),NA()))</f>
        <v>Iron and steel products, manufactured</v>
      </c>
      <c r="X3" t="str">
        <f>IF(X$1="Export",INDEX(CodesIndex!$B$3:$B$200,MATCH(X$4,CodesIndex!$A$3:$A$200,0)),IF(X1="Import",INDEX(CodesIndex!$D$3:$D$200,MATCH(X$4,CodesIndex!$C$3:$C$200,0)),NA()))</f>
        <v>Machiery and vehicles, except automobiles</v>
      </c>
      <c r="Y3" t="str">
        <f>IF(Y$1="Export",INDEX(CodesIndex!$B$3:$B$200,MATCH(Y$4,CodesIndex!$A$3:$A$200,0)),IF(Y1="Import",INDEX(CodesIndex!$D$3:$D$200,MATCH(Y$4,CodesIndex!$C$3:$C$200,0)),NA()))</f>
        <v>Automobiles and parts</v>
      </c>
      <c r="Z3" t="str">
        <f>IF(Z$1="Export",INDEX(CodesIndex!$B$3:$B$200,MATCH(Z$4,CodesIndex!$A$3:$A$200,0)),IF(Z1="Import",INDEX(CodesIndex!$D$3:$D$200,MATCH(Z$4,CodesIndex!$C$3:$C$200,0)),NA()))</f>
        <v>Chemicals and allied products, semimanufactured</v>
      </c>
      <c r="AA3" t="str">
        <f>IF(AA$1="Export",INDEX(CodesIndex!$B$3:$B$200,MATCH(AA$4,CodesIndex!$A$3:$A$200,0)),IF(AA1="Import",INDEX(CodesIndex!$D$3:$D$200,MATCH(AA$4,CodesIndex!$C$3:$C$200,0)),NA()))</f>
        <v>Chemicals and allied products, manufactured</v>
      </c>
      <c r="AB3" t="str">
        <f>IF(AB$1="Export",INDEX(CodesIndex!$B$3:$B$200,MATCH(AB$4,CodesIndex!$A$3:$A$200,0)),IF(AB1="Import",INDEX(CodesIndex!$D$3:$D$200,MATCH(AB$4,CodesIndex!$C$3:$C$200,0)),NA()))</f>
        <v>Crude animal foods, agricultural</v>
      </c>
      <c r="AC3" t="str">
        <f>IF(AC$1="Export",INDEX(CodesIndex!$B$3:$B$200,MATCH(AC$4,CodesIndex!$A$3:$A$200,0)),IF(AC1="Import",INDEX(CodesIndex!$D$3:$D$200,MATCH(AC$4,CodesIndex!$C$3:$C$200,0)),NA()))</f>
        <v>Grains</v>
      </c>
      <c r="AD3" t="str">
        <f>IF(AD$1="Export",INDEX(CodesIndex!$B$3:$B$200,MATCH(AD$4,CodesIndex!$A$3:$A$200,0)),IF(AD1="Import",INDEX(CodesIndex!$D$3:$D$200,MATCH(AD$4,CodesIndex!$C$3:$C$200,0)),NA()))</f>
        <v>Beef</v>
      </c>
      <c r="AE3" t="str">
        <f>IF(AE$1="Export",INDEX(CodesIndex!$B$3:$B$200,MATCH(AE$4,CodesIndex!$A$3:$A$200,0)),IF(AE1="Import",INDEX(CodesIndex!$D$3:$D$200,MATCH(AE$4,CodesIndex!$C$3:$C$200,0)),NA()))</f>
        <v>Pork and related products</v>
      </c>
      <c r="AF3" t="str">
        <f>IF(AF$1="Export",INDEX(CodesIndex!$B$3:$B$200,MATCH(AF$4,CodesIndex!$A$3:$A$200,0)),IF(AF1="Import",INDEX(CodesIndex!$D$3:$D$200,MATCH(AF$4,CodesIndex!$C$3:$C$200,0)),NA()))</f>
        <v>Lard, oleo, and related products</v>
      </c>
      <c r="AG3" t="str">
        <f>IF(AG$1="Export",INDEX(CodesIndex!$B$3:$B$200,MATCH(AG$4,CodesIndex!$A$3:$A$200,0)),IF(AG1="Import",INDEX(CodesIndex!$D$3:$D$200,MATCH(AG$4,CodesIndex!$C$3:$C$200,0)),NA()))</f>
        <v>Dairy products, manufactured</v>
      </c>
      <c r="AH3" t="str">
        <f>IF(AH$1="Export",INDEX(CodesIndex!$B$3:$B$200,MATCH(AH$4,CodesIndex!$A$3:$A$200,0)),IF(AH1="Import",INDEX(CodesIndex!$D$3:$D$200,MATCH(AH$4,CodesIndex!$C$3:$C$200,0)),NA()))</f>
        <v>Flour and other grain products</v>
      </c>
      <c r="AI3" t="str">
        <f>IF(AI$1="Export",INDEX(CodesIndex!$B$3:$B$200,MATCH(AI$4,CodesIndex!$A$3:$A$200,0)),IF(AI1="Import",INDEX(CodesIndex!$D$3:$D$200,MATCH(AI$4,CodesIndex!$C$3:$C$200,0)),NA()))</f>
        <v>Vegetable oil, cake, and meal</v>
      </c>
      <c r="AJ3" t="str">
        <f>IF(AJ$1="Export",INDEX(CodesIndex!$B$3:$B$200,MATCH(AJ$4,CodesIndex!$A$3:$A$200,0)),IF(AJ1="Import",INDEX(CodesIndex!$D$3:$D$200,MATCH(AJ$4,CodesIndex!$C$3:$C$200,0)),NA()))</f>
        <v>Crude tobacco</v>
      </c>
      <c r="AK3" t="str">
        <f>IF(AK$1="Export",INDEX(CodesIndex!$B$3:$B$200,MATCH(AK$4,CodesIndex!$A$3:$A$200,0)),IF(AK1="Import",INDEX(CodesIndex!$D$3:$D$200,MATCH(AK$4,CodesIndex!$C$3:$C$200,0)),NA()))</f>
        <v>Hides, leather, and products, semimanufactured</v>
      </c>
      <c r="AL3" t="str">
        <f>IF(AL$1="Export",INDEX(CodesIndex!$B$3:$B$200,MATCH(AL$4,CodesIndex!$A$3:$A$200,0)),IF(AL1="Import",INDEX(CodesIndex!$D$3:$D$200,MATCH(AL$4,CodesIndex!$C$3:$C$200,0)),NA()))</f>
        <v>Cotton textiles, crude</v>
      </c>
      <c r="AM3" t="str">
        <f>IF(AM$1="Export",INDEX(CodesIndex!$B$3:$B$200,MATCH(AM$4,CodesIndex!$A$3:$A$200,0)),IF(AM1="Import",INDEX(CodesIndex!$D$3:$D$200,MATCH(AM$4,CodesIndex!$C$3:$C$200,0)),NA()))</f>
        <v>Cotton textiles, manufactured</v>
      </c>
      <c r="AN3" t="str">
        <f>IF(AN$1="Export",INDEX(CodesIndex!$B$3:$B$200,MATCH(AN$4,CodesIndex!$A$3:$A$200,0)),IF(AN1="Import",INDEX(CodesIndex!$D$3:$D$200,MATCH(AN$4,CodesIndex!$C$3:$C$200,0)),NA()))</f>
        <v>Wood and related products, semimanufactured</v>
      </c>
      <c r="AO3" t="str">
        <f>IF(AO$1="Export",INDEX(CodesIndex!$B$3:$B$200,MATCH(AO$4,CodesIndex!$A$3:$A$200,0)),IF(AO1="Import",INDEX(CodesIndex!$D$3:$D$200,MATCH(AO$4,CodesIndex!$C$3:$C$200,0)),NA()))</f>
        <v>Paper and related products, manufactured</v>
      </c>
      <c r="AP3" t="str">
        <f>IF(AP$1="Export",INDEX(CodesIndex!$B$3:$B$200,MATCH(AP$4,CodesIndex!$A$3:$A$200,0)),IF(AP1="Import",INDEX(CodesIndex!$D$3:$D$200,MATCH(AP$4,CodesIndex!$C$3:$C$200,0)),NA()))</f>
        <v>Coal and products, crude</v>
      </c>
      <c r="AQ3" t="str">
        <f>IF(AQ$1="Export",INDEX(CodesIndex!$B$3:$B$200,MATCH(AQ$4,CodesIndex!$A$3:$A$200,0)),IF(AQ1="Import",INDEX(CodesIndex!$D$3:$D$200,MATCH(AQ$4,CodesIndex!$C$3:$C$200,0)),NA()))</f>
        <v>Petroleum and products, crude</v>
      </c>
      <c r="AR3" t="str">
        <f>IF(AR$1="Export",INDEX(CodesIndex!$B$3:$B$200,MATCH(AR$4,CodesIndex!$A$3:$A$200,0)),IF(AR1="Import",INDEX(CodesIndex!$D$3:$D$200,MATCH(AR$4,CodesIndex!$C$3:$C$200,0)),NA()))</f>
        <v>Petroleum and products, semimanufactured</v>
      </c>
      <c r="AS3" t="str">
        <f>IF(AS$1="Export",INDEX(CodesIndex!$B$3:$B$200,MATCH(AS$4,CodesIndex!$A$3:$A$200,0)),IF(AS1="Import",INDEX(CodesIndex!$D$3:$D$200,MATCH(AS$4,CodesIndex!$C$3:$C$200,0)),NA()))</f>
        <v>Petroleum and prodcuts, manufactured</v>
      </c>
      <c r="AT3" t="str">
        <f>IF(AT$1="Export",INDEX(CodesIndex!$B$3:$B$200,MATCH(AT$4,CodesIndex!$A$3:$A$200,0)),IF(AT1="Import",INDEX(CodesIndex!$D$3:$D$200,MATCH(AT$4,CodesIndex!$C$3:$C$200,0)),NA()))</f>
        <v>Nonferrous metals, semimanufactured</v>
      </c>
      <c r="AU3" t="str">
        <f>IF(AU$1="Export",INDEX(CodesIndex!$B$3:$B$200,MATCH(AU$4,CodesIndex!$A$3:$A$200,0)),IF(AU1="Import",INDEX(CodesIndex!$D$3:$D$200,MATCH(AU$4,CodesIndex!$C$3:$C$200,0)),NA()))</f>
        <v>Nonferrous metals, manufactured</v>
      </c>
      <c r="AV3" t="str">
        <f>IF(AV$1="Export",INDEX(CodesIndex!$B$3:$B$200,MATCH(AV$4,CodesIndex!$A$3:$A$200,0)),IF(AV1="Import",INDEX(CodesIndex!$D$3:$D$200,MATCH(AV$4,CodesIndex!$C$3:$C$200,0)),NA()))</f>
        <v>Iron and steel products, semimanufactured</v>
      </c>
      <c r="AW3" t="str">
        <f>IF(AW$1="Export",INDEX(CodesIndex!$B$3:$B$200,MATCH(AW$4,CodesIndex!$A$3:$A$200,0)),IF(AW1="Import",INDEX(CodesIndex!$D$3:$D$200,MATCH(AW$4,CodesIndex!$C$3:$C$200,0)),NA()))</f>
        <v>Iron and steel products, manufactured</v>
      </c>
      <c r="AX3" t="str">
        <f>IF(AX$1="Export",INDEX(CodesIndex!$B$3:$B$200,MATCH(AX$4,CodesIndex!$A$3:$A$200,0)),IF(AX1="Import",INDEX(CodesIndex!$D$3:$D$200,MATCH(AX$4,CodesIndex!$C$3:$C$200,0)),NA()))</f>
        <v>Machiery and vehicles, except automobiles</v>
      </c>
      <c r="AY3" t="str">
        <f>IF(AY$1="Export",INDEX(CodesIndex!$B$3:$B$200,MATCH(AY$4,CodesIndex!$A$3:$A$200,0)),IF(AY1="Import",INDEX(CodesIndex!$D$3:$D$200,MATCH(AY$4,CodesIndex!$C$3:$C$200,0)),NA()))</f>
        <v>Automobiles and parts</v>
      </c>
      <c r="AZ3" t="str">
        <f>IF(AZ$1="Export",INDEX(CodesIndex!$B$3:$B$200,MATCH(AZ$4,CodesIndex!$A$3:$A$200,0)),IF(AZ1="Import",INDEX(CodesIndex!$D$3:$D$200,MATCH(AZ$4,CodesIndex!$C$3:$C$200,0)),NA()))</f>
        <v>Chemicals and allied products, semimanufactured</v>
      </c>
      <c r="BA3" t="str">
        <f>IF(BA$1="Export",INDEX(CodesIndex!$B$3:$B$200,MATCH(BA$4,CodesIndex!$A$3:$A$200,0)),IF(BA1="Import",INDEX(CodesIndex!$D$3:$D$200,MATCH(BA$4,CodesIndex!$C$3:$C$200,0)),NA()))</f>
        <v>Chemicals and allied products, manufactured</v>
      </c>
      <c r="BB3" t="str">
        <f>IF(BB$1="Export",INDEX(CodesIndex!$B$3:$B$200,MATCH(BB$4,CodesIndex!$A$3:$A$200,0)),IF(BB1="Import",INDEX(CodesIndex!$D$3:$D$200,MATCH(BB$4,CodesIndex!$C$3:$C$200,0)),NA()))</f>
        <v>Fruits and nuts, crude, except bananas</v>
      </c>
      <c r="BC3" t="str">
        <f>IF(BC$1="Export",INDEX(CodesIndex!$B$3:$B$200,MATCH(BC$4,CodesIndex!$A$3:$A$200,0)),IF(BC1="Import",INDEX(CodesIndex!$D$3:$D$200,MATCH(BC$4,CodesIndex!$C$3:$C$200,0)),NA()))</f>
        <v>Tea</v>
      </c>
      <c r="BD3" t="str">
        <f>IF(BD$1="Export",INDEX(CodesIndex!$B$3:$B$200,MATCH(BD$4,CodesIndex!$A$3:$A$200,0)),IF(BD1="Import",INDEX(CodesIndex!$D$3:$D$200,MATCH(BD$4,CodesIndex!$C$3:$C$200,0)),NA()))</f>
        <v>Coffee</v>
      </c>
      <c r="BE3" t="str">
        <f>IF(BE$1="Export",INDEX(CodesIndex!$B$3:$B$200,MATCH(BE$4,CodesIndex!$A$3:$A$200,0)),IF(BE1="Import",INDEX(CodesIndex!$D$3:$D$200,MATCH(BE$4,CodesIndex!$C$3:$C$200,0)),NA()))</f>
        <v>Cocoa or cacao beans</v>
      </c>
      <c r="BF3" t="str">
        <f>IF(BF$1="Export",INDEX(CodesIndex!$B$3:$B$200,MATCH(BF$4,CodesIndex!$A$3:$A$200,0)),IF(BF1="Import",INDEX(CodesIndex!$D$3:$D$200,MATCH(BF$4,CodesIndex!$C$3:$C$200,0)),NA()))</f>
        <v>Bananas</v>
      </c>
      <c r="BG3" t="str">
        <f>IF(BG$1="Export",INDEX(CodesIndex!$B$3:$B$200,MATCH(BG$4,CodesIndex!$A$3:$A$200,0)),IF(BG1="Import",INDEX(CodesIndex!$D$3:$D$200,MATCH(BG$4,CodesIndex!$C$3:$C$200,0)),NA()))</f>
        <v>Sugar, except refined, and related products</v>
      </c>
      <c r="BH3" t="str">
        <f>IF(BH$1="Export",INDEX(CodesIndex!$B$3:$B$200,MATCH(BH$4,CodesIndex!$A$3:$A$200,0)),IF(BH1="Import",INDEX(CodesIndex!$D$3:$D$200,MATCH(BH$4,CodesIndex!$C$3:$C$200,0)),NA()))</f>
        <v>Tobacco, crude</v>
      </c>
      <c r="BI3" t="str">
        <f>IF(BI$1="Export",INDEX(CodesIndex!$B$3:$B$200,MATCH(BI$4,CodesIndex!$A$3:$A$200,0)),IF(BI1="Import",INDEX(CodesIndex!$D$3:$D$200,MATCH(BI$4,CodesIndex!$C$3:$C$200,0)),NA()))</f>
        <v>Hides, leather and products, crude</v>
      </c>
      <c r="BJ3" t="str">
        <f>IF(BJ$1="Export",INDEX(CodesIndex!$B$3:$B$200,MATCH(BJ$4,CodesIndex!$A$3:$A$200,0)),IF(BJ1="Import",INDEX(CodesIndex!$D$3:$D$200,MATCH(BJ$4,CodesIndex!$C$3:$C$200,0)),NA()))</f>
        <v>Rubber and related gums, crude</v>
      </c>
      <c r="BK3" t="str">
        <f>IF(BK$1="Export",INDEX(CodesIndex!$B$3:$B$200,MATCH(BK$4,CodesIndex!$A$3:$A$200,0)),IF(BK1="Import",INDEX(CodesIndex!$D$3:$D$200,MATCH(BK$4,CodesIndex!$C$3:$C$200,0)),NA()))</f>
        <v>Cotton textiles, manufactured</v>
      </c>
      <c r="BL3" t="str">
        <f>IF(BL$1="Export",INDEX(CodesIndex!$B$3:$B$200,MATCH(BL$4,CodesIndex!$A$3:$A$200,0)),IF(BL1="Import",INDEX(CodesIndex!$D$3:$D$200,MATCH(BL$4,CodesIndex!$C$3:$C$200,0)),NA()))</f>
        <v>Jute textiles, semimanufactured</v>
      </c>
      <c r="BM3" t="str">
        <f>IF(BM$1="Export",INDEX(CodesIndex!$B$3:$B$200,MATCH(BM$4,CodesIndex!$A$3:$A$200,0)),IF(BM1="Import",INDEX(CodesIndex!$D$3:$D$200,MATCH(BM$4,CodesIndex!$C$3:$C$200,0)),NA()))</f>
        <v>Other vegetable fibers, crude</v>
      </c>
      <c r="BN3" t="str">
        <f>IF(BN$1="Export",INDEX(CodesIndex!$B$3:$B$200,MATCH(BN$4,CodesIndex!$A$3:$A$200,0)),IF(BN1="Import",INDEX(CodesIndex!$D$3:$D$200,MATCH(BN$4,CodesIndex!$C$3:$C$200,0)),NA()))</f>
        <v>Other vegetable textiles, manufactured</v>
      </c>
      <c r="BO3" t="str">
        <f>IF(BO$1="Export",INDEX(CodesIndex!$B$3:$B$200,MATCH(BO$4,CodesIndex!$A$3:$A$200,0)),IF(BO1="Import",INDEX(CodesIndex!$D$3:$D$200,MATCH(BO$4,CodesIndex!$C$3:$C$200,0)),NA()))</f>
        <v>Wool textiles, crude</v>
      </c>
      <c r="BP3" t="str">
        <f>IF(BP$1="Export",INDEX(CodesIndex!$B$3:$B$200,MATCH(BP$4,CodesIndex!$A$3:$A$200,0)),IF(BP1="Import",INDEX(CodesIndex!$D$3:$D$200,MATCH(BP$4,CodesIndex!$C$3:$C$200,0)),NA()))</f>
        <v>Wool textiles, manufactured</v>
      </c>
      <c r="BQ3" t="str">
        <f>IF(BQ$1="Export",INDEX(CodesIndex!$B$3:$B$200,MATCH(BQ$4,CodesIndex!$A$3:$A$200,0)),IF(BQ1="Import",INDEX(CodesIndex!$D$3:$D$200,MATCH(BQ$4,CodesIndex!$C$3:$C$200,0)),NA()))</f>
        <v>Silk textiles, crude</v>
      </c>
      <c r="BR3" t="str">
        <f>IF(BR$1="Export",INDEX(CodesIndex!$B$3:$B$200,MATCH(BR$4,CodesIndex!$A$3:$A$200,0)),IF(BR1="Import",INDEX(CodesIndex!$D$3:$D$200,MATCH(BR$4,CodesIndex!$C$3:$C$200,0)),NA()))</f>
        <v>Silk textiles, manufactured</v>
      </c>
      <c r="BS3" t="str">
        <f>IF(BS$1="Export",INDEX(CodesIndex!$B$3:$B$200,MATCH(BS$4,CodesIndex!$A$3:$A$200,0)),IF(BS1="Import",INDEX(CodesIndex!$D$3:$D$200,MATCH(BS$4,CodesIndex!$C$3:$C$200,0)),NA()))</f>
        <v>Wood and products, crude</v>
      </c>
      <c r="BT3" t="str">
        <f>IF(BT$1="Export",INDEX(CodesIndex!$B$3:$B$200,MATCH(BT$4,CodesIndex!$A$3:$A$200,0)),IF(BT1="Import",INDEX(CodesIndex!$D$3:$D$200,MATCH(BT$4,CodesIndex!$C$3:$C$200,0)),NA()))</f>
        <v>Wood and products, exc. paper, semimanufactured</v>
      </c>
      <c r="BU3" t="str">
        <f>IF(BU$1="Export",INDEX(CodesIndex!$B$3:$B$200,MATCH(BU$4,CodesIndex!$A$3:$A$200,0)),IF(BU1="Import",INDEX(CodesIndex!$D$3:$D$200,MATCH(BU$4,CodesIndex!$C$3:$C$200,0)),NA()))</f>
        <v>Paper and related products, semimanufactured</v>
      </c>
      <c r="BV3" t="str">
        <f>IF(BV$1="Export",INDEX(CodesIndex!$B$3:$B$200,MATCH(BV$4,CodesIndex!$A$3:$A$200,0)),IF(BV1="Import",INDEX(CodesIndex!$D$3:$D$200,MATCH(BV$4,CodesIndex!$C$3:$C$200,0)),NA()))</f>
        <v>Paper and products, manufactured</v>
      </c>
      <c r="BW3" t="str">
        <f>IF(BW$1="Export",INDEX(CodesIndex!$B$3:$B$200,MATCH(BW$4,CodesIndex!$A$3:$A$200,0)),IF(BW1="Import",INDEX(CodesIndex!$D$3:$D$200,MATCH(BW$4,CodesIndex!$C$3:$C$200,0)),NA()))</f>
        <v>Petroleum and related products, crude</v>
      </c>
      <c r="BX3" t="str">
        <f>IF(BX$1="Export",INDEX(CodesIndex!$B$3:$B$200,MATCH(BX$4,CodesIndex!$A$3:$A$200,0)),IF(BX1="Import",INDEX(CodesIndex!$D$3:$D$200,MATCH(BX$4,CodesIndex!$C$3:$C$200,0)),NA()))</f>
        <v>Precious stones, crude</v>
      </c>
      <c r="BY3" t="str">
        <f>IF(BY$1="Export",INDEX(CodesIndex!$B$3:$B$200,MATCH(BY$4,CodesIndex!$A$3:$A$200,0)),IF(BY1="Import",INDEX(CodesIndex!$D$3:$D$200,MATCH(BY$4,CodesIndex!$C$3:$C$200,0)),NA()))</f>
        <v>Precious stones, semimanufactured</v>
      </c>
      <c r="BZ3" t="str">
        <f>IF(BZ$1="Export",INDEX(CodesIndex!$B$3:$B$200,MATCH(BZ$4,CodesIndex!$A$3:$A$200,0)),IF(BZ1="Import",INDEX(CodesIndex!$D$3:$D$200,MATCH(BZ$4,CodesIndex!$C$3:$C$200,0)),NA()))</f>
        <v>Other nonmetallic minterals, manufactured</v>
      </c>
      <c r="CA3" t="str">
        <f>IF(CA$1="Export",INDEX(CodesIndex!$B$3:$B$200,MATCH(CA$4,CodesIndex!$A$3:$A$200,0)),IF(CA1="Import",INDEX(CodesIndex!$D$3:$D$200,MATCH(CA$4,CodesIndex!$C$3:$C$200,0)),NA()))</f>
        <v>Nonferrous metals, crude</v>
      </c>
      <c r="CB3" t="str">
        <f>IF(CB$1="Export",INDEX(CodesIndex!$B$3:$B$200,MATCH(CB$4,CodesIndex!$A$3:$A$200,0)),IF(CB1="Import",INDEX(CodesIndex!$D$3:$D$200,MATCH(CB$4,CodesIndex!$C$3:$C$200,0)),NA()))</f>
        <v>Nonferrous metals, semimanufactured</v>
      </c>
      <c r="CC3" t="str">
        <f>IF(CC$1="Export",INDEX(CodesIndex!$B$3:$B$200,MATCH(CC$4,CodesIndex!$A$3:$A$200,0)),IF(CC1="Import",INDEX(CodesIndex!$D$3:$D$200,MATCH(CC$4,CodesIndex!$C$3:$C$200,0)),NA()))</f>
        <v>Iron and steel products, semimanufactured</v>
      </c>
      <c r="CD3" t="str">
        <f>IF(CD$1="Export",INDEX(CodesIndex!$B$3:$B$200,MATCH(CD$4,CodesIndex!$A$3:$A$200,0)),IF(CD1="Import",INDEX(CodesIndex!$D$3:$D$200,MATCH(CD$4,CodesIndex!$C$3:$C$200,0)),NA()))</f>
        <v>Iron and steel products, manufactured</v>
      </c>
      <c r="CE3" t="str">
        <f>IF(CE$1="Export",INDEX(CodesIndex!$B$3:$B$200,MATCH(CE$4,CodesIndex!$A$3:$A$200,0)),IF(CE1="Import",INDEX(CodesIndex!$D$3:$D$200,MATCH(CE$4,CodesIndex!$C$3:$C$200,0)),NA()))</f>
        <v>Chemicals, semimanufactured</v>
      </c>
      <c r="CF3" t="str">
        <f>IF(CF$1="Export",INDEX(CodesIndex!$B$3:$B$200,MATCH(CF$4,CodesIndex!$A$3:$A$200,0)),IF(CF1="Import",INDEX(CodesIndex!$D$3:$D$200,MATCH(CF$4,CodesIndex!$C$3:$C$200,0)),NA()))</f>
        <v>Fruits and nuts, crude, except bananas</v>
      </c>
      <c r="CG3" t="str">
        <f>IF(CG$1="Export",INDEX(CodesIndex!$B$3:$B$200,MATCH(CG$4,CodesIndex!$A$3:$A$200,0)),IF(CG1="Import",INDEX(CodesIndex!$D$3:$D$200,MATCH(CG$4,CodesIndex!$C$3:$C$200,0)),NA()))</f>
        <v>Tea</v>
      </c>
      <c r="CH3" t="str">
        <f>IF(CH$1="Export",INDEX(CodesIndex!$B$3:$B$200,MATCH(CH$4,CodesIndex!$A$3:$A$200,0)),IF(CH1="Import",INDEX(CodesIndex!$D$3:$D$200,MATCH(CH$4,CodesIndex!$C$3:$C$200,0)),NA()))</f>
        <v>Coffee</v>
      </c>
      <c r="CI3" t="str">
        <f>IF(CI$1="Export",INDEX(CodesIndex!$B$3:$B$200,MATCH(CI$4,CodesIndex!$A$3:$A$200,0)),IF(CI1="Import",INDEX(CodesIndex!$D$3:$D$200,MATCH(CI$4,CodesIndex!$C$3:$C$200,0)),NA()))</f>
        <v>Cocoa or cacao beans</v>
      </c>
      <c r="CJ3" t="str">
        <f>IF(CJ$1="Export",INDEX(CodesIndex!$B$3:$B$200,MATCH(CJ$4,CodesIndex!$A$3:$A$200,0)),IF(CJ1="Import",INDEX(CodesIndex!$D$3:$D$200,MATCH(CJ$4,CodesIndex!$C$3:$C$200,0)),NA()))</f>
        <v>Bananas</v>
      </c>
      <c r="CK3" t="str">
        <f>IF(CK$1="Export",INDEX(CodesIndex!$B$3:$B$200,MATCH(CK$4,CodesIndex!$A$3:$A$200,0)),IF(CK1="Import",INDEX(CodesIndex!$D$3:$D$200,MATCH(CK$4,CodesIndex!$C$3:$C$200,0)),NA()))</f>
        <v>Sugar, except refined, and related products</v>
      </c>
      <c r="CL3" t="str">
        <f>IF(CL$1="Export",INDEX(CodesIndex!$B$3:$B$200,MATCH(CL$4,CodesIndex!$A$3:$A$200,0)),IF(CL1="Import",INDEX(CodesIndex!$D$3:$D$200,MATCH(CL$4,CodesIndex!$C$3:$C$200,0)),NA()))</f>
        <v>Tobacco, crude</v>
      </c>
      <c r="CM3" t="str">
        <f>IF(CM$1="Export",INDEX(CodesIndex!$B$3:$B$200,MATCH(CM$4,CodesIndex!$A$3:$A$200,0)),IF(CM1="Import",INDEX(CodesIndex!$D$3:$D$200,MATCH(CM$4,CodesIndex!$C$3:$C$200,0)),NA()))</f>
        <v>Hides, leather and products, crude</v>
      </c>
      <c r="CN3" t="str">
        <f>IF(CN$1="Export",INDEX(CodesIndex!$B$3:$B$200,MATCH(CN$4,CodesIndex!$A$3:$A$200,0)),IF(CN1="Import",INDEX(CodesIndex!$D$3:$D$200,MATCH(CN$4,CodesIndex!$C$3:$C$200,0)),NA()))</f>
        <v>Rubber and related gums, crude</v>
      </c>
      <c r="CO3" t="str">
        <f>IF(CO$1="Export",INDEX(CodesIndex!$B$3:$B$200,MATCH(CO$4,CodesIndex!$A$3:$A$200,0)),IF(CO1="Import",INDEX(CodesIndex!$D$3:$D$200,MATCH(CO$4,CodesIndex!$C$3:$C$200,0)),NA()))</f>
        <v>Cotton textiles, manufactured</v>
      </c>
      <c r="CP3" t="str">
        <f>IF(CP$1="Export",INDEX(CodesIndex!$B$3:$B$200,MATCH(CP$4,CodesIndex!$A$3:$A$200,0)),IF(CP1="Import",INDEX(CodesIndex!$D$3:$D$200,MATCH(CP$4,CodesIndex!$C$3:$C$200,0)),NA()))</f>
        <v>Jute textiles, semimanufactured</v>
      </c>
      <c r="CQ3" t="str">
        <f>IF(CQ$1="Export",INDEX(CodesIndex!$B$3:$B$200,MATCH(CQ$4,CodesIndex!$A$3:$A$200,0)),IF(CQ1="Import",INDEX(CodesIndex!$D$3:$D$200,MATCH(CQ$4,CodesIndex!$C$3:$C$200,0)),NA()))</f>
        <v>Other vegetable fibers, crude</v>
      </c>
      <c r="CR3" t="str">
        <f>IF(CR$1="Export",INDEX(CodesIndex!$B$3:$B$200,MATCH(CR$4,CodesIndex!$A$3:$A$200,0)),IF(CR1="Import",INDEX(CodesIndex!$D$3:$D$200,MATCH(CR$4,CodesIndex!$C$3:$C$200,0)),NA()))</f>
        <v>Other vegetable textiles, manufactured</v>
      </c>
      <c r="CS3" t="str">
        <f>IF(CS$1="Export",INDEX(CodesIndex!$B$3:$B$200,MATCH(CS$4,CodesIndex!$A$3:$A$200,0)),IF(CS1="Import",INDEX(CodesIndex!$D$3:$D$200,MATCH(CS$4,CodesIndex!$C$3:$C$200,0)),NA()))</f>
        <v>Wool textiles, crude</v>
      </c>
      <c r="CT3" t="str">
        <f>IF(CT$1="Export",INDEX(CodesIndex!$B$3:$B$200,MATCH(CT$4,CodesIndex!$A$3:$A$200,0)),IF(CT1="Import",INDEX(CodesIndex!$D$3:$D$200,MATCH(CT$4,CodesIndex!$C$3:$C$200,0)),NA()))</f>
        <v>Wool textiles, manufactured</v>
      </c>
      <c r="CU3" t="str">
        <f>IF(CU$1="Export",INDEX(CodesIndex!$B$3:$B$200,MATCH(CU$4,CodesIndex!$A$3:$A$200,0)),IF(CU1="Import",INDEX(CodesIndex!$D$3:$D$200,MATCH(CU$4,CodesIndex!$C$3:$C$200,0)),NA()))</f>
        <v>Silk textiles, crude</v>
      </c>
      <c r="CV3" t="str">
        <f>IF(CV$1="Export",INDEX(CodesIndex!$B$3:$B$200,MATCH(CV$4,CodesIndex!$A$3:$A$200,0)),IF(CV1="Import",INDEX(CodesIndex!$D$3:$D$200,MATCH(CV$4,CodesIndex!$C$3:$C$200,0)),NA()))</f>
        <v>Silk textiles, manufactured</v>
      </c>
      <c r="CW3" t="str">
        <f>IF(CW$1="Export",INDEX(CodesIndex!$B$3:$B$200,MATCH(CW$4,CodesIndex!$A$3:$A$200,0)),IF(CW1="Import",INDEX(CodesIndex!$D$3:$D$200,MATCH(CW$4,CodesIndex!$C$3:$C$200,0)),NA()))</f>
        <v>Wood and products, crude</v>
      </c>
      <c r="CX3" t="str">
        <f>IF(CX$1="Export",INDEX(CodesIndex!$B$3:$B$200,MATCH(CX$4,CodesIndex!$A$3:$A$200,0)),IF(CX1="Import",INDEX(CodesIndex!$D$3:$D$200,MATCH(CX$4,CodesIndex!$C$3:$C$200,0)),NA()))</f>
        <v>Wood and products, exc. paper, semimanufactured</v>
      </c>
      <c r="CY3" t="str">
        <f>IF(CY$1="Export",INDEX(CodesIndex!$B$3:$B$200,MATCH(CY$4,CodesIndex!$A$3:$A$200,0)),IF(CY1="Import",INDEX(CodesIndex!$D$3:$D$200,MATCH(CY$4,CodesIndex!$C$3:$C$200,0)),NA()))</f>
        <v>Paper and related products, semimanufactured</v>
      </c>
      <c r="CZ3" t="str">
        <f>IF(CZ$1="Export",INDEX(CodesIndex!$B$3:$B$200,MATCH(CZ$4,CodesIndex!$A$3:$A$200,0)),IF(CZ1="Import",INDEX(CodesIndex!$D$3:$D$200,MATCH(CZ$4,CodesIndex!$C$3:$C$200,0)),NA()))</f>
        <v>Paper and products, manufactured</v>
      </c>
      <c r="DA3" t="str">
        <f>IF(DA$1="Export",INDEX(CodesIndex!$B$3:$B$200,MATCH(DA$4,CodesIndex!$A$3:$A$200,0)),IF(DA1="Import",INDEX(CodesIndex!$D$3:$D$200,MATCH(DA$4,CodesIndex!$C$3:$C$200,0)),NA()))</f>
        <v>Petroleum and related products, crude</v>
      </c>
      <c r="DB3" t="str">
        <f>IF(DB$1="Export",INDEX(CodesIndex!$B$3:$B$200,MATCH(DB$4,CodesIndex!$A$3:$A$200,0)),IF(DB1="Import",INDEX(CodesIndex!$D$3:$D$200,MATCH(DB$4,CodesIndex!$C$3:$C$200,0)),NA()))</f>
        <v>Precious stones, crude</v>
      </c>
      <c r="DC3" t="str">
        <f>IF(DC$1="Export",INDEX(CodesIndex!$B$3:$B$200,MATCH(DC$4,CodesIndex!$A$3:$A$200,0)),IF(DC1="Import",INDEX(CodesIndex!$D$3:$D$200,MATCH(DC$4,CodesIndex!$C$3:$C$200,0)),NA()))</f>
        <v>Precious stones, semimanufactured</v>
      </c>
      <c r="DD3" t="str">
        <f>IF(DD$1="Export",INDEX(CodesIndex!$B$3:$B$200,MATCH(DD$4,CodesIndex!$A$3:$A$200,0)),IF(DD1="Import",INDEX(CodesIndex!$D$3:$D$200,MATCH(DD$4,CodesIndex!$C$3:$C$200,0)),NA()))</f>
        <v>Other nonmetallic minterals, manufactured</v>
      </c>
      <c r="DE3" t="str">
        <f>IF(DE$1="Export",INDEX(CodesIndex!$B$3:$B$200,MATCH(DE$4,CodesIndex!$A$3:$A$200,0)),IF(DE1="Import",INDEX(CodesIndex!$D$3:$D$200,MATCH(DE$4,CodesIndex!$C$3:$C$200,0)),NA()))</f>
        <v>Nonferrous metals, crude</v>
      </c>
      <c r="DF3" t="str">
        <f>IF(DF$1="Export",INDEX(CodesIndex!$B$3:$B$200,MATCH(DF$4,CodesIndex!$A$3:$A$200,0)),IF(DF1="Import",INDEX(CodesIndex!$D$3:$D$200,MATCH(DF$4,CodesIndex!$C$3:$C$200,0)),NA()))</f>
        <v>Nonferrous metals, semimanufactured</v>
      </c>
      <c r="DG3" t="str">
        <f>IF(DG$1="Export",INDEX(CodesIndex!$B$3:$B$200,MATCH(DG$4,CodesIndex!$A$3:$A$200,0)),IF(DG1="Import",INDEX(CodesIndex!$D$3:$D$200,MATCH(DG$4,CodesIndex!$C$3:$C$200,0)),NA()))</f>
        <v>Iron and steel products, semimanufactured</v>
      </c>
      <c r="DH3" t="str">
        <f>IF(DH$1="Export",INDEX(CodesIndex!$B$3:$B$200,MATCH(DH$4,CodesIndex!$A$3:$A$200,0)),IF(DH1="Import",INDEX(CodesIndex!$D$3:$D$200,MATCH(DH$4,CodesIndex!$C$3:$C$200,0)),NA()))</f>
        <v>Iron and steel products, manufactured</v>
      </c>
      <c r="DI3" t="str">
        <f>IF(DI$1="Export",INDEX(CodesIndex!$B$3:$B$200,MATCH(DI$4,CodesIndex!$A$3:$A$200,0)),IF(DI1="Import",INDEX(CodesIndex!$D$3:$D$200,MATCH(DI$4,CodesIndex!$C$3:$C$200,0)),NA()))</f>
        <v>Chemicals, semimanufactured</v>
      </c>
      <c r="DJ3" t="str">
        <f>IF(DJ$1="Export",INDEX(CodesIndex!$B$3:$B$200,MATCH(DJ$4,CodesIndex!$A$3:$A$200,0)),IF(DJ1="Import",INDEX(CodesIndex!$D$3:$D$200,MATCH(DJ$4,CodesIndex!$C$3:$C$200,0)),NA()))</f>
        <v>Crude animal foods, agricultural</v>
      </c>
      <c r="DK3" t="str">
        <f>IF(DK$1="Export",INDEX(CodesIndex!$B$3:$B$200,MATCH(DK$4,CodesIndex!$A$3:$A$200,0)),IF(DK1="Import",INDEX(CodesIndex!$D$3:$D$200,MATCH(DK$4,CodesIndex!$C$3:$C$200,0)),NA()))</f>
        <v>Grains</v>
      </c>
      <c r="DL3" t="str">
        <f>IF(DL$1="Export",INDEX(CodesIndex!$B$3:$B$200,MATCH(DL$4,CodesIndex!$A$3:$A$200,0)),IF(DL1="Import",INDEX(CodesIndex!$D$3:$D$200,MATCH(DL$4,CodesIndex!$C$3:$C$200,0)),NA()))</f>
        <v>Beef</v>
      </c>
      <c r="DM3" t="str">
        <f>IF(DM$1="Export",INDEX(CodesIndex!$B$3:$B$200,MATCH(DM$4,CodesIndex!$A$3:$A$200,0)),IF(DM1="Import",INDEX(CodesIndex!$D$3:$D$200,MATCH(DM$4,CodesIndex!$C$3:$C$200,0)),NA()))</f>
        <v>Pork and related products</v>
      </c>
      <c r="DN3" t="str">
        <f>IF(DN$1="Export",INDEX(CodesIndex!$B$3:$B$200,MATCH(DN$4,CodesIndex!$A$3:$A$200,0)),IF(DN1="Import",INDEX(CodesIndex!$D$3:$D$200,MATCH(DN$4,CodesIndex!$C$3:$C$200,0)),NA()))</f>
        <v>Lard, oleo, and related products</v>
      </c>
      <c r="DO3" t="str">
        <f>IF(DO$1="Export",INDEX(CodesIndex!$B$3:$B$200,MATCH(DO$4,CodesIndex!$A$3:$A$200,0)),IF(DO1="Import",INDEX(CodesIndex!$D$3:$D$200,MATCH(DO$4,CodesIndex!$C$3:$C$200,0)),NA()))</f>
        <v>Dairy products, manufactured</v>
      </c>
      <c r="DP3" t="str">
        <f>IF(DP$1="Export",INDEX(CodesIndex!$B$3:$B$200,MATCH(DP$4,CodesIndex!$A$3:$A$200,0)),IF(DP1="Import",INDEX(CodesIndex!$D$3:$D$200,MATCH(DP$4,CodesIndex!$C$3:$C$200,0)),NA()))</f>
        <v>Flour and other grain products</v>
      </c>
      <c r="DQ3" t="str">
        <f>IF(DQ$1="Export",INDEX(CodesIndex!$B$3:$B$200,MATCH(DQ$4,CodesIndex!$A$3:$A$200,0)),IF(DQ1="Import",INDEX(CodesIndex!$D$3:$D$200,MATCH(DQ$4,CodesIndex!$C$3:$C$200,0)),NA()))</f>
        <v>Vegetable oil, cake, and meal</v>
      </c>
      <c r="DR3" t="str">
        <f>IF(DR$1="Export",INDEX(CodesIndex!$B$3:$B$200,MATCH(DR$4,CodesIndex!$A$3:$A$200,0)),IF(DR1="Import",INDEX(CodesIndex!$D$3:$D$200,MATCH(DR$4,CodesIndex!$C$3:$C$200,0)),NA()))</f>
        <v>Crude tobacco</v>
      </c>
      <c r="DS3" t="str">
        <f>IF(DS$1="Export",INDEX(CodesIndex!$B$3:$B$200,MATCH(DS$4,CodesIndex!$A$3:$A$200,0)),IF(DS1="Import",INDEX(CodesIndex!$D$3:$D$200,MATCH(DS$4,CodesIndex!$C$3:$C$200,0)),NA()))</f>
        <v>Hides, leather, and products, semimanufactured</v>
      </c>
      <c r="DT3" t="str">
        <f>IF(DT$1="Export",INDEX(CodesIndex!$B$3:$B$200,MATCH(DT$4,CodesIndex!$A$3:$A$200,0)),IF(DT1="Import",INDEX(CodesIndex!$D$3:$D$200,MATCH(DT$4,CodesIndex!$C$3:$C$200,0)),NA()))</f>
        <v>Cotton textiles, crude</v>
      </c>
      <c r="DU3" t="str">
        <f>IF(DU$1="Export",INDEX(CodesIndex!$B$3:$B$200,MATCH(DU$4,CodesIndex!$A$3:$A$200,0)),IF(DU1="Import",INDEX(CodesIndex!$D$3:$D$200,MATCH(DU$4,CodesIndex!$C$3:$C$200,0)),NA()))</f>
        <v>Cotton textiles, manufactured</v>
      </c>
      <c r="DV3" t="str">
        <f>IF(DV$1="Export",INDEX(CodesIndex!$B$3:$B$200,MATCH(DV$4,CodesIndex!$A$3:$A$200,0)),IF(DV1="Import",INDEX(CodesIndex!$D$3:$D$200,MATCH(DV$4,CodesIndex!$C$3:$C$200,0)),NA()))</f>
        <v>Wood and related products, semimanufactured</v>
      </c>
      <c r="DW3" t="str">
        <f>IF(DW$1="Export",INDEX(CodesIndex!$B$3:$B$200,MATCH(DW$4,CodesIndex!$A$3:$A$200,0)),IF(DW1="Import",INDEX(CodesIndex!$D$3:$D$200,MATCH(DW$4,CodesIndex!$C$3:$C$200,0)),NA()))</f>
        <v>Paper and related products, manufactured</v>
      </c>
      <c r="DX3" t="str">
        <f>IF(DX$1="Export",INDEX(CodesIndex!$B$3:$B$200,MATCH(DX$4,CodesIndex!$A$3:$A$200,0)),IF(DX1="Import",INDEX(CodesIndex!$D$3:$D$200,MATCH(DX$4,CodesIndex!$C$3:$C$200,0)),NA()))</f>
        <v>Coal and products, crude</v>
      </c>
      <c r="DY3" t="str">
        <f>IF(DY$1="Export",INDEX(CodesIndex!$B$3:$B$200,MATCH(DY$4,CodesIndex!$A$3:$A$200,0)),IF(DY1="Import",INDEX(CodesIndex!$D$3:$D$200,MATCH(DY$4,CodesIndex!$C$3:$C$200,0)),NA()))</f>
        <v>Petroleum and products, crude</v>
      </c>
      <c r="DZ3" t="str">
        <f>IF(DZ$1="Export",INDEX(CodesIndex!$B$3:$B$200,MATCH(DZ$4,CodesIndex!$A$3:$A$200,0)),IF(DZ1="Import",INDEX(CodesIndex!$D$3:$D$200,MATCH(DZ$4,CodesIndex!$C$3:$C$200,0)),NA()))</f>
        <v>Petroleum and products, semimanufactured</v>
      </c>
      <c r="EA3" t="str">
        <f>IF(EA$1="Export",INDEX(CodesIndex!$B$3:$B$200,MATCH(EA$4,CodesIndex!$A$3:$A$200,0)),IF(EA1="Import",INDEX(CodesIndex!$D$3:$D$200,MATCH(EA$4,CodesIndex!$C$3:$C$200,0)),NA()))</f>
        <v>Petroleum and prodcuts, manufactured</v>
      </c>
      <c r="EB3" t="str">
        <f>IF(EB$1="Export",INDEX(CodesIndex!$B$3:$B$200,MATCH(EB$4,CodesIndex!$A$3:$A$200,0)),IF(EB1="Import",INDEX(CodesIndex!$D$3:$D$200,MATCH(EB$4,CodesIndex!$C$3:$C$200,0)),NA()))</f>
        <v>Nonferrous metals, semimanufactured</v>
      </c>
      <c r="EC3" t="str">
        <f>IF(EC$1="Export",INDEX(CodesIndex!$B$3:$B$200,MATCH(EC$4,CodesIndex!$A$3:$A$200,0)),IF(EC1="Import",INDEX(CodesIndex!$D$3:$D$200,MATCH(EC$4,CodesIndex!$C$3:$C$200,0)),NA()))</f>
        <v>Nonferrous metals, manufactured</v>
      </c>
      <c r="ED3" t="str">
        <f>IF(ED$1="Export",INDEX(CodesIndex!$B$3:$B$200,MATCH(ED$4,CodesIndex!$A$3:$A$200,0)),IF(ED1="Import",INDEX(CodesIndex!$D$3:$D$200,MATCH(ED$4,CodesIndex!$C$3:$C$200,0)),NA()))</f>
        <v>Iron and steel products, semimanufactured</v>
      </c>
      <c r="EE3" t="str">
        <f>IF(EE$1="Export",INDEX(CodesIndex!$B$3:$B$200,MATCH(EE$4,CodesIndex!$A$3:$A$200,0)),IF(EE1="Import",INDEX(CodesIndex!$D$3:$D$200,MATCH(EE$4,CodesIndex!$C$3:$C$200,0)),NA()))</f>
        <v>Iron and steel products, manufactured</v>
      </c>
      <c r="EF3" t="str">
        <f>IF(EF$1="Export",INDEX(CodesIndex!$B$3:$B$200,MATCH(EF$4,CodesIndex!$A$3:$A$200,0)),IF(EF1="Import",INDEX(CodesIndex!$D$3:$D$200,MATCH(EF$4,CodesIndex!$C$3:$C$200,0)),NA()))</f>
        <v>Machiery and vehicles, except automobiles</v>
      </c>
      <c r="EG3" t="str">
        <f>IF(EG$1="Export",INDEX(CodesIndex!$B$3:$B$200,MATCH(EG$4,CodesIndex!$A$3:$A$200,0)),IF(EG1="Import",INDEX(CodesIndex!$D$3:$D$200,MATCH(EG$4,CodesIndex!$C$3:$C$200,0)),NA()))</f>
        <v>Automobiles and parts</v>
      </c>
      <c r="EH3" t="str">
        <f>IF(EH$1="Export",INDEX(CodesIndex!$B$3:$B$200,MATCH(EH$4,CodesIndex!$A$3:$A$200,0)),IF(EH1="Import",INDEX(CodesIndex!$D$3:$D$200,MATCH(EH$4,CodesIndex!$C$3:$C$200,0)),NA()))</f>
        <v>Chemicals and allied products, semimanufactured</v>
      </c>
      <c r="EI3" t="str">
        <f>IF(EI$1="Export",INDEX(CodesIndex!$B$3:$B$200,MATCH(EI$4,CodesIndex!$A$3:$A$200,0)),IF(EI1="Import",INDEX(CodesIndex!$D$3:$D$200,MATCH(EI$4,CodesIndex!$C$3:$C$200,0)),NA()))</f>
        <v>Chemicals and allied products, manufactured</v>
      </c>
      <c r="EJ3" t="str">
        <f>IF(EJ$1="Export",INDEX(CodesIndex!$B$3:$B$200,MATCH(EJ$4,CodesIndex!$A$3:$A$200,0)),IF(EJ1="Import",INDEX(CodesIndex!$D$3:$D$200,MATCH(EJ$4,CodesIndex!$C$3:$C$200,0)),NA()))</f>
        <v>Fruits and nuts, crude, except bananas</v>
      </c>
      <c r="EK3" t="str">
        <f>IF(EK$1="Export",INDEX(CodesIndex!$B$3:$B$200,MATCH(EK$4,CodesIndex!$A$3:$A$200,0)),IF(EK1="Import",INDEX(CodesIndex!$D$3:$D$200,MATCH(EK$4,CodesIndex!$C$3:$C$200,0)),NA()))</f>
        <v>Tea</v>
      </c>
      <c r="EL3" t="str">
        <f>IF(EL$1="Export",INDEX(CodesIndex!$B$3:$B$200,MATCH(EL$4,CodesIndex!$A$3:$A$200,0)),IF(EL1="Import",INDEX(CodesIndex!$D$3:$D$200,MATCH(EL$4,CodesIndex!$C$3:$C$200,0)),NA()))</f>
        <v>Coffee</v>
      </c>
      <c r="EM3" t="str">
        <f>IF(EM$1="Export",INDEX(CodesIndex!$B$3:$B$200,MATCH(EM$4,CodesIndex!$A$3:$A$200,0)),IF(EM1="Import",INDEX(CodesIndex!$D$3:$D$200,MATCH(EM$4,CodesIndex!$C$3:$C$200,0)),NA()))</f>
        <v>Cocoa or cacao beans</v>
      </c>
      <c r="EN3" t="str">
        <f>IF(EN$1="Export",INDEX(CodesIndex!$B$3:$B$200,MATCH(EN$4,CodesIndex!$A$3:$A$200,0)),IF(EN1="Import",INDEX(CodesIndex!$D$3:$D$200,MATCH(EN$4,CodesIndex!$C$3:$C$200,0)),NA()))</f>
        <v>Bananas</v>
      </c>
      <c r="EO3" t="str">
        <f>IF(EO$1="Export",INDEX(CodesIndex!$B$3:$B$200,MATCH(EO$4,CodesIndex!$A$3:$A$200,0)),IF(EO1="Import",INDEX(CodesIndex!$D$3:$D$200,MATCH(EO$4,CodesIndex!$C$3:$C$200,0)),NA()))</f>
        <v>Sugar, except refined, and related products</v>
      </c>
      <c r="EP3" t="str">
        <f>IF(EP$1="Export",INDEX(CodesIndex!$B$3:$B$200,MATCH(EP$4,CodesIndex!$A$3:$A$200,0)),IF(EP1="Import",INDEX(CodesIndex!$D$3:$D$200,MATCH(EP$4,CodesIndex!$C$3:$C$200,0)),NA()))</f>
        <v>Tobacco, crude</v>
      </c>
      <c r="EQ3" t="str">
        <f>IF(EQ$1="Export",INDEX(CodesIndex!$B$3:$B$200,MATCH(EQ$4,CodesIndex!$A$3:$A$200,0)),IF(EQ1="Import",INDEX(CodesIndex!$D$3:$D$200,MATCH(EQ$4,CodesIndex!$C$3:$C$200,0)),NA()))</f>
        <v>Hides, leather and products, crude</v>
      </c>
      <c r="ER3" t="str">
        <f>IF(ER$1="Export",INDEX(CodesIndex!$B$3:$B$200,MATCH(ER$4,CodesIndex!$A$3:$A$200,0)),IF(ER1="Import",INDEX(CodesIndex!$D$3:$D$200,MATCH(ER$4,CodesIndex!$C$3:$C$200,0)),NA()))</f>
        <v>Rubber and related gums, crude</v>
      </c>
      <c r="ES3" t="str">
        <f>IF(ES$1="Export",INDEX(CodesIndex!$B$3:$B$200,MATCH(ES$4,CodesIndex!$A$3:$A$200,0)),IF(ES1="Import",INDEX(CodesIndex!$D$3:$D$200,MATCH(ES$4,CodesIndex!$C$3:$C$200,0)),NA()))</f>
        <v>Cotton textiles, manufactured</v>
      </c>
      <c r="ET3" t="str">
        <f>IF(ET$1="Export",INDEX(CodesIndex!$B$3:$B$200,MATCH(ET$4,CodesIndex!$A$3:$A$200,0)),IF(ET1="Import",INDEX(CodesIndex!$D$3:$D$200,MATCH(ET$4,CodesIndex!$C$3:$C$200,0)),NA()))</f>
        <v>Jute textiles, semimanufactured</v>
      </c>
      <c r="EU3" t="str">
        <f>IF(EU$1="Export",INDEX(CodesIndex!$B$3:$B$200,MATCH(EU$4,CodesIndex!$A$3:$A$200,0)),IF(EU1="Import",INDEX(CodesIndex!$D$3:$D$200,MATCH(EU$4,CodesIndex!$C$3:$C$200,0)),NA()))</f>
        <v>Other vegetable fibers, crude</v>
      </c>
      <c r="EV3" t="str">
        <f>IF(EV$1="Export",INDEX(CodesIndex!$B$3:$B$200,MATCH(EV$4,CodesIndex!$A$3:$A$200,0)),IF(EV1="Import",INDEX(CodesIndex!$D$3:$D$200,MATCH(EV$4,CodesIndex!$C$3:$C$200,0)),NA()))</f>
        <v>Other vegetable textiles, manufactured</v>
      </c>
      <c r="EW3" t="str">
        <f>IF(EW$1="Export",INDEX(CodesIndex!$B$3:$B$200,MATCH(EW$4,CodesIndex!$A$3:$A$200,0)),IF(EW1="Import",INDEX(CodesIndex!$D$3:$D$200,MATCH(EW$4,CodesIndex!$C$3:$C$200,0)),NA()))</f>
        <v>Wool textiles, crude</v>
      </c>
      <c r="EX3" t="str">
        <f>IF(EX$1="Export",INDEX(CodesIndex!$B$3:$B$200,MATCH(EX$4,CodesIndex!$A$3:$A$200,0)),IF(EX1="Import",INDEX(CodesIndex!$D$3:$D$200,MATCH(EX$4,CodesIndex!$C$3:$C$200,0)),NA()))</f>
        <v>Wool textiles, manufactured</v>
      </c>
      <c r="EY3" t="str">
        <f>IF(EY$1="Export",INDEX(CodesIndex!$B$3:$B$200,MATCH(EY$4,CodesIndex!$A$3:$A$200,0)),IF(EY1="Import",INDEX(CodesIndex!$D$3:$D$200,MATCH(EY$4,CodesIndex!$C$3:$C$200,0)),NA()))</f>
        <v>Silk textiles, crude</v>
      </c>
      <c r="EZ3" t="str">
        <f>IF(EZ$1="Export",INDEX(CodesIndex!$B$3:$B$200,MATCH(EZ$4,CodesIndex!$A$3:$A$200,0)),IF(EZ1="Import",INDEX(CodesIndex!$D$3:$D$200,MATCH(EZ$4,CodesIndex!$C$3:$C$200,0)),NA()))</f>
        <v>Silk textiles, manufactured</v>
      </c>
      <c r="FA3" t="str">
        <f>IF(FA$1="Export",INDEX(CodesIndex!$B$3:$B$200,MATCH(FA$4,CodesIndex!$A$3:$A$200,0)),IF(FA1="Import",INDEX(CodesIndex!$D$3:$D$200,MATCH(FA$4,CodesIndex!$C$3:$C$200,0)),NA()))</f>
        <v>Wood and products, crude</v>
      </c>
      <c r="FB3" t="str">
        <f>IF(FB$1="Export",INDEX(CodesIndex!$B$3:$B$200,MATCH(FB$4,CodesIndex!$A$3:$A$200,0)),IF(FB1="Import",INDEX(CodesIndex!$D$3:$D$200,MATCH(FB$4,CodesIndex!$C$3:$C$200,0)),NA()))</f>
        <v>Wood and products, exc. paper, semimanufactured</v>
      </c>
      <c r="FC3" t="str">
        <f>IF(FC$1="Export",INDEX(CodesIndex!$B$3:$B$200,MATCH(FC$4,CodesIndex!$A$3:$A$200,0)),IF(FC1="Import",INDEX(CodesIndex!$D$3:$D$200,MATCH(FC$4,CodesIndex!$C$3:$C$200,0)),NA()))</f>
        <v>Paper and related products, semimanufactured</v>
      </c>
      <c r="FD3" t="str">
        <f>IF(FD$1="Export",INDEX(CodesIndex!$B$3:$B$200,MATCH(FD$4,CodesIndex!$A$3:$A$200,0)),IF(FD1="Import",INDEX(CodesIndex!$D$3:$D$200,MATCH(FD$4,CodesIndex!$C$3:$C$200,0)),NA()))</f>
        <v>Paper and products, manufactured</v>
      </c>
      <c r="FE3" t="str">
        <f>IF(FE$1="Export",INDEX(CodesIndex!$B$3:$B$200,MATCH(FE$4,CodesIndex!$A$3:$A$200,0)),IF(FE1="Import",INDEX(CodesIndex!$D$3:$D$200,MATCH(FE$4,CodesIndex!$C$3:$C$200,0)),NA()))</f>
        <v>Petroleum and related products, crude</v>
      </c>
      <c r="FF3" t="str">
        <f>IF(FF$1="Export",INDEX(CodesIndex!$B$3:$B$200,MATCH(FF$4,CodesIndex!$A$3:$A$200,0)),IF(FF1="Import",INDEX(CodesIndex!$D$3:$D$200,MATCH(FF$4,CodesIndex!$C$3:$C$200,0)),NA()))</f>
        <v>Precious stones, crude</v>
      </c>
      <c r="FG3" t="str">
        <f>IF(FG$1="Export",INDEX(CodesIndex!$B$3:$B$200,MATCH(FG$4,CodesIndex!$A$3:$A$200,0)),IF(FG1="Import",INDEX(CodesIndex!$D$3:$D$200,MATCH(FG$4,CodesIndex!$C$3:$C$200,0)),NA()))</f>
        <v>Precious stones, semimanufactured</v>
      </c>
      <c r="FH3" t="str">
        <f>IF(FH$1="Export",INDEX(CodesIndex!$B$3:$B$200,MATCH(FH$4,CodesIndex!$A$3:$A$200,0)),IF(FH1="Import",INDEX(CodesIndex!$D$3:$D$200,MATCH(FH$4,CodesIndex!$C$3:$C$200,0)),NA()))</f>
        <v>Other nonmetallic minterals, manufactured</v>
      </c>
      <c r="FI3" t="str">
        <f>IF(FI$1="Export",INDEX(CodesIndex!$B$3:$B$200,MATCH(FI$4,CodesIndex!$A$3:$A$200,0)),IF(FI1="Import",INDEX(CodesIndex!$D$3:$D$200,MATCH(FI$4,CodesIndex!$C$3:$C$200,0)),NA()))</f>
        <v>Nonferrous metals, crude</v>
      </c>
      <c r="FJ3" t="str">
        <f>IF(FJ$1="Export",INDEX(CodesIndex!$B$3:$B$200,MATCH(FJ$4,CodesIndex!$A$3:$A$200,0)),IF(FJ1="Import",INDEX(CodesIndex!$D$3:$D$200,MATCH(FJ$4,CodesIndex!$C$3:$C$200,0)),NA()))</f>
        <v>Nonferrous metals, semimanufactured</v>
      </c>
      <c r="FK3" t="str">
        <f>IF(FK$1="Export",INDEX(CodesIndex!$B$3:$B$200,MATCH(FK$4,CodesIndex!$A$3:$A$200,0)),IF(FK1="Import",INDEX(CodesIndex!$D$3:$D$200,MATCH(FK$4,CodesIndex!$C$3:$C$200,0)),NA()))</f>
        <v>Iron and steel products, semimanufactured</v>
      </c>
      <c r="FL3" t="str">
        <f>IF(FL$1="Export",INDEX(CodesIndex!$B$3:$B$200,MATCH(FL$4,CodesIndex!$A$3:$A$200,0)),IF(FL1="Import",INDEX(CodesIndex!$D$3:$D$200,MATCH(FL$4,CodesIndex!$C$3:$C$200,0)),NA()))</f>
        <v>Iron and steel products, manufactured</v>
      </c>
      <c r="FM3" t="str">
        <f>IF(FM$1="Export",INDEX(CodesIndex!$B$3:$B$200,MATCH(FM$4,CodesIndex!$A$3:$A$200,0)),IF(FM1="Import",INDEX(CodesIndex!$D$3:$D$200,MATCH(FM$4,CodesIndex!$C$3:$C$200,0)),NA()))</f>
        <v>Chemicals, semimanufactured</v>
      </c>
    </row>
    <row r="4" spans="1:169" x14ac:dyDescent="0.35">
      <c r="A4" t="s">
        <v>80</v>
      </c>
      <c r="B4" s="4">
        <v>1</v>
      </c>
      <c r="C4" s="4">
        <v>5</v>
      </c>
      <c r="D4" s="4">
        <v>8</v>
      </c>
      <c r="E4" s="4">
        <v>9</v>
      </c>
      <c r="F4" s="4">
        <v>11</v>
      </c>
      <c r="G4" s="4">
        <v>12</v>
      </c>
      <c r="H4" s="4">
        <v>14</v>
      </c>
      <c r="I4" s="4">
        <v>15</v>
      </c>
      <c r="J4" s="4">
        <v>25</v>
      </c>
      <c r="K4" s="4">
        <v>28</v>
      </c>
      <c r="L4" s="4">
        <v>42</v>
      </c>
      <c r="M4" s="4">
        <v>44</v>
      </c>
      <c r="N4" s="4">
        <v>52</v>
      </c>
      <c r="O4" s="4">
        <v>55</v>
      </c>
      <c r="P4" s="4">
        <v>57</v>
      </c>
      <c r="Q4" s="4">
        <v>59</v>
      </c>
      <c r="R4" s="4">
        <v>60</v>
      </c>
      <c r="S4" s="4">
        <v>61</v>
      </c>
      <c r="T4" s="4">
        <v>66</v>
      </c>
      <c r="U4" s="4">
        <v>67</v>
      </c>
      <c r="V4" s="4">
        <v>69</v>
      </c>
      <c r="W4" s="4">
        <v>70</v>
      </c>
      <c r="X4" s="4">
        <v>71</v>
      </c>
      <c r="Y4" s="4">
        <v>72</v>
      </c>
      <c r="Z4" s="4">
        <v>74</v>
      </c>
      <c r="AA4" s="4">
        <v>75</v>
      </c>
      <c r="AB4" s="4">
        <v>1</v>
      </c>
      <c r="AC4" s="4">
        <v>5</v>
      </c>
      <c r="AD4" s="4">
        <v>8</v>
      </c>
      <c r="AE4" s="4">
        <v>9</v>
      </c>
      <c r="AF4" s="4">
        <v>11</v>
      </c>
      <c r="AG4" s="4">
        <v>12</v>
      </c>
      <c r="AH4" s="4">
        <v>14</v>
      </c>
      <c r="AI4" s="4">
        <v>15</v>
      </c>
      <c r="AJ4" s="4">
        <v>25</v>
      </c>
      <c r="AK4" s="4">
        <v>28</v>
      </c>
      <c r="AL4" s="4">
        <v>42</v>
      </c>
      <c r="AM4" s="4">
        <v>44</v>
      </c>
      <c r="AN4" s="4">
        <v>52</v>
      </c>
      <c r="AO4" s="4">
        <v>55</v>
      </c>
      <c r="AP4" s="4">
        <v>57</v>
      </c>
      <c r="AQ4" s="4">
        <v>59</v>
      </c>
      <c r="AR4" s="4">
        <v>60</v>
      </c>
      <c r="AS4" s="4">
        <v>61</v>
      </c>
      <c r="AT4" s="4">
        <v>66</v>
      </c>
      <c r="AU4" s="4">
        <v>67</v>
      </c>
      <c r="AV4" s="4">
        <v>69</v>
      </c>
      <c r="AW4" s="4">
        <v>70</v>
      </c>
      <c r="AX4" s="4">
        <v>71</v>
      </c>
      <c r="AY4" s="4">
        <v>72</v>
      </c>
      <c r="AZ4" s="4">
        <v>74</v>
      </c>
      <c r="BA4" s="4">
        <v>75</v>
      </c>
      <c r="BB4" s="4">
        <v>7</v>
      </c>
      <c r="BC4" s="4">
        <v>8</v>
      </c>
      <c r="BD4" s="4">
        <v>9</v>
      </c>
      <c r="BE4" s="4">
        <v>10</v>
      </c>
      <c r="BF4" s="4">
        <v>11</v>
      </c>
      <c r="BG4" s="4">
        <v>19</v>
      </c>
      <c r="BH4" s="4">
        <v>24</v>
      </c>
      <c r="BI4" s="4">
        <v>26</v>
      </c>
      <c r="BJ4" s="4">
        <v>36</v>
      </c>
      <c r="BK4" s="4">
        <v>47</v>
      </c>
      <c r="BL4" s="4">
        <v>49</v>
      </c>
      <c r="BM4" s="4">
        <v>51</v>
      </c>
      <c r="BN4" s="4">
        <v>53</v>
      </c>
      <c r="BO4" s="4">
        <v>54</v>
      </c>
      <c r="BP4" s="4">
        <v>56</v>
      </c>
      <c r="BQ4" s="4">
        <v>57</v>
      </c>
      <c r="BR4" s="4">
        <v>59</v>
      </c>
      <c r="BS4" s="4">
        <v>62</v>
      </c>
      <c r="BT4" s="4">
        <v>63</v>
      </c>
      <c r="BU4" s="4">
        <v>65</v>
      </c>
      <c r="BV4" s="4">
        <v>66</v>
      </c>
      <c r="BW4" s="4">
        <v>69</v>
      </c>
      <c r="BX4" s="4">
        <v>72</v>
      </c>
      <c r="BY4" s="4">
        <v>73</v>
      </c>
      <c r="BZ4" s="4">
        <v>76</v>
      </c>
      <c r="CA4" s="4">
        <v>77</v>
      </c>
      <c r="CB4" s="4">
        <v>78</v>
      </c>
      <c r="CC4" s="4">
        <v>81</v>
      </c>
      <c r="CD4" s="4">
        <v>82</v>
      </c>
      <c r="CE4" s="4">
        <v>86</v>
      </c>
      <c r="CF4" s="4">
        <v>7</v>
      </c>
      <c r="CG4" s="4">
        <v>8</v>
      </c>
      <c r="CH4" s="4">
        <v>9</v>
      </c>
      <c r="CI4" s="4">
        <v>10</v>
      </c>
      <c r="CJ4" s="4">
        <v>11</v>
      </c>
      <c r="CK4" s="4">
        <v>19</v>
      </c>
      <c r="CL4" s="4">
        <v>24</v>
      </c>
      <c r="CM4" s="4">
        <v>26</v>
      </c>
      <c r="CN4" s="4">
        <v>36</v>
      </c>
      <c r="CO4" s="4">
        <v>47</v>
      </c>
      <c r="CP4" s="4">
        <v>49</v>
      </c>
      <c r="CQ4" s="4">
        <v>51</v>
      </c>
      <c r="CR4" s="4">
        <v>53</v>
      </c>
      <c r="CS4" s="4">
        <v>54</v>
      </c>
      <c r="CT4" s="4">
        <v>56</v>
      </c>
      <c r="CU4" s="4">
        <v>57</v>
      </c>
      <c r="CV4" s="4">
        <v>59</v>
      </c>
      <c r="CW4" s="4">
        <v>62</v>
      </c>
      <c r="CX4" s="4">
        <v>63</v>
      </c>
      <c r="CY4" s="4">
        <v>65</v>
      </c>
      <c r="CZ4" s="4">
        <v>66</v>
      </c>
      <c r="DA4" s="4">
        <v>69</v>
      </c>
      <c r="DB4" s="4">
        <v>72</v>
      </c>
      <c r="DC4" s="4">
        <v>73</v>
      </c>
      <c r="DD4" s="4">
        <v>76</v>
      </c>
      <c r="DE4" s="4">
        <v>77</v>
      </c>
      <c r="DF4" s="4">
        <v>78</v>
      </c>
      <c r="DG4" s="4">
        <v>81</v>
      </c>
      <c r="DH4" s="4">
        <v>82</v>
      </c>
      <c r="DI4" s="4">
        <v>86</v>
      </c>
      <c r="DJ4" s="4">
        <v>1</v>
      </c>
      <c r="DK4" s="4">
        <v>5</v>
      </c>
      <c r="DL4" s="4">
        <v>8</v>
      </c>
      <c r="DM4" s="4">
        <v>9</v>
      </c>
      <c r="DN4" s="4">
        <v>11</v>
      </c>
      <c r="DO4" s="4">
        <v>12</v>
      </c>
      <c r="DP4" s="4">
        <v>14</v>
      </c>
      <c r="DQ4" s="4">
        <v>15</v>
      </c>
      <c r="DR4" s="4">
        <v>25</v>
      </c>
      <c r="DS4" s="4">
        <v>28</v>
      </c>
      <c r="DT4" s="4">
        <v>42</v>
      </c>
      <c r="DU4" s="4">
        <v>44</v>
      </c>
      <c r="DV4" s="4">
        <v>52</v>
      </c>
      <c r="DW4" s="4">
        <v>55</v>
      </c>
      <c r="DX4" s="4">
        <v>57</v>
      </c>
      <c r="DY4" s="4">
        <v>59</v>
      </c>
      <c r="DZ4" s="4">
        <v>60</v>
      </c>
      <c r="EA4" s="4">
        <v>61</v>
      </c>
      <c r="EB4" s="4">
        <v>66</v>
      </c>
      <c r="EC4" s="4">
        <v>67</v>
      </c>
      <c r="ED4" s="4">
        <v>69</v>
      </c>
      <c r="EE4" s="4">
        <v>70</v>
      </c>
      <c r="EF4" s="4">
        <v>71</v>
      </c>
      <c r="EG4" s="4">
        <v>72</v>
      </c>
      <c r="EH4" s="4">
        <v>74</v>
      </c>
      <c r="EI4" s="4">
        <v>75</v>
      </c>
      <c r="EJ4" s="4">
        <v>7</v>
      </c>
      <c r="EK4" s="4">
        <v>8</v>
      </c>
      <c r="EL4" s="4">
        <v>9</v>
      </c>
      <c r="EM4" s="4">
        <v>10</v>
      </c>
      <c r="EN4" s="4">
        <v>11</v>
      </c>
      <c r="EO4" s="4">
        <v>19</v>
      </c>
      <c r="EP4" s="4">
        <v>24</v>
      </c>
      <c r="EQ4" s="4">
        <v>26</v>
      </c>
      <c r="ER4" s="4">
        <v>36</v>
      </c>
      <c r="ES4" s="4">
        <v>47</v>
      </c>
      <c r="ET4" s="4">
        <v>49</v>
      </c>
      <c r="EU4" s="4">
        <v>51</v>
      </c>
      <c r="EV4" s="4">
        <v>53</v>
      </c>
      <c r="EW4" s="4">
        <v>54</v>
      </c>
      <c r="EX4" s="4">
        <v>56</v>
      </c>
      <c r="EY4" s="4">
        <v>57</v>
      </c>
      <c r="EZ4" s="4">
        <v>59</v>
      </c>
      <c r="FA4" s="4">
        <v>62</v>
      </c>
      <c r="FB4" s="4">
        <v>63</v>
      </c>
      <c r="FC4" s="4">
        <v>65</v>
      </c>
      <c r="FD4" s="4">
        <v>66</v>
      </c>
      <c r="FE4" s="4">
        <v>69</v>
      </c>
      <c r="FF4" s="4">
        <v>72</v>
      </c>
      <c r="FG4" s="4">
        <v>73</v>
      </c>
      <c r="FH4" s="4">
        <v>76</v>
      </c>
      <c r="FI4" s="4">
        <v>77</v>
      </c>
      <c r="FJ4" s="4">
        <v>78</v>
      </c>
      <c r="FK4" s="4">
        <v>81</v>
      </c>
      <c r="FL4" s="4">
        <v>82</v>
      </c>
      <c r="FM4" s="4">
        <v>86</v>
      </c>
    </row>
    <row r="5" spans="1:169" x14ac:dyDescent="0.3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</row>
    <row r="6" spans="1:169" x14ac:dyDescent="0.3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</row>
    <row r="7" spans="1:169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</row>
    <row r="8" spans="1:169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</row>
    <row r="9" spans="1:169" x14ac:dyDescent="0.3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</row>
    <row r="10" spans="1:169" x14ac:dyDescent="0.35">
      <c r="A10" s="1" t="s">
        <v>79</v>
      </c>
      <c r="B10" s="4">
        <v>56.2</v>
      </c>
      <c r="C10" s="4">
        <v>105.7</v>
      </c>
      <c r="D10" s="4">
        <v>70.099999999999994</v>
      </c>
      <c r="E10" s="4">
        <v>52.1</v>
      </c>
      <c r="F10" s="4">
        <v>65.3</v>
      </c>
      <c r="G10" s="4">
        <v>54.5</v>
      </c>
      <c r="H10" s="4">
        <v>115.2</v>
      </c>
      <c r="I10" s="4">
        <v>87.1</v>
      </c>
      <c r="J10" s="4">
        <v>64.599999999999994</v>
      </c>
      <c r="K10" s="4">
        <v>85.8</v>
      </c>
      <c r="L10" s="4">
        <v>81.2</v>
      </c>
      <c r="M10" s="4">
        <v>106.7</v>
      </c>
      <c r="N10" s="4">
        <v>60.1</v>
      </c>
      <c r="O10" s="3" t="e">
        <v>#N/A</v>
      </c>
      <c r="P10" s="4">
        <v>81.099999999999994</v>
      </c>
      <c r="Q10" s="4">
        <v>124.7</v>
      </c>
      <c r="R10" s="3" t="e">
        <v>#N/A</v>
      </c>
      <c r="S10" s="4">
        <v>127.4</v>
      </c>
      <c r="T10" s="4">
        <v>79.900000000000006</v>
      </c>
      <c r="U10" s="3" t="e">
        <v>#N/A</v>
      </c>
      <c r="V10" s="4">
        <v>169</v>
      </c>
      <c r="W10" s="4">
        <v>124.2</v>
      </c>
      <c r="X10" s="4">
        <v>116.2</v>
      </c>
      <c r="Y10" s="3" t="e">
        <v>#N/A</v>
      </c>
      <c r="Z10" s="3" t="e">
        <v>#N/A</v>
      </c>
      <c r="AA10" s="3">
        <v>98.2</v>
      </c>
      <c r="AB10" s="4">
        <v>305.2</v>
      </c>
      <c r="AC10" s="4">
        <v>155.1</v>
      </c>
      <c r="AD10" s="4">
        <v>613.6</v>
      </c>
      <c r="AE10" s="4">
        <v>167.2</v>
      </c>
      <c r="AF10" s="4">
        <v>48.8</v>
      </c>
      <c r="AG10" s="4">
        <v>1237.3</v>
      </c>
      <c r="AH10" s="4">
        <v>48.5</v>
      </c>
      <c r="AI10" s="4">
        <v>21</v>
      </c>
      <c r="AJ10" s="4">
        <v>41.6</v>
      </c>
      <c r="AK10" s="4">
        <v>17.5</v>
      </c>
      <c r="AL10" s="4">
        <v>39.9</v>
      </c>
      <c r="AM10" s="4">
        <v>20.3</v>
      </c>
      <c r="AN10" s="4">
        <v>19.3</v>
      </c>
      <c r="AO10" s="3" t="e">
        <v>#N/A</v>
      </c>
      <c r="AP10" s="4">
        <v>3.6</v>
      </c>
      <c r="AQ10" s="4">
        <v>19.600000000000001</v>
      </c>
      <c r="AR10" s="3" t="e">
        <v>#N/A</v>
      </c>
      <c r="AS10" s="4">
        <v>19.600000000000001</v>
      </c>
      <c r="AT10" s="4">
        <v>3</v>
      </c>
      <c r="AU10" s="3" t="e">
        <v>#N/A</v>
      </c>
      <c r="AV10" s="4">
        <v>0.2</v>
      </c>
      <c r="AW10" s="4">
        <v>3.5</v>
      </c>
      <c r="AX10" s="4">
        <v>4.0999999999999996</v>
      </c>
      <c r="AY10" s="3" t="e">
        <v>#N/A</v>
      </c>
      <c r="AZ10" s="3" t="e">
        <v>#N/A</v>
      </c>
      <c r="BA10" s="4">
        <v>12.4</v>
      </c>
      <c r="BB10" s="4">
        <v>94</v>
      </c>
      <c r="BC10" s="4">
        <v>144.30000000000001</v>
      </c>
      <c r="BD10" s="4">
        <v>101.2</v>
      </c>
      <c r="BE10" s="4">
        <v>157.1</v>
      </c>
      <c r="BF10" s="3" t="e">
        <v>#N/A</v>
      </c>
      <c r="BG10" s="4">
        <v>184.9</v>
      </c>
      <c r="BH10" s="4">
        <v>87.8</v>
      </c>
      <c r="BI10" s="4">
        <v>95.6</v>
      </c>
      <c r="BJ10" s="4">
        <v>74.599999999999994</v>
      </c>
      <c r="BK10" s="3" t="e">
        <v>#N/A</v>
      </c>
      <c r="BL10" s="3" t="e">
        <v>#N/A</v>
      </c>
      <c r="BM10" s="4">
        <v>91.9</v>
      </c>
      <c r="BN10" s="4">
        <v>117.4</v>
      </c>
      <c r="BO10" s="4">
        <v>86</v>
      </c>
      <c r="BP10" s="4">
        <v>89.7</v>
      </c>
      <c r="BQ10" s="4">
        <v>144</v>
      </c>
      <c r="BR10" s="4">
        <v>108.3</v>
      </c>
      <c r="BS10" s="3">
        <v>121.8</v>
      </c>
      <c r="BT10" s="4">
        <v>51.5</v>
      </c>
      <c r="BU10" s="3" t="e">
        <v>#N/A</v>
      </c>
      <c r="BV10" s="3" t="e">
        <v>#N/A</v>
      </c>
      <c r="BW10" s="3" t="e">
        <v>#N/A</v>
      </c>
      <c r="BX10" s="3" t="e">
        <v>#N/A</v>
      </c>
      <c r="BY10" s="4">
        <v>63.6</v>
      </c>
      <c r="BZ10" s="4">
        <v>87.5</v>
      </c>
      <c r="CA10" s="4">
        <v>73.900000000000006</v>
      </c>
      <c r="CB10" s="4">
        <v>44.3</v>
      </c>
      <c r="CC10" s="4">
        <v>108.2</v>
      </c>
      <c r="CD10" s="3">
        <v>175</v>
      </c>
      <c r="CE10" s="3">
        <v>132.30000000000001</v>
      </c>
      <c r="CF10" s="4">
        <v>26.4</v>
      </c>
      <c r="CG10" s="4">
        <v>83.9</v>
      </c>
      <c r="CH10" s="4">
        <v>52.5</v>
      </c>
      <c r="CI10" s="4">
        <v>4.3</v>
      </c>
      <c r="CJ10" s="3" t="e">
        <v>#N/A</v>
      </c>
      <c r="CK10" s="4">
        <v>37.5</v>
      </c>
      <c r="CL10" s="4">
        <v>11.3</v>
      </c>
      <c r="CM10" s="4">
        <v>19.7</v>
      </c>
      <c r="CN10" s="4">
        <v>1.4</v>
      </c>
      <c r="CO10" s="3" t="e">
        <v>#N/A</v>
      </c>
      <c r="CP10" s="3" t="e">
        <v>#N/A</v>
      </c>
      <c r="CQ10" s="4">
        <v>18.5</v>
      </c>
      <c r="CR10" s="4">
        <v>31.8</v>
      </c>
      <c r="CS10" s="4">
        <v>43.6</v>
      </c>
      <c r="CT10" s="4">
        <v>167.8</v>
      </c>
      <c r="CU10" s="4">
        <v>8.6</v>
      </c>
      <c r="CV10" s="4">
        <v>76.5</v>
      </c>
      <c r="CW10" s="4">
        <v>19.7</v>
      </c>
      <c r="CX10" s="4">
        <v>40.6</v>
      </c>
      <c r="CY10" s="3" t="e">
        <v>#N/A</v>
      </c>
      <c r="CZ10" s="3" t="e">
        <v>#N/A</v>
      </c>
      <c r="DA10" s="3" t="e">
        <v>#N/A</v>
      </c>
      <c r="DB10" s="3" t="e">
        <v>#N/A</v>
      </c>
      <c r="DC10" s="4">
        <v>16.8</v>
      </c>
      <c r="DD10" s="4">
        <v>66.400000000000006</v>
      </c>
      <c r="DE10" s="4">
        <v>4.5</v>
      </c>
      <c r="DF10" s="4">
        <v>9.5</v>
      </c>
      <c r="DG10" s="4">
        <v>166.3</v>
      </c>
      <c r="DH10" s="4">
        <v>27.1</v>
      </c>
      <c r="DI10" s="4">
        <v>19.2</v>
      </c>
      <c r="DJ10" s="4">
        <v>10.1</v>
      </c>
      <c r="DK10" s="4">
        <v>217.5</v>
      </c>
      <c r="DL10" s="4">
        <v>16.600000000000001</v>
      </c>
      <c r="DM10" s="4">
        <v>53.8</v>
      </c>
      <c r="DN10" s="4">
        <v>25.6</v>
      </c>
      <c r="DO10" s="4">
        <v>17.8</v>
      </c>
      <c r="DP10" s="4">
        <v>37.700000000000003</v>
      </c>
      <c r="DQ10" s="4">
        <v>8.1999999999999993</v>
      </c>
      <c r="DR10" s="4">
        <v>14.2</v>
      </c>
      <c r="DS10" s="4">
        <v>5.8</v>
      </c>
      <c r="DT10" s="4">
        <v>186.5</v>
      </c>
      <c r="DU10" s="4">
        <v>11</v>
      </c>
      <c r="DV10" s="4">
        <v>10.6</v>
      </c>
      <c r="DW10" s="4">
        <v>1.2</v>
      </c>
      <c r="DX10" s="4">
        <v>2</v>
      </c>
      <c r="DY10" s="4">
        <v>2.1</v>
      </c>
      <c r="DZ10" s="3">
        <v>0</v>
      </c>
      <c r="EA10" s="4">
        <v>35.200000000000003</v>
      </c>
      <c r="EB10" s="4">
        <v>3.7</v>
      </c>
      <c r="EC10" s="4">
        <v>0.7</v>
      </c>
      <c r="ED10" s="4">
        <v>0.1</v>
      </c>
      <c r="EE10" s="4">
        <v>5.9</v>
      </c>
      <c r="EF10" s="4">
        <v>10</v>
      </c>
      <c r="EG10" s="3" t="e">
        <v>#N/A</v>
      </c>
      <c r="EH10" s="4">
        <v>3.4</v>
      </c>
      <c r="EI10" s="4">
        <v>1.6</v>
      </c>
      <c r="EJ10" s="4">
        <v>11.7</v>
      </c>
      <c r="EK10" s="4">
        <v>19.899999999999999</v>
      </c>
      <c r="EL10" s="4">
        <v>55.6</v>
      </c>
      <c r="EM10" s="4">
        <v>1.3</v>
      </c>
      <c r="EN10" s="3" t="e">
        <v>#N/A</v>
      </c>
      <c r="EO10" s="4">
        <v>68.400000000000006</v>
      </c>
      <c r="EP10" s="4">
        <v>3.6</v>
      </c>
      <c r="EQ10" s="4">
        <v>20</v>
      </c>
      <c r="ER10" s="3">
        <v>8.1999999999999993</v>
      </c>
      <c r="ES10" s="4">
        <v>22.9</v>
      </c>
      <c r="ET10" s="3" t="e">
        <v>#N/A</v>
      </c>
      <c r="EU10" s="3">
        <v>7.6</v>
      </c>
      <c r="EV10" s="3">
        <v>19.3</v>
      </c>
      <c r="EW10" s="3">
        <v>10.8</v>
      </c>
      <c r="EX10" s="3">
        <v>27.1</v>
      </c>
      <c r="EY10" s="3">
        <v>11.1</v>
      </c>
      <c r="EZ10" s="3">
        <v>27</v>
      </c>
      <c r="FA10" s="3">
        <v>6.2</v>
      </c>
      <c r="FB10" s="3">
        <v>4.5999999999999996</v>
      </c>
      <c r="FC10" s="3" t="e">
        <v>#N/A</v>
      </c>
      <c r="FD10" s="3">
        <v>3.4</v>
      </c>
      <c r="FE10" s="3" t="e">
        <v>#N/A</v>
      </c>
      <c r="FF10" s="3" t="e">
        <v>#N/A</v>
      </c>
      <c r="FG10" s="3">
        <v>5</v>
      </c>
      <c r="FH10" s="3">
        <v>10.3</v>
      </c>
      <c r="FI10" s="3">
        <v>0.1</v>
      </c>
      <c r="FJ10" s="3">
        <v>5.2</v>
      </c>
      <c r="FK10" s="3">
        <v>26.2</v>
      </c>
      <c r="FL10" s="3">
        <v>6.4</v>
      </c>
      <c r="FM10" s="3">
        <v>24.8</v>
      </c>
    </row>
    <row r="11" spans="1:169" x14ac:dyDescent="0.35">
      <c r="A11" s="2">
        <v>1880</v>
      </c>
      <c r="B11" s="4">
        <v>53.8</v>
      </c>
      <c r="C11" s="4">
        <v>111.4</v>
      </c>
      <c r="D11" s="4">
        <v>69.099999999999994</v>
      </c>
      <c r="E11" s="4">
        <v>60.1</v>
      </c>
      <c r="F11" s="3">
        <v>77.8</v>
      </c>
      <c r="G11" s="4">
        <v>74.599999999999994</v>
      </c>
      <c r="H11" s="4">
        <v>122.3</v>
      </c>
      <c r="I11" s="4">
        <v>94.5</v>
      </c>
      <c r="J11" s="4">
        <v>69.099999999999994</v>
      </c>
      <c r="K11" s="3">
        <v>93.6</v>
      </c>
      <c r="L11" s="4">
        <v>91</v>
      </c>
      <c r="M11" s="4">
        <v>122.1</v>
      </c>
      <c r="N11" s="4">
        <v>65.7</v>
      </c>
      <c r="O11" s="3" t="e">
        <v>#N/A</v>
      </c>
      <c r="P11" s="4">
        <v>106.9</v>
      </c>
      <c r="Q11" s="4">
        <v>130.19999999999999</v>
      </c>
      <c r="R11" s="3" t="e">
        <v>#N/A</v>
      </c>
      <c r="S11" s="4">
        <v>143.5</v>
      </c>
      <c r="T11" s="4">
        <v>80.099999999999994</v>
      </c>
      <c r="U11" s="3" t="e">
        <v>#N/A</v>
      </c>
      <c r="V11" s="4">
        <v>232.5</v>
      </c>
      <c r="W11" s="3">
        <v>138.69999999999999</v>
      </c>
      <c r="X11" s="3">
        <v>123.4</v>
      </c>
      <c r="Y11" s="3" t="e">
        <v>#N/A</v>
      </c>
      <c r="Z11" s="3" t="e">
        <v>#N/A</v>
      </c>
      <c r="AA11" s="4">
        <v>105.1</v>
      </c>
      <c r="AB11" s="4">
        <v>579.20000000000005</v>
      </c>
      <c r="AC11" s="4">
        <v>160.30000000000001</v>
      </c>
      <c r="AD11" s="4">
        <v>696.2</v>
      </c>
      <c r="AE11" s="4">
        <v>182.3</v>
      </c>
      <c r="AF11" s="4">
        <v>59.3</v>
      </c>
      <c r="AG11" s="4">
        <v>1180.7</v>
      </c>
      <c r="AH11" s="4">
        <v>52.9</v>
      </c>
      <c r="AI11" s="4">
        <v>23.2</v>
      </c>
      <c r="AJ11" s="4">
        <v>49.5</v>
      </c>
      <c r="AK11" s="4">
        <v>19.7</v>
      </c>
      <c r="AL11" s="4">
        <v>45.7</v>
      </c>
      <c r="AM11" s="3">
        <v>18.3</v>
      </c>
      <c r="AN11" s="4">
        <v>19.899999999999999</v>
      </c>
      <c r="AO11" s="3" t="e">
        <v>#N/A</v>
      </c>
      <c r="AP11" s="4">
        <v>3.5</v>
      </c>
      <c r="AQ11" s="4">
        <v>24.3</v>
      </c>
      <c r="AR11" s="3" t="e">
        <v>#N/A</v>
      </c>
      <c r="AS11" s="4">
        <v>15.7</v>
      </c>
      <c r="AT11" s="4">
        <v>1.1000000000000001</v>
      </c>
      <c r="AU11" s="3" t="e">
        <v>#N/A</v>
      </c>
      <c r="AV11" s="4">
        <v>0.2</v>
      </c>
      <c r="AW11" s="4">
        <v>3.8</v>
      </c>
      <c r="AX11" s="4">
        <v>4.0999999999999996</v>
      </c>
      <c r="AY11" s="3" t="e">
        <v>#N/A</v>
      </c>
      <c r="AZ11" s="3" t="e">
        <v>#N/A</v>
      </c>
      <c r="BA11" s="4">
        <v>13</v>
      </c>
      <c r="BB11" s="4">
        <v>102.1</v>
      </c>
      <c r="BC11" s="4">
        <v>144.4</v>
      </c>
      <c r="BD11" s="4">
        <v>114.6</v>
      </c>
      <c r="BE11" s="4">
        <v>110.8</v>
      </c>
      <c r="BF11" s="3" t="e">
        <v>#N/A</v>
      </c>
      <c r="BG11" s="4">
        <v>226.6</v>
      </c>
      <c r="BH11" s="3">
        <v>93.3</v>
      </c>
      <c r="BI11" s="4">
        <v>107.5</v>
      </c>
      <c r="BJ11" s="4">
        <v>86</v>
      </c>
      <c r="BK11" s="3" t="e">
        <v>#N/A</v>
      </c>
      <c r="BL11" s="3" t="e">
        <v>#N/A</v>
      </c>
      <c r="BM11" s="4">
        <v>99</v>
      </c>
      <c r="BN11" s="4">
        <v>120.5</v>
      </c>
      <c r="BO11" s="4">
        <v>104.1</v>
      </c>
      <c r="BP11" s="4">
        <v>90.8</v>
      </c>
      <c r="BQ11" s="4">
        <v>137.4</v>
      </c>
      <c r="BR11" s="4">
        <v>105.9</v>
      </c>
      <c r="BS11" s="4">
        <v>141.30000000000001</v>
      </c>
      <c r="BT11" s="4">
        <v>58.9</v>
      </c>
      <c r="BU11" s="3" t="e">
        <v>#N/A</v>
      </c>
      <c r="BV11" s="3" t="e">
        <v>#N/A</v>
      </c>
      <c r="BW11" s="3" t="e">
        <v>#N/A</v>
      </c>
      <c r="BX11" s="3" t="e">
        <v>#N/A</v>
      </c>
      <c r="BY11" s="4">
        <v>67.7</v>
      </c>
      <c r="BZ11" s="4">
        <v>97.1</v>
      </c>
      <c r="CA11" s="4">
        <v>94.8</v>
      </c>
      <c r="CB11" s="4">
        <v>56.8</v>
      </c>
      <c r="CC11" s="4">
        <v>132.19999999999999</v>
      </c>
      <c r="CD11" s="4">
        <v>189.2</v>
      </c>
      <c r="CE11" s="4">
        <v>154.5</v>
      </c>
      <c r="CF11" s="4">
        <v>27.8</v>
      </c>
      <c r="CG11" s="4">
        <v>79.900000000000006</v>
      </c>
      <c r="CH11" s="4">
        <v>47.3</v>
      </c>
      <c r="CI11" s="4">
        <v>4.3</v>
      </c>
      <c r="CJ11" s="3" t="e">
        <v>#N/A</v>
      </c>
      <c r="CK11" s="4">
        <v>41.5</v>
      </c>
      <c r="CL11" s="4">
        <v>14.9</v>
      </c>
      <c r="CM11" s="4">
        <v>27.4</v>
      </c>
      <c r="CN11" s="4">
        <v>1.5</v>
      </c>
      <c r="CO11" s="3" t="e">
        <v>#N/A</v>
      </c>
      <c r="CP11" s="3" t="e">
        <v>#N/A</v>
      </c>
      <c r="CQ11" s="4">
        <v>21.5</v>
      </c>
      <c r="CR11" s="4">
        <v>40.6</v>
      </c>
      <c r="CS11" s="4">
        <v>70</v>
      </c>
      <c r="CT11" s="4">
        <v>220</v>
      </c>
      <c r="CU11" s="3">
        <v>9.3000000000000007</v>
      </c>
      <c r="CV11" s="4">
        <v>103.9</v>
      </c>
      <c r="CW11" s="4">
        <v>30.1</v>
      </c>
      <c r="CX11" s="4">
        <v>57.1</v>
      </c>
      <c r="CY11" s="3" t="e">
        <v>#N/A</v>
      </c>
      <c r="CZ11" s="3" t="e">
        <v>#N/A</v>
      </c>
      <c r="DA11" s="3" t="e">
        <v>#N/A</v>
      </c>
      <c r="DB11" s="3" t="e">
        <v>#N/A</v>
      </c>
      <c r="DC11" s="4">
        <v>26.8</v>
      </c>
      <c r="DD11" s="4">
        <v>87.5</v>
      </c>
      <c r="DE11" s="4">
        <v>12.1</v>
      </c>
      <c r="DF11" s="4">
        <v>13.1</v>
      </c>
      <c r="DG11" s="4">
        <v>301.89999999999998</v>
      </c>
      <c r="DH11" s="4">
        <v>80.900000000000006</v>
      </c>
      <c r="DI11" s="4">
        <v>20.6</v>
      </c>
      <c r="DJ11" s="4">
        <v>18.3</v>
      </c>
      <c r="DK11" s="4">
        <v>236.8</v>
      </c>
      <c r="DL11" s="4">
        <v>18.600000000000001</v>
      </c>
      <c r="DM11" s="4">
        <v>67.7</v>
      </c>
      <c r="DN11" s="4">
        <v>37.1</v>
      </c>
      <c r="DO11" s="4">
        <v>23.2</v>
      </c>
      <c r="DP11" s="4">
        <v>43.7</v>
      </c>
      <c r="DQ11" s="4">
        <v>9.8000000000000007</v>
      </c>
      <c r="DR11" s="4">
        <v>18.100000000000001</v>
      </c>
      <c r="DS11" s="3">
        <v>7.1</v>
      </c>
      <c r="DT11" s="4">
        <v>239.3</v>
      </c>
      <c r="DU11" s="4">
        <v>11.3</v>
      </c>
      <c r="DV11" s="4">
        <v>12</v>
      </c>
      <c r="DW11" s="4">
        <v>1.2</v>
      </c>
      <c r="DX11" s="4">
        <v>2.5</v>
      </c>
      <c r="DY11" s="4">
        <v>2.7</v>
      </c>
      <c r="DZ11" s="3">
        <v>0</v>
      </c>
      <c r="EA11" s="4">
        <v>31.8</v>
      </c>
      <c r="EB11" s="4">
        <v>1.4</v>
      </c>
      <c r="EC11" s="4">
        <v>0.8</v>
      </c>
      <c r="ED11" s="4">
        <v>0.2</v>
      </c>
      <c r="EE11" s="4">
        <v>7.2</v>
      </c>
      <c r="EF11" s="4">
        <v>10.7</v>
      </c>
      <c r="EG11" s="3" t="e">
        <v>#N/A</v>
      </c>
      <c r="EH11" s="4">
        <v>3.8</v>
      </c>
      <c r="EI11" s="4">
        <v>1.8</v>
      </c>
      <c r="EJ11" s="4">
        <v>13.4</v>
      </c>
      <c r="EK11" s="4">
        <v>18.899999999999999</v>
      </c>
      <c r="EL11" s="4">
        <v>56.8</v>
      </c>
      <c r="EM11" s="4">
        <v>0.9</v>
      </c>
      <c r="EN11" s="3" t="e">
        <v>#N/A</v>
      </c>
      <c r="EO11" s="4">
        <v>92.8</v>
      </c>
      <c r="EP11" s="4">
        <v>5</v>
      </c>
      <c r="EQ11" s="4">
        <v>31.2</v>
      </c>
      <c r="ER11" s="4">
        <v>10.199999999999999</v>
      </c>
      <c r="ES11" s="4">
        <v>32.700000000000003</v>
      </c>
      <c r="ET11" s="3" t="e">
        <v>#N/A</v>
      </c>
      <c r="EU11" s="3">
        <v>9.6</v>
      </c>
      <c r="EV11" s="3">
        <v>25.4</v>
      </c>
      <c r="EW11" s="3">
        <v>20.9</v>
      </c>
      <c r="EX11" s="3">
        <v>36</v>
      </c>
      <c r="EY11" s="3">
        <v>11.5</v>
      </c>
      <c r="EZ11" s="3">
        <v>35.9</v>
      </c>
      <c r="FA11" s="3">
        <v>10.9</v>
      </c>
      <c r="FB11" s="3">
        <v>7.4</v>
      </c>
      <c r="FC11" s="3" t="e">
        <v>#N/A</v>
      </c>
      <c r="FD11" s="3">
        <v>4.8</v>
      </c>
      <c r="FE11" s="3" t="e">
        <v>#N/A</v>
      </c>
      <c r="FF11" s="3" t="e">
        <v>#N/A</v>
      </c>
      <c r="FG11" s="3">
        <v>8.5</v>
      </c>
      <c r="FH11" s="3">
        <v>15</v>
      </c>
      <c r="FI11" s="3">
        <v>0.2</v>
      </c>
      <c r="FJ11" s="3">
        <v>9.1</v>
      </c>
      <c r="FK11" s="3">
        <v>58.1</v>
      </c>
      <c r="FL11" s="3">
        <v>20.7</v>
      </c>
      <c r="FM11" s="3">
        <v>31</v>
      </c>
    </row>
    <row r="12" spans="1:169" x14ac:dyDescent="0.35">
      <c r="A12" s="2">
        <v>1881</v>
      </c>
      <c r="B12" s="4">
        <v>68.900000000000006</v>
      </c>
      <c r="C12" s="4">
        <v>114.6</v>
      </c>
      <c r="D12" s="4">
        <v>76.400000000000006</v>
      </c>
      <c r="E12" s="4">
        <v>73.099999999999994</v>
      </c>
      <c r="F12" s="4">
        <v>100.9</v>
      </c>
      <c r="G12" s="4">
        <v>72.099999999999994</v>
      </c>
      <c r="H12" s="4">
        <v>124.4</v>
      </c>
      <c r="I12" s="4">
        <v>96.4</v>
      </c>
      <c r="J12" s="3">
        <v>72.8</v>
      </c>
      <c r="K12" s="4">
        <v>87.5</v>
      </c>
      <c r="L12" s="4">
        <v>87.9</v>
      </c>
      <c r="M12" s="3">
        <v>113</v>
      </c>
      <c r="N12" s="4">
        <v>70.099999999999994</v>
      </c>
      <c r="O12" s="3" t="e">
        <v>#N/A</v>
      </c>
      <c r="P12" s="4">
        <v>109.6</v>
      </c>
      <c r="Q12" s="4">
        <v>131.69999999999999</v>
      </c>
      <c r="R12" s="3" t="e">
        <v>#N/A</v>
      </c>
      <c r="S12" s="4">
        <v>136.5</v>
      </c>
      <c r="T12" s="4">
        <v>83.4</v>
      </c>
      <c r="U12" s="3" t="e">
        <v>#N/A</v>
      </c>
      <c r="V12" s="4">
        <v>194</v>
      </c>
      <c r="W12" s="4">
        <v>126.6</v>
      </c>
      <c r="X12" s="4">
        <v>112.1</v>
      </c>
      <c r="Y12" s="3" t="e">
        <v>#N/A</v>
      </c>
      <c r="Z12" s="3" t="e">
        <v>#N/A</v>
      </c>
      <c r="AA12" s="4">
        <v>104.3</v>
      </c>
      <c r="AB12" s="4">
        <v>297.7</v>
      </c>
      <c r="AC12" s="4">
        <v>122.2</v>
      </c>
      <c r="AD12" s="4">
        <v>592.1</v>
      </c>
      <c r="AE12" s="4">
        <v>141.69999999999999</v>
      </c>
      <c r="AF12" s="4">
        <v>45.6</v>
      </c>
      <c r="AG12" s="3">
        <v>1058.0999999999999</v>
      </c>
      <c r="AH12" s="4">
        <v>51.2</v>
      </c>
      <c r="AI12" s="4">
        <v>15.9</v>
      </c>
      <c r="AJ12" s="4">
        <v>47.8</v>
      </c>
      <c r="AK12" s="4">
        <v>20.3</v>
      </c>
      <c r="AL12" s="4">
        <v>43.9</v>
      </c>
      <c r="AM12" s="4">
        <v>23.8</v>
      </c>
      <c r="AN12" s="4">
        <v>22.2</v>
      </c>
      <c r="AO12" s="3" t="e">
        <v>#N/A</v>
      </c>
      <c r="AP12" s="4">
        <v>4.5999999999999996</v>
      </c>
      <c r="AQ12" s="4">
        <v>27.7</v>
      </c>
      <c r="AR12" s="3" t="e">
        <v>#N/A</v>
      </c>
      <c r="AS12" s="4">
        <v>23.6</v>
      </c>
      <c r="AT12" s="4">
        <v>1.8</v>
      </c>
      <c r="AU12" s="3" t="e">
        <v>#N/A</v>
      </c>
      <c r="AV12" s="4">
        <v>0.4</v>
      </c>
      <c r="AW12" s="4">
        <v>5.0999999999999996</v>
      </c>
      <c r="AX12" s="4">
        <v>5.7</v>
      </c>
      <c r="AY12" s="3" t="e">
        <v>#N/A</v>
      </c>
      <c r="AZ12" s="3" t="e">
        <v>#N/A</v>
      </c>
      <c r="BA12" s="4">
        <v>15</v>
      </c>
      <c r="BB12" s="4">
        <v>107.9</v>
      </c>
      <c r="BC12" s="3">
        <v>197.7</v>
      </c>
      <c r="BD12" s="4">
        <v>89</v>
      </c>
      <c r="BE12" s="4">
        <v>102.9</v>
      </c>
      <c r="BF12" s="3" t="e">
        <v>#N/A</v>
      </c>
      <c r="BG12" s="4">
        <v>224.7</v>
      </c>
      <c r="BH12" s="3">
        <v>94.3</v>
      </c>
      <c r="BI12" s="4">
        <v>104.9</v>
      </c>
      <c r="BJ12" s="4">
        <v>87.1</v>
      </c>
      <c r="BK12" s="3" t="e">
        <v>#N/A</v>
      </c>
      <c r="BL12" s="3" t="e">
        <v>#N/A</v>
      </c>
      <c r="BM12" s="4">
        <v>98.1</v>
      </c>
      <c r="BN12" s="4">
        <v>114.4</v>
      </c>
      <c r="BO12" s="4">
        <v>94.4</v>
      </c>
      <c r="BP12" s="4">
        <v>91.2</v>
      </c>
      <c r="BQ12" s="4">
        <v>133.30000000000001</v>
      </c>
      <c r="BR12" s="4">
        <v>108.8</v>
      </c>
      <c r="BS12" s="4">
        <v>126.6</v>
      </c>
      <c r="BT12" s="4">
        <v>63.3</v>
      </c>
      <c r="BU12" s="3" t="e">
        <v>#N/A</v>
      </c>
      <c r="BV12" s="3" t="e">
        <v>#N/A</v>
      </c>
      <c r="BW12" s="3" t="e">
        <v>#N/A</v>
      </c>
      <c r="BX12" s="3" t="e">
        <v>#N/A</v>
      </c>
      <c r="BY12" s="4">
        <v>81.3</v>
      </c>
      <c r="BZ12" s="4">
        <v>89.2</v>
      </c>
      <c r="CA12" s="4">
        <v>97.2</v>
      </c>
      <c r="CB12" s="3">
        <v>58.3</v>
      </c>
      <c r="CC12" s="4">
        <v>106.7</v>
      </c>
      <c r="CD12" s="3">
        <v>182.7</v>
      </c>
      <c r="CE12" s="4">
        <v>138.19999999999999</v>
      </c>
      <c r="CF12" s="4">
        <v>30</v>
      </c>
      <c r="CG12" s="4">
        <v>95.5</v>
      </c>
      <c r="CH12" s="4">
        <v>54.7</v>
      </c>
      <c r="CI12" s="4">
        <v>6.9</v>
      </c>
      <c r="CJ12" s="3" t="e">
        <v>#N/A</v>
      </c>
      <c r="CK12" s="4">
        <v>41.9</v>
      </c>
      <c r="CL12" s="4">
        <v>14.7</v>
      </c>
      <c r="CM12" s="4">
        <v>26.8</v>
      </c>
      <c r="CN12" s="4">
        <v>1.6</v>
      </c>
      <c r="CO12" s="3" t="e">
        <v>#N/A</v>
      </c>
      <c r="CP12" s="3" t="e">
        <v>#N/A</v>
      </c>
      <c r="CQ12" s="4">
        <v>25</v>
      </c>
      <c r="CR12" s="4">
        <v>38.1</v>
      </c>
      <c r="CS12" s="4">
        <v>35.700000000000003</v>
      </c>
      <c r="CT12" s="4">
        <v>192.4</v>
      </c>
      <c r="CU12" s="4">
        <v>9.4</v>
      </c>
      <c r="CV12" s="4">
        <v>95.2</v>
      </c>
      <c r="CW12" s="3">
        <v>28</v>
      </c>
      <c r="CX12" s="4">
        <v>59.6</v>
      </c>
      <c r="CY12" s="3" t="e">
        <v>#N/A</v>
      </c>
      <c r="CZ12" s="3" t="e">
        <v>#N/A</v>
      </c>
      <c r="DA12" s="3" t="e">
        <v>#N/A</v>
      </c>
      <c r="DB12" s="3" t="e">
        <v>#N/A</v>
      </c>
      <c r="DC12" s="4">
        <v>24.2</v>
      </c>
      <c r="DD12" s="4">
        <v>93.1</v>
      </c>
      <c r="DE12" s="4">
        <v>7.5</v>
      </c>
      <c r="DF12" s="4">
        <v>9.4</v>
      </c>
      <c r="DG12" s="4">
        <v>250.2</v>
      </c>
      <c r="DH12" s="4">
        <v>84.8</v>
      </c>
      <c r="DI12" s="4">
        <v>23.4</v>
      </c>
      <c r="DJ12" s="4">
        <v>12</v>
      </c>
      <c r="DK12" s="4">
        <v>185.7</v>
      </c>
      <c r="DL12" s="4">
        <v>17.5</v>
      </c>
      <c r="DM12" s="4">
        <v>64</v>
      </c>
      <c r="DN12" s="4">
        <v>37</v>
      </c>
      <c r="DO12" s="4">
        <v>20.100000000000001</v>
      </c>
      <c r="DP12" s="4">
        <v>43.1</v>
      </c>
      <c r="DQ12" s="4">
        <v>6.8</v>
      </c>
      <c r="DR12" s="4">
        <v>18.399999999999999</v>
      </c>
      <c r="DS12" s="4">
        <v>6.8</v>
      </c>
      <c r="DT12" s="4">
        <v>222.1</v>
      </c>
      <c r="DU12" s="4">
        <v>13.6</v>
      </c>
      <c r="DV12" s="4">
        <v>14.2</v>
      </c>
      <c r="DW12" s="4">
        <v>1.5</v>
      </c>
      <c r="DX12" s="4">
        <v>3.4</v>
      </c>
      <c r="DY12" s="3">
        <v>3.1</v>
      </c>
      <c r="DZ12" s="3">
        <v>0</v>
      </c>
      <c r="EA12" s="4">
        <v>45.5</v>
      </c>
      <c r="EB12" s="4">
        <v>2.2999999999999998</v>
      </c>
      <c r="EC12" s="4">
        <v>1.1000000000000001</v>
      </c>
      <c r="ED12" s="4">
        <v>0.3</v>
      </c>
      <c r="EE12" s="4">
        <v>8.6999999999999993</v>
      </c>
      <c r="EF12" s="4">
        <v>13.4</v>
      </c>
      <c r="EG12" s="3" t="e">
        <v>#N/A</v>
      </c>
      <c r="EH12" s="4">
        <v>4.0999999999999996</v>
      </c>
      <c r="EI12" s="4">
        <v>2</v>
      </c>
      <c r="EJ12" s="4">
        <v>15.3</v>
      </c>
      <c r="EK12" s="4">
        <v>21.6</v>
      </c>
      <c r="EL12" s="4">
        <v>50.9</v>
      </c>
      <c r="EM12" s="4">
        <v>1.4</v>
      </c>
      <c r="EN12" s="3" t="e">
        <v>#N/A</v>
      </c>
      <c r="EO12" s="4">
        <v>92.8</v>
      </c>
      <c r="EP12" s="4">
        <v>5</v>
      </c>
      <c r="EQ12" s="4">
        <v>29.8</v>
      </c>
      <c r="ER12" s="4">
        <v>10.9</v>
      </c>
      <c r="ES12" s="4">
        <v>31.6</v>
      </c>
      <c r="ET12" s="3" t="e">
        <v>#N/A</v>
      </c>
      <c r="EU12" s="3">
        <v>11</v>
      </c>
      <c r="EV12" s="3">
        <v>22.6</v>
      </c>
      <c r="EW12" s="3">
        <v>9.6999999999999993</v>
      </c>
      <c r="EX12" s="3">
        <v>31.6</v>
      </c>
      <c r="EY12" s="3">
        <v>11.1</v>
      </c>
      <c r="EZ12" s="3">
        <v>33.799999999999997</v>
      </c>
      <c r="FA12" s="3">
        <v>9.1</v>
      </c>
      <c r="FB12" s="3">
        <v>8.4</v>
      </c>
      <c r="FC12" s="3" t="e">
        <v>#N/A</v>
      </c>
      <c r="FD12" s="3">
        <v>5.2</v>
      </c>
      <c r="FE12" s="3" t="e">
        <v>#N/A</v>
      </c>
      <c r="FF12" s="3" t="e">
        <v>#N/A</v>
      </c>
      <c r="FG12" s="3">
        <v>9.1999999999999993</v>
      </c>
      <c r="FH12" s="3">
        <v>14.7</v>
      </c>
      <c r="FI12" s="3">
        <v>0.1</v>
      </c>
      <c r="FJ12" s="3">
        <v>6.7</v>
      </c>
      <c r="FK12" s="3">
        <v>38.9</v>
      </c>
      <c r="FL12" s="3">
        <v>21</v>
      </c>
      <c r="FM12" s="3">
        <v>31.6</v>
      </c>
    </row>
    <row r="13" spans="1:169" x14ac:dyDescent="0.35">
      <c r="A13" s="2">
        <v>1882</v>
      </c>
      <c r="B13" s="4">
        <v>79.400000000000006</v>
      </c>
      <c r="C13" s="4">
        <v>119.9</v>
      </c>
      <c r="D13" s="4">
        <v>83.4</v>
      </c>
      <c r="E13" s="4">
        <v>87.9</v>
      </c>
      <c r="F13" s="4">
        <v>110.2</v>
      </c>
      <c r="G13" s="3">
        <v>72.8</v>
      </c>
      <c r="H13" s="4">
        <v>129</v>
      </c>
      <c r="I13" s="4">
        <v>101</v>
      </c>
      <c r="J13" s="4">
        <v>72.099999999999994</v>
      </c>
      <c r="K13" s="4">
        <v>84.3</v>
      </c>
      <c r="L13" s="4">
        <v>87.7</v>
      </c>
      <c r="M13" s="4">
        <v>118.8</v>
      </c>
      <c r="N13" s="4">
        <v>71.8</v>
      </c>
      <c r="O13" s="3" t="e">
        <v>#N/A</v>
      </c>
      <c r="P13" s="4">
        <v>109.2</v>
      </c>
      <c r="Q13" s="4">
        <v>129.19999999999999</v>
      </c>
      <c r="R13" s="4">
        <v>186.7</v>
      </c>
      <c r="S13" s="4">
        <v>127</v>
      </c>
      <c r="T13" s="4">
        <v>83.1</v>
      </c>
      <c r="U13" s="3" t="e">
        <v>#N/A</v>
      </c>
      <c r="V13" s="4">
        <v>202.1</v>
      </c>
      <c r="W13" s="3">
        <v>125.4</v>
      </c>
      <c r="X13" s="4">
        <v>122.6</v>
      </c>
      <c r="Y13" s="3" t="e">
        <v>#N/A</v>
      </c>
      <c r="Z13" s="3" t="e">
        <v>#N/A</v>
      </c>
      <c r="AA13" s="4">
        <v>106.3</v>
      </c>
      <c r="AB13" s="4">
        <v>131.80000000000001</v>
      </c>
      <c r="AC13" s="4">
        <v>87</v>
      </c>
      <c r="AD13" s="4">
        <v>423.4</v>
      </c>
      <c r="AE13" s="4">
        <v>81.7</v>
      </c>
      <c r="AF13" s="4">
        <v>35.5</v>
      </c>
      <c r="AG13" s="4">
        <v>693.4</v>
      </c>
      <c r="AH13" s="4">
        <v>55.8</v>
      </c>
      <c r="AI13" s="4">
        <v>14.1</v>
      </c>
      <c r="AJ13" s="4">
        <v>49.4</v>
      </c>
      <c r="AK13" s="4">
        <v>22.4</v>
      </c>
      <c r="AL13" s="4">
        <v>44.5</v>
      </c>
      <c r="AM13" s="4">
        <v>22</v>
      </c>
      <c r="AN13" s="3">
        <v>28.1</v>
      </c>
      <c r="AO13" s="3" t="e">
        <v>#N/A</v>
      </c>
      <c r="AP13" s="4">
        <v>5.3</v>
      </c>
      <c r="AQ13" s="4">
        <v>30.8</v>
      </c>
      <c r="AR13" s="4">
        <v>4.9000000000000004</v>
      </c>
      <c r="AS13" s="4">
        <v>23.1</v>
      </c>
      <c r="AT13" s="4">
        <v>1.3</v>
      </c>
      <c r="AU13" s="3" t="e">
        <v>#N/A</v>
      </c>
      <c r="AV13" s="4">
        <v>0.5</v>
      </c>
      <c r="AW13" s="4">
        <v>5.7</v>
      </c>
      <c r="AX13" s="4">
        <v>6.9</v>
      </c>
      <c r="AY13" s="3" t="e">
        <v>#N/A</v>
      </c>
      <c r="AZ13" s="3" t="e">
        <v>#N/A</v>
      </c>
      <c r="BA13" s="4">
        <v>16.899999999999999</v>
      </c>
      <c r="BB13" s="4">
        <v>114.9</v>
      </c>
      <c r="BC13" s="4">
        <v>131.19999999999999</v>
      </c>
      <c r="BD13" s="4">
        <v>73.8</v>
      </c>
      <c r="BE13" s="4">
        <v>104.8</v>
      </c>
      <c r="BF13" s="3" t="e">
        <v>#N/A</v>
      </c>
      <c r="BG13" s="4">
        <v>224.8</v>
      </c>
      <c r="BH13" s="3">
        <v>92.3</v>
      </c>
      <c r="BI13" s="4">
        <v>108.2</v>
      </c>
      <c r="BJ13" s="4">
        <v>109.2</v>
      </c>
      <c r="BK13" s="3" t="e">
        <v>#N/A</v>
      </c>
      <c r="BL13" s="3" t="e">
        <v>#N/A</v>
      </c>
      <c r="BM13" s="4">
        <v>105.9</v>
      </c>
      <c r="BN13" s="4">
        <v>116.1</v>
      </c>
      <c r="BO13" s="4">
        <v>91.3</v>
      </c>
      <c r="BP13" s="4">
        <v>91.6</v>
      </c>
      <c r="BQ13" s="4">
        <v>142.5</v>
      </c>
      <c r="BR13" s="4">
        <v>107.1</v>
      </c>
      <c r="BS13" s="4">
        <v>117.8</v>
      </c>
      <c r="BT13" s="4">
        <v>72.8</v>
      </c>
      <c r="BU13" s="3" t="e">
        <v>#N/A</v>
      </c>
      <c r="BV13" s="3" t="e">
        <v>#N/A</v>
      </c>
      <c r="BW13" s="3" t="e">
        <v>#N/A</v>
      </c>
      <c r="BX13" s="3" t="e">
        <v>#N/A</v>
      </c>
      <c r="BY13" s="4">
        <v>69.7</v>
      </c>
      <c r="BZ13" s="4">
        <v>92.5</v>
      </c>
      <c r="CA13" s="4">
        <v>106.9</v>
      </c>
      <c r="CB13" s="4">
        <v>64.099999999999994</v>
      </c>
      <c r="CC13" s="4">
        <v>107</v>
      </c>
      <c r="CD13" s="4">
        <v>175.3</v>
      </c>
      <c r="CE13" s="4">
        <v>136.30000000000001</v>
      </c>
      <c r="CF13" s="4">
        <v>35.1</v>
      </c>
      <c r="CG13" s="3">
        <v>80.2</v>
      </c>
      <c r="CH13" s="4">
        <v>59.4</v>
      </c>
      <c r="CI13" s="4">
        <v>6.4</v>
      </c>
      <c r="CJ13" s="3" t="e">
        <v>#N/A</v>
      </c>
      <c r="CK13" s="4">
        <v>49.2</v>
      </c>
      <c r="CL13" s="4">
        <v>17.399999999999999</v>
      </c>
      <c r="CM13" s="4">
        <v>23.8</v>
      </c>
      <c r="CN13" s="4">
        <v>2.1</v>
      </c>
      <c r="CO13" s="3" t="e">
        <v>#N/A</v>
      </c>
      <c r="CP13" s="3" t="e">
        <v>#N/A</v>
      </c>
      <c r="CQ13" s="4">
        <v>25.8</v>
      </c>
      <c r="CR13" s="4">
        <v>40.700000000000003</v>
      </c>
      <c r="CS13" s="4">
        <v>43.8</v>
      </c>
      <c r="CT13" s="4">
        <v>254.2</v>
      </c>
      <c r="CU13" s="4">
        <v>11.5</v>
      </c>
      <c r="CV13" s="4">
        <v>119.6</v>
      </c>
      <c r="CW13" s="4">
        <v>35.9</v>
      </c>
      <c r="CX13" s="4">
        <v>62</v>
      </c>
      <c r="CY13" s="3" t="e">
        <v>#N/A</v>
      </c>
      <c r="CZ13" s="3" t="e">
        <v>#N/A</v>
      </c>
      <c r="DA13" s="3" t="e">
        <v>#N/A</v>
      </c>
      <c r="DB13" s="3" t="e">
        <v>#N/A</v>
      </c>
      <c r="DC13" s="4">
        <v>29.3</v>
      </c>
      <c r="DD13" s="3">
        <v>101.5</v>
      </c>
      <c r="DE13" s="4">
        <v>8.6999999999999993</v>
      </c>
      <c r="DF13" s="4">
        <v>11.8</v>
      </c>
      <c r="DG13" s="4">
        <v>304</v>
      </c>
      <c r="DH13" s="4">
        <v>73.5</v>
      </c>
      <c r="DI13" s="4">
        <v>25.8</v>
      </c>
      <c r="DJ13" s="4">
        <v>6.1</v>
      </c>
      <c r="DK13" s="4">
        <v>138.4</v>
      </c>
      <c r="DL13" s="4">
        <v>13.7</v>
      </c>
      <c r="DM13" s="4">
        <v>44.9</v>
      </c>
      <c r="DN13" s="4">
        <v>31.5</v>
      </c>
      <c r="DO13" s="4">
        <v>13.3</v>
      </c>
      <c r="DP13" s="4">
        <v>48.6</v>
      </c>
      <c r="DQ13" s="4">
        <v>6.4</v>
      </c>
      <c r="DR13" s="4">
        <v>18.899999999999999</v>
      </c>
      <c r="DS13" s="4">
        <v>7.2</v>
      </c>
      <c r="DT13" s="4">
        <v>224.6</v>
      </c>
      <c r="DU13" s="4">
        <v>13.2</v>
      </c>
      <c r="DV13" s="4">
        <v>18.399999999999999</v>
      </c>
      <c r="DW13" s="4">
        <v>1.7</v>
      </c>
      <c r="DX13" s="4">
        <v>3.9</v>
      </c>
      <c r="DY13" s="4">
        <v>3.4</v>
      </c>
      <c r="DZ13" s="4">
        <v>0.8</v>
      </c>
      <c r="EA13" s="4">
        <v>41.2</v>
      </c>
      <c r="EB13" s="4">
        <v>1.6</v>
      </c>
      <c r="EC13" s="4">
        <v>1.1000000000000001</v>
      </c>
      <c r="ED13" s="3">
        <v>0.3</v>
      </c>
      <c r="EE13" s="4">
        <v>9.6999999999999993</v>
      </c>
      <c r="EF13" s="4">
        <v>17.600000000000001</v>
      </c>
      <c r="EG13" s="3" t="e">
        <v>#N/A</v>
      </c>
      <c r="EH13" s="4">
        <v>4.7</v>
      </c>
      <c r="EI13" s="4">
        <v>2.2999999999999998</v>
      </c>
      <c r="EJ13" s="4">
        <v>20</v>
      </c>
      <c r="EK13" s="4">
        <v>17.3</v>
      </c>
      <c r="EL13" s="4">
        <v>45.9</v>
      </c>
      <c r="EM13" s="4">
        <v>1.3</v>
      </c>
      <c r="EN13" s="3" t="e">
        <v>#N/A</v>
      </c>
      <c r="EO13" s="4">
        <v>109.1</v>
      </c>
      <c r="EP13" s="3">
        <v>5.8</v>
      </c>
      <c r="EQ13" s="4">
        <v>27.2</v>
      </c>
      <c r="ER13" s="4">
        <v>17.600000000000001</v>
      </c>
      <c r="ES13" s="4">
        <v>37.200000000000003</v>
      </c>
      <c r="ET13" s="3" t="e">
        <v>#N/A</v>
      </c>
      <c r="EU13" s="3">
        <v>12.3</v>
      </c>
      <c r="EV13" s="3">
        <v>24.6</v>
      </c>
      <c r="EW13" s="3">
        <v>11.5</v>
      </c>
      <c r="EX13" s="3">
        <v>41.9</v>
      </c>
      <c r="EY13" s="3">
        <v>14.6</v>
      </c>
      <c r="EZ13" s="3">
        <v>41.8</v>
      </c>
      <c r="FA13" s="3">
        <v>10.9</v>
      </c>
      <c r="FB13" s="3">
        <v>10</v>
      </c>
      <c r="FC13" s="3" t="e">
        <v>#N/A</v>
      </c>
      <c r="FD13" s="3">
        <v>6</v>
      </c>
      <c r="FE13" s="3" t="e">
        <v>#N/A</v>
      </c>
      <c r="FF13" s="3" t="e">
        <v>#N/A</v>
      </c>
      <c r="FG13" s="3">
        <v>9.6999999999999993</v>
      </c>
      <c r="FH13" s="3">
        <v>16.600000000000001</v>
      </c>
      <c r="FI13" s="3">
        <v>0.2</v>
      </c>
      <c r="FJ13" s="3">
        <v>9.8000000000000007</v>
      </c>
      <c r="FK13" s="3">
        <v>47.4</v>
      </c>
      <c r="FL13" s="3">
        <v>17.399999999999999</v>
      </c>
      <c r="FM13" s="3">
        <v>34.4</v>
      </c>
    </row>
    <row r="14" spans="1:169" x14ac:dyDescent="0.35">
      <c r="A14" s="2">
        <v>1883</v>
      </c>
      <c r="B14" s="4">
        <v>74</v>
      </c>
      <c r="C14" s="4">
        <v>114</v>
      </c>
      <c r="D14" s="4">
        <v>80.2</v>
      </c>
      <c r="E14" s="4">
        <v>83.1</v>
      </c>
      <c r="F14" s="4">
        <v>94.8</v>
      </c>
      <c r="G14" s="4">
        <v>69</v>
      </c>
      <c r="H14" s="4">
        <v>122</v>
      </c>
      <c r="I14" s="3">
        <v>89.8</v>
      </c>
      <c r="J14" s="4">
        <v>71.8</v>
      </c>
      <c r="K14" s="4">
        <v>86.8</v>
      </c>
      <c r="L14" s="4">
        <v>81.599999999999994</v>
      </c>
      <c r="M14" s="4">
        <v>112.5</v>
      </c>
      <c r="N14" s="4">
        <v>72.5</v>
      </c>
      <c r="O14" s="3" t="e">
        <v>#N/A</v>
      </c>
      <c r="P14" s="4">
        <v>108.2</v>
      </c>
      <c r="Q14" s="4">
        <v>129.69999999999999</v>
      </c>
      <c r="R14" s="4">
        <v>195.8</v>
      </c>
      <c r="S14" s="4">
        <v>128.4</v>
      </c>
      <c r="T14" s="4">
        <v>86.1</v>
      </c>
      <c r="U14" s="3" t="e">
        <v>#N/A</v>
      </c>
      <c r="V14" s="4">
        <v>176</v>
      </c>
      <c r="W14" s="4">
        <v>116.9</v>
      </c>
      <c r="X14" s="4">
        <v>124.3</v>
      </c>
      <c r="Y14" s="3" t="e">
        <v>#N/A</v>
      </c>
      <c r="Z14" s="3" t="e">
        <v>#N/A</v>
      </c>
      <c r="AA14" s="4">
        <v>103</v>
      </c>
      <c r="AB14" s="4">
        <v>419.4</v>
      </c>
      <c r="AC14" s="4">
        <v>80.900000000000006</v>
      </c>
      <c r="AD14" s="4">
        <v>622.1</v>
      </c>
      <c r="AE14" s="4">
        <v>98.5</v>
      </c>
      <c r="AF14" s="4">
        <v>44.1</v>
      </c>
      <c r="AG14" s="3">
        <v>881.4</v>
      </c>
      <c r="AH14" s="4">
        <v>68.599999999999994</v>
      </c>
      <c r="AI14" s="4">
        <v>19.7</v>
      </c>
      <c r="AJ14" s="4">
        <v>52.5</v>
      </c>
      <c r="AK14" s="4">
        <v>20.7</v>
      </c>
      <c r="AL14" s="4">
        <v>47.9</v>
      </c>
      <c r="AM14" s="4">
        <v>21.6</v>
      </c>
      <c r="AN14" s="4">
        <v>26.8</v>
      </c>
      <c r="AO14" s="3" t="e">
        <v>#N/A</v>
      </c>
      <c r="AP14" s="4">
        <v>7</v>
      </c>
      <c r="AQ14" s="4">
        <v>40.4</v>
      </c>
      <c r="AR14" s="4">
        <v>7</v>
      </c>
      <c r="AS14" s="4">
        <v>23.9</v>
      </c>
      <c r="AT14" s="4">
        <v>2.8</v>
      </c>
      <c r="AU14" s="3" t="e">
        <v>#N/A</v>
      </c>
      <c r="AV14" s="4">
        <v>0.4</v>
      </c>
      <c r="AW14" s="4">
        <v>5.4</v>
      </c>
      <c r="AX14" s="4">
        <v>7.8</v>
      </c>
      <c r="AY14" s="3" t="e">
        <v>#N/A</v>
      </c>
      <c r="AZ14" s="3" t="e">
        <v>#N/A</v>
      </c>
      <c r="BA14" s="4">
        <v>18</v>
      </c>
      <c r="BB14" s="4">
        <v>109.1</v>
      </c>
      <c r="BC14" s="3">
        <v>111.3</v>
      </c>
      <c r="BD14" s="3">
        <v>67.2</v>
      </c>
      <c r="BE14" s="4">
        <v>100.4</v>
      </c>
      <c r="BF14" s="3" t="e">
        <v>#N/A</v>
      </c>
      <c r="BG14" s="4">
        <v>203.7</v>
      </c>
      <c r="BH14" s="4">
        <v>88.5</v>
      </c>
      <c r="BI14" s="4">
        <v>104.7</v>
      </c>
      <c r="BJ14" s="4">
        <v>99.3</v>
      </c>
      <c r="BK14" s="3" t="e">
        <v>#N/A</v>
      </c>
      <c r="BL14" s="3" t="e">
        <v>#N/A</v>
      </c>
      <c r="BM14" s="4">
        <v>101.8</v>
      </c>
      <c r="BN14" s="4">
        <v>117.1</v>
      </c>
      <c r="BO14" s="4">
        <v>85.7</v>
      </c>
      <c r="BP14" s="4">
        <v>86.9</v>
      </c>
      <c r="BQ14" s="4">
        <v>122.8</v>
      </c>
      <c r="BR14" s="4">
        <v>108.3</v>
      </c>
      <c r="BS14" s="4">
        <v>115.8</v>
      </c>
      <c r="BT14" s="4">
        <v>72</v>
      </c>
      <c r="BU14" s="3" t="e">
        <v>#N/A</v>
      </c>
      <c r="BV14" s="3" t="e">
        <v>#N/A</v>
      </c>
      <c r="BW14" s="3" t="e">
        <v>#N/A</v>
      </c>
      <c r="BX14" s="3" t="e">
        <v>#N/A</v>
      </c>
      <c r="BY14" s="4">
        <v>53.3</v>
      </c>
      <c r="BZ14" s="4">
        <v>90.4</v>
      </c>
      <c r="CA14" s="4">
        <v>98.1</v>
      </c>
      <c r="CB14" s="3">
        <v>58.9</v>
      </c>
      <c r="CC14" s="4">
        <v>106.8</v>
      </c>
      <c r="CD14" s="4">
        <v>161.4</v>
      </c>
      <c r="CE14" s="4">
        <v>131.6</v>
      </c>
      <c r="CF14" s="4">
        <v>35</v>
      </c>
      <c r="CG14" s="4">
        <v>84</v>
      </c>
      <c r="CH14" s="4">
        <v>61.7</v>
      </c>
      <c r="CI14" s="4">
        <v>7.3</v>
      </c>
      <c r="CJ14" s="3" t="e">
        <v>#N/A</v>
      </c>
      <c r="CK14" s="4">
        <v>50.7</v>
      </c>
      <c r="CL14" s="4">
        <v>25.9</v>
      </c>
      <c r="CM14" s="4">
        <v>20.9</v>
      </c>
      <c r="CN14" s="4">
        <v>1.9</v>
      </c>
      <c r="CO14" s="3" t="e">
        <v>#N/A</v>
      </c>
      <c r="CP14" s="3" t="e">
        <v>#N/A</v>
      </c>
      <c r="CQ14" s="4">
        <v>25.8</v>
      </c>
      <c r="CR14" s="4">
        <v>39.9</v>
      </c>
      <c r="CS14" s="4">
        <v>47.9</v>
      </c>
      <c r="CT14" s="4">
        <v>273.5</v>
      </c>
      <c r="CU14" s="3">
        <v>12.3</v>
      </c>
      <c r="CV14" s="4">
        <v>100.5</v>
      </c>
      <c r="CW14" s="4">
        <v>31.2</v>
      </c>
      <c r="CX14" s="4">
        <v>57</v>
      </c>
      <c r="CY14" s="3" t="e">
        <v>#N/A</v>
      </c>
      <c r="CZ14" s="3" t="e">
        <v>#N/A</v>
      </c>
      <c r="DA14" s="3" t="e">
        <v>#N/A</v>
      </c>
      <c r="DB14" s="3" t="e">
        <v>#N/A</v>
      </c>
      <c r="DC14" s="4">
        <v>38.9</v>
      </c>
      <c r="DD14" s="4">
        <v>100.5</v>
      </c>
      <c r="DE14" s="4">
        <v>7.3</v>
      </c>
      <c r="DF14" s="4">
        <v>11.9</v>
      </c>
      <c r="DG14" s="4">
        <v>231.9</v>
      </c>
      <c r="DH14" s="4">
        <v>44.9</v>
      </c>
      <c r="DI14" s="4">
        <v>26.8</v>
      </c>
      <c r="DJ14" s="4">
        <v>18.2</v>
      </c>
      <c r="DK14" s="4">
        <v>122.3</v>
      </c>
      <c r="DL14" s="4">
        <v>19.3</v>
      </c>
      <c r="DM14" s="4">
        <v>51.1</v>
      </c>
      <c r="DN14" s="4">
        <v>33.6</v>
      </c>
      <c r="DO14" s="4">
        <v>16.100000000000001</v>
      </c>
      <c r="DP14" s="4">
        <v>56.5</v>
      </c>
      <c r="DQ14" s="4">
        <v>7.9</v>
      </c>
      <c r="DR14" s="4">
        <v>20</v>
      </c>
      <c r="DS14" s="4">
        <v>6.9</v>
      </c>
      <c r="DT14" s="4">
        <v>224.7</v>
      </c>
      <c r="DU14" s="4">
        <v>12.3</v>
      </c>
      <c r="DV14" s="4">
        <v>17.7</v>
      </c>
      <c r="DW14" s="4">
        <v>1.4</v>
      </c>
      <c r="DX14" s="4">
        <v>5.0999999999999996</v>
      </c>
      <c r="DY14" s="4">
        <v>4.4000000000000004</v>
      </c>
      <c r="DZ14" s="4">
        <v>1.1000000000000001</v>
      </c>
      <c r="EA14" s="4">
        <v>43.3</v>
      </c>
      <c r="EB14" s="4">
        <v>3.7</v>
      </c>
      <c r="EC14" s="4">
        <v>1.1000000000000001</v>
      </c>
      <c r="ED14" s="3">
        <v>0.3</v>
      </c>
      <c r="EE14" s="4">
        <v>8.4</v>
      </c>
      <c r="EF14" s="4">
        <v>20.2</v>
      </c>
      <c r="EG14" s="3" t="e">
        <v>#N/A</v>
      </c>
      <c r="EH14" s="4">
        <v>4.0999999999999996</v>
      </c>
      <c r="EI14" s="4">
        <v>2.4</v>
      </c>
      <c r="EJ14" s="4">
        <v>19</v>
      </c>
      <c r="EK14" s="4">
        <v>15.3</v>
      </c>
      <c r="EL14" s="4">
        <v>43.4</v>
      </c>
      <c r="EM14" s="4">
        <v>1.4</v>
      </c>
      <c r="EN14" s="3" t="e">
        <v>#N/A</v>
      </c>
      <c r="EO14" s="4">
        <v>101.8</v>
      </c>
      <c r="EP14" s="4">
        <v>8.3000000000000007</v>
      </c>
      <c r="EQ14" s="4">
        <v>23.1</v>
      </c>
      <c r="ER14" s="4">
        <v>14.8</v>
      </c>
      <c r="ES14" s="4">
        <v>34.299999999999997</v>
      </c>
      <c r="ET14" s="3" t="e">
        <v>#N/A</v>
      </c>
      <c r="EU14" s="3">
        <v>11.8</v>
      </c>
      <c r="EV14" s="3">
        <v>24.3</v>
      </c>
      <c r="EW14" s="3">
        <v>11.8</v>
      </c>
      <c r="EX14" s="3">
        <v>42.8</v>
      </c>
      <c r="EY14" s="3">
        <v>13.5</v>
      </c>
      <c r="EZ14" s="3">
        <v>35.5</v>
      </c>
      <c r="FA14" s="3">
        <v>9.3000000000000007</v>
      </c>
      <c r="FB14" s="3">
        <v>9.1</v>
      </c>
      <c r="FC14" s="3" t="e">
        <v>#N/A</v>
      </c>
      <c r="FD14" s="3">
        <v>5.0999999999999996</v>
      </c>
      <c r="FE14" s="3" t="e">
        <v>#N/A</v>
      </c>
      <c r="FF14" s="3" t="e">
        <v>#N/A</v>
      </c>
      <c r="FG14" s="3">
        <v>9.8000000000000007</v>
      </c>
      <c r="FH14" s="3">
        <v>16</v>
      </c>
      <c r="FI14" s="3">
        <v>0.1</v>
      </c>
      <c r="FJ14" s="3">
        <v>9.1</v>
      </c>
      <c r="FK14" s="3">
        <v>36.1</v>
      </c>
      <c r="FL14" s="3">
        <v>9.8000000000000007</v>
      </c>
      <c r="FM14" s="3">
        <v>34.4</v>
      </c>
    </row>
    <row r="15" spans="1:169" x14ac:dyDescent="0.35">
      <c r="A15" s="2">
        <v>1884</v>
      </c>
      <c r="B15" s="4">
        <v>75.2</v>
      </c>
      <c r="C15" s="4">
        <v>97.7</v>
      </c>
      <c r="D15" s="4">
        <v>79</v>
      </c>
      <c r="E15" s="4">
        <v>79.900000000000006</v>
      </c>
      <c r="F15" s="4">
        <v>82.8</v>
      </c>
      <c r="G15" s="4">
        <v>65.599999999999994</v>
      </c>
      <c r="H15" s="4">
        <v>110.8</v>
      </c>
      <c r="I15" s="4">
        <v>92.7</v>
      </c>
      <c r="J15" s="3">
        <v>83.9</v>
      </c>
      <c r="K15" s="4">
        <v>90.9</v>
      </c>
      <c r="L15" s="4">
        <v>82.8</v>
      </c>
      <c r="M15" s="4">
        <v>105</v>
      </c>
      <c r="N15" s="4">
        <v>67.8</v>
      </c>
      <c r="O15" s="3" t="e">
        <v>#N/A</v>
      </c>
      <c r="P15" s="4">
        <v>100.9</v>
      </c>
      <c r="Q15" s="4">
        <v>132</v>
      </c>
      <c r="R15" s="4">
        <v>206.3</v>
      </c>
      <c r="S15" s="4">
        <v>130.1</v>
      </c>
      <c r="T15" s="3">
        <v>79.5</v>
      </c>
      <c r="U15" s="3" t="e">
        <v>#N/A</v>
      </c>
      <c r="V15" s="4">
        <v>146.1</v>
      </c>
      <c r="W15" s="4">
        <v>119.2</v>
      </c>
      <c r="X15" s="4">
        <v>128.5</v>
      </c>
      <c r="Y15" s="3" t="e">
        <v>#N/A</v>
      </c>
      <c r="Z15" s="3" t="e">
        <v>#N/A</v>
      </c>
      <c r="AA15" s="4">
        <v>100.5</v>
      </c>
      <c r="AB15" s="4">
        <v>332.5</v>
      </c>
      <c r="AC15" s="4">
        <v>77.2</v>
      </c>
      <c r="AD15" s="4">
        <v>587.70000000000005</v>
      </c>
      <c r="AE15" s="4">
        <v>81.7</v>
      </c>
      <c r="AF15" s="4">
        <v>36.4</v>
      </c>
      <c r="AG15" s="4">
        <v>876.2</v>
      </c>
      <c r="AH15" s="4">
        <v>71.099999999999994</v>
      </c>
      <c r="AI15" s="4">
        <v>21</v>
      </c>
      <c r="AJ15" s="4">
        <v>44.9</v>
      </c>
      <c r="AK15" s="4">
        <v>22.8</v>
      </c>
      <c r="AL15" s="4">
        <v>46.5</v>
      </c>
      <c r="AM15" s="4">
        <v>20.3</v>
      </c>
      <c r="AN15" s="4">
        <v>26.3</v>
      </c>
      <c r="AO15" s="3" t="e">
        <v>#N/A</v>
      </c>
      <c r="AP15" s="4">
        <v>7.3</v>
      </c>
      <c r="AQ15" s="4">
        <v>54.6</v>
      </c>
      <c r="AR15" s="4">
        <v>8.4</v>
      </c>
      <c r="AS15" s="3">
        <v>23.6</v>
      </c>
      <c r="AT15" s="3">
        <v>3.4</v>
      </c>
      <c r="AU15" s="3" t="e">
        <v>#N/A</v>
      </c>
      <c r="AV15" s="4">
        <v>0.4</v>
      </c>
      <c r="AW15" s="4">
        <v>4.7</v>
      </c>
      <c r="AX15" s="4">
        <v>6.2</v>
      </c>
      <c r="AY15" s="3" t="e">
        <v>#N/A</v>
      </c>
      <c r="AZ15" s="3" t="e">
        <v>#N/A</v>
      </c>
      <c r="BA15" s="4">
        <v>15.7</v>
      </c>
      <c r="BB15" s="4">
        <v>108.4</v>
      </c>
      <c r="BC15" s="4">
        <v>106.1</v>
      </c>
      <c r="BD15" s="4">
        <v>73.3</v>
      </c>
      <c r="BE15" s="4">
        <v>103.8</v>
      </c>
      <c r="BF15" s="3" t="e">
        <v>#N/A</v>
      </c>
      <c r="BG15" s="4">
        <v>153.69999999999999</v>
      </c>
      <c r="BH15" s="4">
        <v>90.8</v>
      </c>
      <c r="BI15" s="4">
        <v>106</v>
      </c>
      <c r="BJ15" s="4">
        <v>66.099999999999994</v>
      </c>
      <c r="BK15" s="3" t="e">
        <v>#N/A</v>
      </c>
      <c r="BL15" s="3" t="e">
        <v>#N/A</v>
      </c>
      <c r="BM15" s="4">
        <v>91.1</v>
      </c>
      <c r="BN15" s="4">
        <v>104.4</v>
      </c>
      <c r="BO15" s="4">
        <v>82.8</v>
      </c>
      <c r="BP15" s="4">
        <v>86.6</v>
      </c>
      <c r="BQ15" s="4">
        <v>118.4</v>
      </c>
      <c r="BR15" s="4">
        <v>100.3</v>
      </c>
      <c r="BS15" s="4">
        <v>109</v>
      </c>
      <c r="BT15" s="4">
        <v>68.599999999999994</v>
      </c>
      <c r="BU15" s="3" t="e">
        <v>#N/A</v>
      </c>
      <c r="BV15" s="3" t="e">
        <v>#N/A</v>
      </c>
      <c r="BW15" s="3" t="e">
        <v>#N/A</v>
      </c>
      <c r="BX15" s="3" t="e">
        <v>#N/A</v>
      </c>
      <c r="BY15" s="4">
        <v>56.6</v>
      </c>
      <c r="BZ15" s="4">
        <v>92.3</v>
      </c>
      <c r="CA15" s="4">
        <v>84.9</v>
      </c>
      <c r="CB15" s="4">
        <v>50.9</v>
      </c>
      <c r="CC15" s="4">
        <v>101.6</v>
      </c>
      <c r="CD15" s="4">
        <v>159</v>
      </c>
      <c r="CE15" s="4">
        <v>134.69999999999999</v>
      </c>
      <c r="CF15" s="4">
        <v>34.1</v>
      </c>
      <c r="CG15" s="4">
        <v>84.9</v>
      </c>
      <c r="CH15" s="4">
        <v>61.1</v>
      </c>
      <c r="CI15" s="4">
        <v>7.3</v>
      </c>
      <c r="CJ15" s="3" t="e">
        <v>#N/A</v>
      </c>
      <c r="CK15" s="4">
        <v>58.6</v>
      </c>
      <c r="CL15" s="4">
        <v>19.399999999999999</v>
      </c>
      <c r="CM15" s="4">
        <v>20</v>
      </c>
      <c r="CN15" s="4">
        <v>1.9</v>
      </c>
      <c r="CO15" s="3" t="e">
        <v>#N/A</v>
      </c>
      <c r="CP15" s="3" t="e">
        <v>#N/A</v>
      </c>
      <c r="CQ15" s="4">
        <v>27.9</v>
      </c>
      <c r="CR15" s="4">
        <v>44</v>
      </c>
      <c r="CS15" s="4">
        <v>44.1</v>
      </c>
      <c r="CT15" s="4">
        <v>252.3</v>
      </c>
      <c r="CU15" s="3">
        <v>12.3</v>
      </c>
      <c r="CV15" s="4">
        <v>101.8</v>
      </c>
      <c r="CW15" s="4">
        <v>37.1</v>
      </c>
      <c r="CX15" s="4">
        <v>60.5</v>
      </c>
      <c r="CY15" s="3" t="e">
        <v>#N/A</v>
      </c>
      <c r="CZ15" s="3" t="e">
        <v>#N/A</v>
      </c>
      <c r="DA15" s="3" t="e">
        <v>#N/A</v>
      </c>
      <c r="DB15" s="3" t="e">
        <v>#N/A</v>
      </c>
      <c r="DC15" s="4">
        <v>29.1</v>
      </c>
      <c r="DD15" s="4">
        <v>85.7</v>
      </c>
      <c r="DE15" s="4">
        <v>20</v>
      </c>
      <c r="DF15" s="4">
        <v>11.7</v>
      </c>
      <c r="DG15" s="4">
        <v>193.5</v>
      </c>
      <c r="DH15" s="4">
        <v>33.799999999999997</v>
      </c>
      <c r="DI15" s="4">
        <v>23.5</v>
      </c>
      <c r="DJ15" s="4">
        <v>14.7</v>
      </c>
      <c r="DK15" s="4">
        <v>100</v>
      </c>
      <c r="DL15" s="4">
        <v>18</v>
      </c>
      <c r="DM15" s="4">
        <v>40.799999999999997</v>
      </c>
      <c r="DN15" s="4">
        <v>24.3</v>
      </c>
      <c r="DO15" s="4">
        <v>15.2</v>
      </c>
      <c r="DP15" s="4">
        <v>53.2</v>
      </c>
      <c r="DQ15" s="4">
        <v>8.6999999999999993</v>
      </c>
      <c r="DR15" s="4">
        <v>20</v>
      </c>
      <c r="DS15" s="4">
        <v>8</v>
      </c>
      <c r="DT15" s="4">
        <v>221.6</v>
      </c>
      <c r="DU15" s="4">
        <v>10.8</v>
      </c>
      <c r="DV15" s="4">
        <v>16.2</v>
      </c>
      <c r="DW15" s="4">
        <v>1.3</v>
      </c>
      <c r="DX15" s="4">
        <v>5</v>
      </c>
      <c r="DY15" s="4">
        <v>6.1</v>
      </c>
      <c r="DZ15" s="4">
        <v>1.4</v>
      </c>
      <c r="EA15" s="4">
        <v>43.4</v>
      </c>
      <c r="EB15" s="4">
        <v>4.0999999999999996</v>
      </c>
      <c r="EC15" s="4">
        <v>1.3</v>
      </c>
      <c r="ED15" s="4">
        <v>0.2</v>
      </c>
      <c r="EE15" s="4">
        <v>7.5</v>
      </c>
      <c r="EF15" s="4">
        <v>16.5</v>
      </c>
      <c r="EG15" s="3" t="e">
        <v>#N/A</v>
      </c>
      <c r="EH15" s="4">
        <v>4.0999999999999996</v>
      </c>
      <c r="EI15" s="4">
        <v>2</v>
      </c>
      <c r="EJ15" s="4">
        <v>18.5</v>
      </c>
      <c r="EK15" s="4">
        <v>14.8</v>
      </c>
      <c r="EL15" s="4">
        <v>46.9</v>
      </c>
      <c r="EM15" s="4">
        <v>1.5</v>
      </c>
      <c r="EN15" s="3" t="e">
        <v>#N/A</v>
      </c>
      <c r="EO15" s="4">
        <v>88.8</v>
      </c>
      <c r="EP15" s="4">
        <v>6.4</v>
      </c>
      <c r="EQ15" s="4">
        <v>22.5</v>
      </c>
      <c r="ER15" s="4">
        <v>10.199999999999999</v>
      </c>
      <c r="ES15" s="4">
        <v>30.2</v>
      </c>
      <c r="ET15" s="3" t="e">
        <v>#N/A</v>
      </c>
      <c r="EU15" s="3">
        <v>11.4</v>
      </c>
      <c r="EV15" s="3">
        <v>26.6</v>
      </c>
      <c r="EW15" s="3">
        <v>10.5</v>
      </c>
      <c r="EX15" s="3">
        <v>39.299999999999997</v>
      </c>
      <c r="EY15" s="3">
        <v>13.1</v>
      </c>
      <c r="EZ15" s="3">
        <v>33.299999999999997</v>
      </c>
      <c r="FA15" s="3">
        <v>10.4</v>
      </c>
      <c r="FB15" s="3">
        <v>9.1999999999999993</v>
      </c>
      <c r="FC15" s="3" t="e">
        <v>#N/A</v>
      </c>
      <c r="FD15" s="3">
        <v>5</v>
      </c>
      <c r="FE15" s="3" t="e">
        <v>#N/A</v>
      </c>
      <c r="FF15" s="3" t="e">
        <v>#N/A</v>
      </c>
      <c r="FG15" s="3">
        <v>7.8</v>
      </c>
      <c r="FH15" s="3">
        <v>14</v>
      </c>
      <c r="FI15" s="3">
        <v>0.3</v>
      </c>
      <c r="FJ15" s="3">
        <v>7.7</v>
      </c>
      <c r="FK15" s="3">
        <v>28.6</v>
      </c>
      <c r="FL15" s="3">
        <v>7.3</v>
      </c>
      <c r="FM15" s="3">
        <v>30.9</v>
      </c>
    </row>
    <row r="16" spans="1:169" x14ac:dyDescent="0.35">
      <c r="A16" s="2">
        <v>1885</v>
      </c>
      <c r="B16" s="4">
        <v>65.099999999999994</v>
      </c>
      <c r="C16" s="4">
        <v>92.4</v>
      </c>
      <c r="D16" s="4">
        <v>72.8</v>
      </c>
      <c r="E16" s="4">
        <v>64.5</v>
      </c>
      <c r="F16" s="4">
        <v>71.400000000000006</v>
      </c>
      <c r="G16" s="4">
        <v>55.9</v>
      </c>
      <c r="H16" s="4">
        <v>101.2</v>
      </c>
      <c r="I16" s="4">
        <v>85.1</v>
      </c>
      <c r="J16" s="3">
        <v>79.099999999999994</v>
      </c>
      <c r="K16" s="4">
        <v>90.3</v>
      </c>
      <c r="L16" s="4">
        <v>80.8</v>
      </c>
      <c r="M16" s="4">
        <v>94.7</v>
      </c>
      <c r="N16" s="4">
        <v>65</v>
      </c>
      <c r="O16" s="3" t="e">
        <v>#N/A</v>
      </c>
      <c r="P16" s="4">
        <v>93</v>
      </c>
      <c r="Q16" s="4">
        <v>127.9</v>
      </c>
      <c r="R16" s="4">
        <v>212.6</v>
      </c>
      <c r="S16" s="3">
        <v>126.9</v>
      </c>
      <c r="T16" s="3">
        <v>68.2</v>
      </c>
      <c r="U16" s="3" t="e">
        <v>#N/A</v>
      </c>
      <c r="V16" s="4">
        <v>125.8</v>
      </c>
      <c r="W16" s="4">
        <v>113</v>
      </c>
      <c r="X16" s="4">
        <v>116.9</v>
      </c>
      <c r="Y16" s="3" t="e">
        <v>#N/A</v>
      </c>
      <c r="Z16" s="3" t="e">
        <v>#N/A</v>
      </c>
      <c r="AA16" s="4">
        <v>89.4</v>
      </c>
      <c r="AB16" s="4">
        <v>375.6</v>
      </c>
      <c r="AC16" s="4">
        <v>67.7</v>
      </c>
      <c r="AD16" s="4">
        <v>668.3</v>
      </c>
      <c r="AE16" s="4">
        <v>99.9</v>
      </c>
      <c r="AF16" s="4">
        <v>45.8</v>
      </c>
      <c r="AG16" s="4">
        <v>762.8</v>
      </c>
      <c r="AH16" s="4">
        <v>72.599999999999994</v>
      </c>
      <c r="AI16" s="4">
        <v>24.1</v>
      </c>
      <c r="AJ16" s="4">
        <v>63.5</v>
      </c>
      <c r="AK16" s="4">
        <v>22.9</v>
      </c>
      <c r="AL16" s="4">
        <v>39.700000000000003</v>
      </c>
      <c r="AM16" s="4">
        <v>26.6</v>
      </c>
      <c r="AN16" s="4">
        <v>25.6</v>
      </c>
      <c r="AO16" s="3" t="e">
        <v>#N/A</v>
      </c>
      <c r="AP16" s="4">
        <v>6.6</v>
      </c>
      <c r="AQ16" s="4">
        <v>55.8</v>
      </c>
      <c r="AR16" s="4">
        <v>10.7</v>
      </c>
      <c r="AS16" s="4">
        <v>24.4</v>
      </c>
      <c r="AT16" s="4">
        <v>4</v>
      </c>
      <c r="AU16" s="3" t="e">
        <v>#N/A</v>
      </c>
      <c r="AV16" s="4">
        <v>0.5</v>
      </c>
      <c r="AW16" s="4">
        <v>4.3</v>
      </c>
      <c r="AX16" s="4">
        <v>5.0999999999999996</v>
      </c>
      <c r="AY16" s="3" t="e">
        <v>#N/A</v>
      </c>
      <c r="AZ16" s="3" t="e">
        <v>#N/A</v>
      </c>
      <c r="BA16" s="4">
        <v>15.4</v>
      </c>
      <c r="BB16" s="4">
        <v>109.9</v>
      </c>
      <c r="BC16" s="4">
        <v>106.9</v>
      </c>
      <c r="BD16" s="4">
        <v>63.9</v>
      </c>
      <c r="BE16" s="4">
        <v>108.1</v>
      </c>
      <c r="BF16" s="3" t="e">
        <v>#N/A</v>
      </c>
      <c r="BG16" s="3">
        <v>135.5</v>
      </c>
      <c r="BH16" s="4">
        <v>90.5</v>
      </c>
      <c r="BI16" s="4">
        <v>102.2</v>
      </c>
      <c r="BJ16" s="4">
        <v>58.6</v>
      </c>
      <c r="BK16" s="3" t="e">
        <v>#N/A</v>
      </c>
      <c r="BL16" s="3" t="e">
        <v>#N/A</v>
      </c>
      <c r="BM16" s="4">
        <v>81.5</v>
      </c>
      <c r="BN16" s="4">
        <v>97.1</v>
      </c>
      <c r="BO16" s="4">
        <v>75.400000000000006</v>
      </c>
      <c r="BP16" s="4">
        <v>83.3</v>
      </c>
      <c r="BQ16" s="4">
        <v>111.1</v>
      </c>
      <c r="BR16" s="4">
        <v>94.7</v>
      </c>
      <c r="BS16" s="4">
        <v>103</v>
      </c>
      <c r="BT16" s="4">
        <v>64.5</v>
      </c>
      <c r="BU16" s="3" t="e">
        <v>#N/A</v>
      </c>
      <c r="BV16" s="3" t="e">
        <v>#N/A</v>
      </c>
      <c r="BW16" s="3" t="e">
        <v>#N/A</v>
      </c>
      <c r="BX16" s="3" t="e">
        <v>#N/A</v>
      </c>
      <c r="BY16" s="4">
        <v>46.5</v>
      </c>
      <c r="BZ16" s="4">
        <v>84.7</v>
      </c>
      <c r="CA16" s="4">
        <v>86.8</v>
      </c>
      <c r="CB16" s="4">
        <v>52.1</v>
      </c>
      <c r="CC16" s="4">
        <v>92.7</v>
      </c>
      <c r="CD16" s="4">
        <v>153.5</v>
      </c>
      <c r="CE16" s="4">
        <v>119.5</v>
      </c>
      <c r="CF16" s="4">
        <v>32.200000000000003</v>
      </c>
      <c r="CG16" s="4">
        <v>83.3</v>
      </c>
      <c r="CH16" s="4">
        <v>66.400000000000006</v>
      </c>
      <c r="CI16" s="4">
        <v>6.8</v>
      </c>
      <c r="CJ16" s="3" t="e">
        <v>#N/A</v>
      </c>
      <c r="CK16" s="4">
        <v>61.1</v>
      </c>
      <c r="CL16" s="4">
        <v>25.9</v>
      </c>
      <c r="CM16" s="4">
        <v>20.8</v>
      </c>
      <c r="CN16" s="4">
        <v>2.1</v>
      </c>
      <c r="CO16" s="3" t="e">
        <v>#N/A</v>
      </c>
      <c r="CP16" s="3" t="e">
        <v>#N/A</v>
      </c>
      <c r="CQ16" s="4">
        <v>31</v>
      </c>
      <c r="CR16" s="4">
        <v>44</v>
      </c>
      <c r="CS16" s="4">
        <v>59.6</v>
      </c>
      <c r="CT16" s="4">
        <v>237.1</v>
      </c>
      <c r="CU16" s="4">
        <v>14.2</v>
      </c>
      <c r="CV16" s="3">
        <v>82.4</v>
      </c>
      <c r="CW16" s="4">
        <v>32.4</v>
      </c>
      <c r="CX16" s="4">
        <v>54.8</v>
      </c>
      <c r="CY16" s="3" t="e">
        <v>#N/A</v>
      </c>
      <c r="CZ16" s="3" t="e">
        <v>#N/A</v>
      </c>
      <c r="DA16" s="3" t="e">
        <v>#N/A</v>
      </c>
      <c r="DB16" s="3" t="e">
        <v>#N/A</v>
      </c>
      <c r="DC16" s="4">
        <v>36</v>
      </c>
      <c r="DD16" s="4">
        <v>82.3</v>
      </c>
      <c r="DE16" s="3">
        <v>22.2</v>
      </c>
      <c r="DF16" s="4">
        <v>11.4</v>
      </c>
      <c r="DG16" s="4">
        <v>184.8</v>
      </c>
      <c r="DH16" s="4">
        <v>25.2</v>
      </c>
      <c r="DI16" s="4">
        <v>24.4</v>
      </c>
      <c r="DJ16" s="4">
        <v>14.3</v>
      </c>
      <c r="DK16" s="4">
        <v>83.1</v>
      </c>
      <c r="DL16" s="4">
        <v>18.8</v>
      </c>
      <c r="DM16" s="4">
        <v>40.299999999999997</v>
      </c>
      <c r="DN16" s="4">
        <v>26.3</v>
      </c>
      <c r="DO16" s="4">
        <v>11.3</v>
      </c>
      <c r="DP16" s="4">
        <v>49.6</v>
      </c>
      <c r="DQ16" s="4">
        <v>9.1</v>
      </c>
      <c r="DR16" s="4">
        <v>26.6</v>
      </c>
      <c r="DS16" s="4">
        <v>8</v>
      </c>
      <c r="DT16" s="4">
        <v>184.4</v>
      </c>
      <c r="DU16" s="4">
        <v>12.7</v>
      </c>
      <c r="DV16" s="4">
        <v>15.1</v>
      </c>
      <c r="DW16" s="4">
        <v>1.5</v>
      </c>
      <c r="DX16" s="4">
        <v>4.0999999999999996</v>
      </c>
      <c r="DY16" s="4">
        <v>6</v>
      </c>
      <c r="DZ16" s="4">
        <v>1.9</v>
      </c>
      <c r="EA16" s="3">
        <v>43.6</v>
      </c>
      <c r="EB16" s="4">
        <v>4.0999999999999996</v>
      </c>
      <c r="EC16" s="4">
        <v>1.2</v>
      </c>
      <c r="ED16" s="4">
        <v>0.2</v>
      </c>
      <c r="EE16" s="4">
        <v>6.6</v>
      </c>
      <c r="EF16" s="4">
        <v>12.5</v>
      </c>
      <c r="EG16" s="3" t="e">
        <v>#N/A</v>
      </c>
      <c r="EH16" s="4">
        <v>4</v>
      </c>
      <c r="EI16" s="4">
        <v>1.8</v>
      </c>
      <c r="EJ16" s="4">
        <v>17.7</v>
      </c>
      <c r="EK16" s="4">
        <v>14.6</v>
      </c>
      <c r="EL16" s="4">
        <v>44.4</v>
      </c>
      <c r="EM16" s="4">
        <v>1.4</v>
      </c>
      <c r="EN16" s="3" t="e">
        <v>#N/A</v>
      </c>
      <c r="EO16" s="4">
        <v>81.7</v>
      </c>
      <c r="EP16" s="4">
        <v>8.5</v>
      </c>
      <c r="EQ16" s="3">
        <v>22.6</v>
      </c>
      <c r="ER16" s="4">
        <v>9.6999999999999993</v>
      </c>
      <c r="ES16" s="4">
        <v>27.9</v>
      </c>
      <c r="ET16" s="3" t="e">
        <v>#N/A</v>
      </c>
      <c r="EU16" s="3">
        <v>11.4</v>
      </c>
      <c r="EV16" s="3">
        <v>24.7</v>
      </c>
      <c r="EW16" s="3">
        <v>12.9</v>
      </c>
      <c r="EX16" s="3">
        <v>35.6</v>
      </c>
      <c r="EY16" s="3">
        <v>14.1</v>
      </c>
      <c r="EZ16" s="3">
        <v>25.5</v>
      </c>
      <c r="FA16" s="3">
        <v>8.6</v>
      </c>
      <c r="FB16" s="3">
        <v>7.8</v>
      </c>
      <c r="FC16" s="3" t="e">
        <v>#N/A</v>
      </c>
      <c r="FD16" s="3">
        <v>4.8</v>
      </c>
      <c r="FE16" s="3" t="e">
        <v>#N/A</v>
      </c>
      <c r="FF16" s="3" t="e">
        <v>#N/A</v>
      </c>
      <c r="FG16" s="3">
        <v>7.9</v>
      </c>
      <c r="FH16" s="3">
        <v>12.3</v>
      </c>
      <c r="FI16" s="3">
        <v>0.4</v>
      </c>
      <c r="FJ16" s="3">
        <v>7.7</v>
      </c>
      <c r="FK16" s="3">
        <v>24.9</v>
      </c>
      <c r="FL16" s="3">
        <v>5.2</v>
      </c>
      <c r="FM16" s="3">
        <v>28.5</v>
      </c>
    </row>
    <row r="17" spans="1:169" x14ac:dyDescent="0.35">
      <c r="A17" s="2">
        <v>1886</v>
      </c>
      <c r="B17" s="4">
        <v>64.5</v>
      </c>
      <c r="C17" s="4">
        <v>86.4</v>
      </c>
      <c r="D17" s="4">
        <v>68.400000000000006</v>
      </c>
      <c r="E17" s="4">
        <v>59.5</v>
      </c>
      <c r="F17" s="4">
        <v>64.400000000000006</v>
      </c>
      <c r="G17" s="4">
        <v>57.4</v>
      </c>
      <c r="H17" s="4">
        <v>95.9</v>
      </c>
      <c r="I17" s="4">
        <v>77.7</v>
      </c>
      <c r="J17" s="3">
        <v>77.2</v>
      </c>
      <c r="K17" s="3">
        <v>83.3</v>
      </c>
      <c r="L17" s="4">
        <v>74.7</v>
      </c>
      <c r="M17" s="4">
        <v>92.4</v>
      </c>
      <c r="N17" s="4">
        <v>64</v>
      </c>
      <c r="O17" s="3" t="e">
        <v>#N/A</v>
      </c>
      <c r="P17" s="4">
        <v>90.9</v>
      </c>
      <c r="Q17" s="4">
        <v>114.4</v>
      </c>
      <c r="R17" s="4">
        <v>193.9</v>
      </c>
      <c r="S17" s="4">
        <v>116.2</v>
      </c>
      <c r="T17" s="4">
        <v>64.599999999999994</v>
      </c>
      <c r="U17" s="3" t="e">
        <v>#N/A</v>
      </c>
      <c r="V17" s="4">
        <v>117.8</v>
      </c>
      <c r="W17" s="4">
        <v>103.1</v>
      </c>
      <c r="X17" s="4">
        <v>113.3</v>
      </c>
      <c r="Y17" s="3" t="e">
        <v>#N/A</v>
      </c>
      <c r="Z17" s="3" t="e">
        <v>#N/A</v>
      </c>
      <c r="AA17" s="4">
        <v>87.4</v>
      </c>
      <c r="AB17" s="4">
        <v>303.2</v>
      </c>
      <c r="AC17" s="4">
        <v>91.1</v>
      </c>
      <c r="AD17" s="4">
        <v>529.4</v>
      </c>
      <c r="AE17" s="4">
        <v>103.5</v>
      </c>
      <c r="AF17" s="4">
        <v>50.6</v>
      </c>
      <c r="AG17" s="4">
        <v>660.7</v>
      </c>
      <c r="AH17" s="4">
        <v>73</v>
      </c>
      <c r="AI17" s="4">
        <v>27.8</v>
      </c>
      <c r="AJ17" s="4">
        <v>69.400000000000006</v>
      </c>
      <c r="AK17" s="4">
        <v>24.5</v>
      </c>
      <c r="AL17" s="4">
        <v>50.1</v>
      </c>
      <c r="AM17" s="4">
        <v>31.9</v>
      </c>
      <c r="AN17" s="4">
        <v>23</v>
      </c>
      <c r="AO17" s="3" t="e">
        <v>#N/A</v>
      </c>
      <c r="AP17" s="4">
        <v>6.8</v>
      </c>
      <c r="AQ17" s="4">
        <v>52.3</v>
      </c>
      <c r="AR17" s="4">
        <v>11.6</v>
      </c>
      <c r="AS17" s="4">
        <v>26.3</v>
      </c>
      <c r="AT17" s="4">
        <v>2.2999999999999998</v>
      </c>
      <c r="AU17" s="3" t="e">
        <v>#N/A</v>
      </c>
      <c r="AV17" s="4">
        <v>0.7</v>
      </c>
      <c r="AW17" s="4">
        <v>4.8</v>
      </c>
      <c r="AX17" s="4">
        <v>5</v>
      </c>
      <c r="AY17" s="3" t="e">
        <v>#N/A</v>
      </c>
      <c r="AZ17" s="3" t="e">
        <v>#N/A</v>
      </c>
      <c r="BA17" s="4">
        <v>17.600000000000001</v>
      </c>
      <c r="BB17" s="4">
        <v>99.7</v>
      </c>
      <c r="BC17" s="4">
        <v>101.7</v>
      </c>
      <c r="BD17" s="4">
        <v>65.2</v>
      </c>
      <c r="BE17" s="4">
        <v>106.9</v>
      </c>
      <c r="BF17" s="3" t="e">
        <v>#N/A</v>
      </c>
      <c r="BG17" s="4">
        <v>139.5</v>
      </c>
      <c r="BH17" s="4">
        <v>89.4</v>
      </c>
      <c r="BI17" s="4">
        <v>94.9</v>
      </c>
      <c r="BJ17" s="4">
        <v>69.900000000000006</v>
      </c>
      <c r="BK17" s="3" t="e">
        <v>#N/A</v>
      </c>
      <c r="BL17" s="3" t="e">
        <v>#N/A</v>
      </c>
      <c r="BM17" s="4">
        <v>78.400000000000006</v>
      </c>
      <c r="BN17" s="4">
        <v>91.9</v>
      </c>
      <c r="BO17" s="4">
        <v>72.400000000000006</v>
      </c>
      <c r="BP17" s="4">
        <v>81</v>
      </c>
      <c r="BQ17" s="4">
        <v>120.6</v>
      </c>
      <c r="BR17" s="3">
        <v>94.8</v>
      </c>
      <c r="BS17" s="4">
        <v>90.5</v>
      </c>
      <c r="BT17" s="4">
        <v>66.7</v>
      </c>
      <c r="BU17" s="3" t="e">
        <v>#N/A</v>
      </c>
      <c r="BV17" s="3" t="e">
        <v>#N/A</v>
      </c>
      <c r="BW17" s="3" t="e">
        <v>#N/A</v>
      </c>
      <c r="BX17" s="3" t="e">
        <v>#N/A</v>
      </c>
      <c r="BY17" s="4">
        <v>50.8</v>
      </c>
      <c r="BZ17" s="4">
        <v>79.7</v>
      </c>
      <c r="CA17" s="4">
        <v>101.1</v>
      </c>
      <c r="CB17" s="4">
        <v>60.6</v>
      </c>
      <c r="CC17" s="4">
        <v>87.1</v>
      </c>
      <c r="CD17" s="4">
        <v>143.6</v>
      </c>
      <c r="CE17" s="4">
        <v>119.2</v>
      </c>
      <c r="CF17" s="4">
        <v>34.9</v>
      </c>
      <c r="CG17" s="4">
        <v>95.1</v>
      </c>
      <c r="CH17" s="4">
        <v>64.599999999999994</v>
      </c>
      <c r="CI17" s="4">
        <v>8.9</v>
      </c>
      <c r="CJ17" s="3" t="e">
        <v>#N/A</v>
      </c>
      <c r="CK17" s="4">
        <v>64.7</v>
      </c>
      <c r="CL17" s="4">
        <v>23.8</v>
      </c>
      <c r="CM17" s="4">
        <v>26.6</v>
      </c>
      <c r="CN17" s="4">
        <v>2.6</v>
      </c>
      <c r="CO17" s="3" t="e">
        <v>#N/A</v>
      </c>
      <c r="CP17" s="3" t="e">
        <v>#N/A</v>
      </c>
      <c r="CQ17" s="4">
        <v>30.5</v>
      </c>
      <c r="CR17" s="4">
        <v>51.2</v>
      </c>
      <c r="CS17" s="4">
        <v>83.5</v>
      </c>
      <c r="CT17" s="4">
        <v>290.8</v>
      </c>
      <c r="CU17" s="4">
        <v>17.399999999999999</v>
      </c>
      <c r="CV17" s="4">
        <v>96.4</v>
      </c>
      <c r="CW17" s="4">
        <v>34.9</v>
      </c>
      <c r="CX17" s="4">
        <v>57</v>
      </c>
      <c r="CY17" s="3" t="e">
        <v>#N/A</v>
      </c>
      <c r="CZ17" s="3" t="e">
        <v>#N/A</v>
      </c>
      <c r="DA17" s="3" t="e">
        <v>#N/A</v>
      </c>
      <c r="DB17" s="3" t="e">
        <v>#N/A</v>
      </c>
      <c r="DC17" s="4">
        <v>43.6</v>
      </c>
      <c r="DD17" s="4">
        <v>96.7</v>
      </c>
      <c r="DE17" s="4">
        <v>18.600000000000001</v>
      </c>
      <c r="DF17" s="4">
        <v>14.5</v>
      </c>
      <c r="DG17" s="4">
        <v>262.10000000000002</v>
      </c>
      <c r="DH17" s="4">
        <v>34.4</v>
      </c>
      <c r="DI17" s="4">
        <v>26.3</v>
      </c>
      <c r="DJ17" s="4">
        <v>11.5</v>
      </c>
      <c r="DK17" s="4">
        <v>104.4</v>
      </c>
      <c r="DL17" s="4">
        <v>14</v>
      </c>
      <c r="DM17" s="4">
        <v>38.5</v>
      </c>
      <c r="DN17" s="4">
        <v>26.2</v>
      </c>
      <c r="DO17" s="4">
        <v>10</v>
      </c>
      <c r="DP17" s="4">
        <v>47.3</v>
      </c>
      <c r="DQ17" s="4">
        <v>9.6</v>
      </c>
      <c r="DR17" s="4">
        <v>28.3</v>
      </c>
      <c r="DS17" s="4">
        <v>7.8</v>
      </c>
      <c r="DT17" s="4">
        <v>215.4</v>
      </c>
      <c r="DU17" s="4">
        <v>14.9</v>
      </c>
      <c r="DV17" s="4">
        <v>13.4</v>
      </c>
      <c r="DW17" s="4">
        <v>1.5</v>
      </c>
      <c r="DX17" s="4">
        <v>4.2</v>
      </c>
      <c r="DY17" s="4">
        <v>5.0999999999999996</v>
      </c>
      <c r="DZ17" s="4">
        <v>1.8</v>
      </c>
      <c r="EA17" s="4">
        <v>43.1</v>
      </c>
      <c r="EB17" s="4">
        <v>2.2999999999999998</v>
      </c>
      <c r="EC17" s="4">
        <v>1</v>
      </c>
      <c r="ED17" s="4">
        <v>0.3</v>
      </c>
      <c r="EE17" s="4">
        <v>6.6</v>
      </c>
      <c r="EF17" s="4">
        <v>11.8</v>
      </c>
      <c r="EG17" s="3" t="e">
        <v>#N/A</v>
      </c>
      <c r="EH17" s="4">
        <v>4.5999999999999996</v>
      </c>
      <c r="EI17" s="4">
        <v>2</v>
      </c>
      <c r="EJ17" s="4">
        <v>17.399999999999999</v>
      </c>
      <c r="EK17" s="4">
        <v>15.9</v>
      </c>
      <c r="EL17" s="4">
        <v>44.1</v>
      </c>
      <c r="EM17" s="4">
        <v>1.9</v>
      </c>
      <c r="EN17" s="3" t="e">
        <v>#N/A</v>
      </c>
      <c r="EO17" s="3">
        <v>89</v>
      </c>
      <c r="EP17" s="4">
        <v>7.7</v>
      </c>
      <c r="EQ17" s="4">
        <v>26.7</v>
      </c>
      <c r="ER17" s="4">
        <v>14.2</v>
      </c>
      <c r="ES17" s="4">
        <v>30.7</v>
      </c>
      <c r="ET17" s="3" t="e">
        <v>#N/A</v>
      </c>
      <c r="EU17" s="3">
        <v>10.8</v>
      </c>
      <c r="EV17" s="3">
        <v>27.3</v>
      </c>
      <c r="EW17" s="3">
        <v>17.399999999999999</v>
      </c>
      <c r="EX17" s="3">
        <v>42.4</v>
      </c>
      <c r="EY17" s="3">
        <v>18.899999999999999</v>
      </c>
      <c r="EZ17" s="3">
        <v>29.8</v>
      </c>
      <c r="FA17" s="3">
        <v>8.1</v>
      </c>
      <c r="FB17" s="3">
        <v>8.4</v>
      </c>
      <c r="FC17" s="3" t="e">
        <v>#N/A</v>
      </c>
      <c r="FD17" s="3">
        <v>5.5</v>
      </c>
      <c r="FE17" s="3" t="e">
        <v>#N/A</v>
      </c>
      <c r="FF17" s="3" t="e">
        <v>#N/A</v>
      </c>
      <c r="FG17" s="3">
        <v>10.5</v>
      </c>
      <c r="FH17" s="3">
        <v>13.6</v>
      </c>
      <c r="FI17" s="3">
        <v>0.3</v>
      </c>
      <c r="FJ17" s="3">
        <v>11.3</v>
      </c>
      <c r="FK17" s="3">
        <v>33.200000000000003</v>
      </c>
      <c r="FL17" s="3">
        <v>6.7</v>
      </c>
      <c r="FM17" s="3">
        <v>30.6</v>
      </c>
    </row>
    <row r="18" spans="1:169" x14ac:dyDescent="0.35">
      <c r="A18" s="2">
        <v>1887</v>
      </c>
      <c r="B18" s="4">
        <v>57.9</v>
      </c>
      <c r="C18" s="4">
        <v>89.8</v>
      </c>
      <c r="D18" s="4">
        <v>62.3</v>
      </c>
      <c r="E18" s="4">
        <v>66.099999999999994</v>
      </c>
      <c r="F18" s="4">
        <v>68.7</v>
      </c>
      <c r="G18" s="4">
        <v>66.599999999999994</v>
      </c>
      <c r="H18" s="4">
        <v>96.7</v>
      </c>
      <c r="I18" s="4">
        <v>80.599999999999994</v>
      </c>
      <c r="J18" s="3">
        <v>69.2</v>
      </c>
      <c r="K18" s="4">
        <v>83.5</v>
      </c>
      <c r="L18" s="4">
        <v>75.099999999999994</v>
      </c>
      <c r="M18" s="4">
        <v>94.1</v>
      </c>
      <c r="N18" s="4">
        <v>69.099999999999994</v>
      </c>
      <c r="O18" s="3" t="e">
        <v>#N/A</v>
      </c>
      <c r="P18" s="4">
        <v>95.1</v>
      </c>
      <c r="Q18" s="4">
        <v>109.9</v>
      </c>
      <c r="R18" s="4">
        <v>178.4</v>
      </c>
      <c r="S18" s="3">
        <v>109.8</v>
      </c>
      <c r="T18" s="4">
        <v>65</v>
      </c>
      <c r="U18" s="3" t="e">
        <v>#N/A</v>
      </c>
      <c r="V18" s="4">
        <v>125.1</v>
      </c>
      <c r="W18" s="4">
        <v>102</v>
      </c>
      <c r="X18" s="4">
        <v>111.5</v>
      </c>
      <c r="Y18" s="3" t="e">
        <v>#N/A</v>
      </c>
      <c r="Z18" s="3" t="e">
        <v>#N/A</v>
      </c>
      <c r="AA18" s="4">
        <v>87.5</v>
      </c>
      <c r="AB18" s="4">
        <v>277.89999999999998</v>
      </c>
      <c r="AC18" s="4">
        <v>86.7</v>
      </c>
      <c r="AD18" s="4">
        <v>522.70000000000005</v>
      </c>
      <c r="AE18" s="4">
        <v>95.8</v>
      </c>
      <c r="AF18" s="3">
        <v>47.7</v>
      </c>
      <c r="AG18" s="3">
        <v>636.1</v>
      </c>
      <c r="AH18" s="3">
        <v>88.6</v>
      </c>
      <c r="AI18" s="4">
        <v>23</v>
      </c>
      <c r="AJ18" s="4">
        <v>57.2</v>
      </c>
      <c r="AK18" s="4">
        <v>28.6</v>
      </c>
      <c r="AL18" s="4">
        <v>50</v>
      </c>
      <c r="AM18" s="3">
        <v>28.7</v>
      </c>
      <c r="AN18" s="4">
        <v>23.3</v>
      </c>
      <c r="AO18" s="3" t="e">
        <v>#N/A</v>
      </c>
      <c r="AP18" s="4">
        <v>8.5</v>
      </c>
      <c r="AQ18" s="4">
        <v>55.3</v>
      </c>
      <c r="AR18" s="4">
        <v>14</v>
      </c>
      <c r="AS18" s="4">
        <v>27</v>
      </c>
      <c r="AT18" s="4">
        <v>1.7</v>
      </c>
      <c r="AU18" s="3" t="e">
        <v>#N/A</v>
      </c>
      <c r="AV18" s="4">
        <v>0.5</v>
      </c>
      <c r="AW18" s="4">
        <v>5.3</v>
      </c>
      <c r="AX18" s="4">
        <v>5.7</v>
      </c>
      <c r="AY18" s="3" t="e">
        <v>#N/A</v>
      </c>
      <c r="AZ18" s="3" t="e">
        <v>#N/A</v>
      </c>
      <c r="BA18" s="4">
        <v>18.899999999999999</v>
      </c>
      <c r="BB18" s="4">
        <v>108.4</v>
      </c>
      <c r="BC18" s="4">
        <v>94.3</v>
      </c>
      <c r="BD18" s="4">
        <v>113.9</v>
      </c>
      <c r="BE18" s="4">
        <v>109</v>
      </c>
      <c r="BF18" s="3" t="e">
        <v>#N/A</v>
      </c>
      <c r="BG18" s="3">
        <v>123.4</v>
      </c>
      <c r="BH18" s="4">
        <v>93.6</v>
      </c>
      <c r="BI18" s="4">
        <v>84.9</v>
      </c>
      <c r="BJ18" s="4">
        <v>71.099999999999994</v>
      </c>
      <c r="BK18" s="3" t="e">
        <v>#N/A</v>
      </c>
      <c r="BL18" s="3" t="e">
        <v>#N/A</v>
      </c>
      <c r="BM18" s="4">
        <v>93.6</v>
      </c>
      <c r="BN18" s="4">
        <v>93.8</v>
      </c>
      <c r="BO18" s="4">
        <v>85.5</v>
      </c>
      <c r="BP18" s="4">
        <v>83.4</v>
      </c>
      <c r="BQ18" s="3">
        <v>122.7</v>
      </c>
      <c r="BR18" s="3">
        <v>93.6</v>
      </c>
      <c r="BS18" s="3">
        <v>83.7</v>
      </c>
      <c r="BT18" s="4">
        <v>67.2</v>
      </c>
      <c r="BU18" s="3" t="e">
        <v>#N/A</v>
      </c>
      <c r="BV18" s="3" t="e">
        <v>#N/A</v>
      </c>
      <c r="BW18" s="3" t="e">
        <v>#N/A</v>
      </c>
      <c r="BX18" s="3" t="e">
        <v>#N/A</v>
      </c>
      <c r="BY18" s="4">
        <v>53.8</v>
      </c>
      <c r="BZ18" s="4">
        <v>76.400000000000006</v>
      </c>
      <c r="CA18" s="4">
        <v>103.8</v>
      </c>
      <c r="CB18" s="3">
        <v>62.3</v>
      </c>
      <c r="CC18" s="4">
        <v>85.3</v>
      </c>
      <c r="CD18" s="4">
        <v>133</v>
      </c>
      <c r="CE18" s="4">
        <v>115.6</v>
      </c>
      <c r="CF18" s="4">
        <v>39.5</v>
      </c>
      <c r="CG18" s="4">
        <v>94.6</v>
      </c>
      <c r="CH18" s="4">
        <v>51.9</v>
      </c>
      <c r="CI18" s="4">
        <v>8.4</v>
      </c>
      <c r="CJ18" s="3" t="e">
        <v>#N/A</v>
      </c>
      <c r="CK18" s="4">
        <v>62.5</v>
      </c>
      <c r="CL18" s="4">
        <v>31.8</v>
      </c>
      <c r="CM18" s="4">
        <v>26.4</v>
      </c>
      <c r="CN18" s="4">
        <v>2.6</v>
      </c>
      <c r="CO18" s="3" t="e">
        <v>#N/A</v>
      </c>
      <c r="CP18" s="3" t="e">
        <v>#N/A</v>
      </c>
      <c r="CQ18" s="4">
        <v>32.799999999999997</v>
      </c>
      <c r="CR18" s="4">
        <v>51.6</v>
      </c>
      <c r="CS18" s="4">
        <v>63.6</v>
      </c>
      <c r="CT18" s="4">
        <v>288</v>
      </c>
      <c r="CU18" s="4">
        <v>17.5</v>
      </c>
      <c r="CV18" s="4">
        <v>108.1</v>
      </c>
      <c r="CW18" s="4">
        <v>42.5</v>
      </c>
      <c r="CX18" s="4">
        <v>63.6</v>
      </c>
      <c r="CY18" s="3" t="e">
        <v>#N/A</v>
      </c>
      <c r="CZ18" s="3" t="e">
        <v>#N/A</v>
      </c>
      <c r="DA18" s="3" t="e">
        <v>#N/A</v>
      </c>
      <c r="DB18" s="3" t="e">
        <v>#N/A</v>
      </c>
      <c r="DC18" s="4">
        <v>46.9</v>
      </c>
      <c r="DD18" s="4">
        <v>111.9</v>
      </c>
      <c r="DE18" s="4">
        <v>10.4</v>
      </c>
      <c r="DF18" s="4">
        <v>14.3</v>
      </c>
      <c r="DG18" s="4">
        <v>355.9</v>
      </c>
      <c r="DH18" s="4">
        <v>56.8</v>
      </c>
      <c r="DI18" s="4">
        <v>28</v>
      </c>
      <c r="DJ18" s="4">
        <v>9.4</v>
      </c>
      <c r="DK18" s="4">
        <v>103.4</v>
      </c>
      <c r="DL18" s="4">
        <v>12.6</v>
      </c>
      <c r="DM18" s="4">
        <v>39.5</v>
      </c>
      <c r="DN18" s="4">
        <v>26.4</v>
      </c>
      <c r="DO18" s="4">
        <v>11.2</v>
      </c>
      <c r="DP18" s="3">
        <v>57.9</v>
      </c>
      <c r="DQ18" s="4">
        <v>8.3000000000000007</v>
      </c>
      <c r="DR18" s="4">
        <v>20.9</v>
      </c>
      <c r="DS18" s="4">
        <v>9.1999999999999993</v>
      </c>
      <c r="DT18" s="4">
        <v>216</v>
      </c>
      <c r="DU18" s="4">
        <v>13.7</v>
      </c>
      <c r="DV18" s="4">
        <v>14.7</v>
      </c>
      <c r="DW18" s="4">
        <v>1.5</v>
      </c>
      <c r="DX18" s="4">
        <v>5.5</v>
      </c>
      <c r="DY18" s="4">
        <v>5.0999999999999996</v>
      </c>
      <c r="DZ18" s="4">
        <v>2</v>
      </c>
      <c r="EA18" s="4">
        <v>41.8</v>
      </c>
      <c r="EB18" s="4">
        <v>1.7</v>
      </c>
      <c r="EC18" s="4">
        <v>1.3</v>
      </c>
      <c r="ED18" s="4">
        <v>0.2</v>
      </c>
      <c r="EE18" s="4">
        <v>7.3</v>
      </c>
      <c r="EF18" s="4">
        <v>13.2</v>
      </c>
      <c r="EG18" s="3" t="e">
        <v>#N/A</v>
      </c>
      <c r="EH18" s="4">
        <v>5</v>
      </c>
      <c r="EI18" s="4">
        <v>2.1</v>
      </c>
      <c r="EJ18" s="4">
        <v>21.4</v>
      </c>
      <c r="EK18" s="4">
        <v>14.6</v>
      </c>
      <c r="EL18" s="4">
        <v>61.9</v>
      </c>
      <c r="EM18" s="4">
        <v>1.8</v>
      </c>
      <c r="EN18" s="3" t="e">
        <v>#N/A</v>
      </c>
      <c r="EO18" s="4">
        <v>76</v>
      </c>
      <c r="EP18" s="4">
        <v>10.8</v>
      </c>
      <c r="EQ18" s="4">
        <v>23.7</v>
      </c>
      <c r="ER18" s="4">
        <v>14.4</v>
      </c>
      <c r="ES18" s="4">
        <v>30.2</v>
      </c>
      <c r="ET18" s="3" t="e">
        <v>#N/A</v>
      </c>
      <c r="EU18" s="3">
        <v>13.8</v>
      </c>
      <c r="EV18" s="3">
        <v>28.1</v>
      </c>
      <c r="EW18" s="3">
        <v>15.6</v>
      </c>
      <c r="EX18" s="3">
        <v>43.2</v>
      </c>
      <c r="EY18" s="3">
        <v>19.3</v>
      </c>
      <c r="EZ18" s="3">
        <v>33</v>
      </c>
      <c r="FA18" s="3">
        <v>9.1999999999999993</v>
      </c>
      <c r="FB18" s="3">
        <v>9.5</v>
      </c>
      <c r="FC18" s="3" t="e">
        <v>#N/A</v>
      </c>
      <c r="FD18" s="3">
        <v>6.3</v>
      </c>
      <c r="FE18" s="3" t="e">
        <v>#N/A</v>
      </c>
      <c r="FF18" s="3" t="e">
        <v>#N/A</v>
      </c>
      <c r="FG18" s="3">
        <v>12</v>
      </c>
      <c r="FH18" s="3">
        <v>15.1</v>
      </c>
      <c r="FI18" s="3">
        <v>0.2</v>
      </c>
      <c r="FJ18" s="3">
        <v>11.5</v>
      </c>
      <c r="FK18" s="3">
        <v>44.2</v>
      </c>
      <c r="FL18" s="3">
        <v>10.199999999999999</v>
      </c>
      <c r="FM18" s="3">
        <v>31.6</v>
      </c>
    </row>
    <row r="19" spans="1:169" x14ac:dyDescent="0.35">
      <c r="A19" s="2">
        <v>1888</v>
      </c>
      <c r="B19" s="4">
        <v>64.2</v>
      </c>
      <c r="C19" s="4">
        <v>93.7</v>
      </c>
      <c r="D19" s="4">
        <v>65.599999999999994</v>
      </c>
      <c r="E19" s="4">
        <v>71.400000000000006</v>
      </c>
      <c r="F19" s="4">
        <v>80.3</v>
      </c>
      <c r="G19" s="4">
        <v>61.5</v>
      </c>
      <c r="H19" s="4">
        <v>99.6</v>
      </c>
      <c r="I19" s="4">
        <v>81.599999999999994</v>
      </c>
      <c r="J19" s="4">
        <v>74.8</v>
      </c>
      <c r="K19" s="3">
        <v>74.3</v>
      </c>
      <c r="L19" s="4">
        <v>77.7</v>
      </c>
      <c r="M19" s="3">
        <v>101.3</v>
      </c>
      <c r="N19" s="4">
        <v>71.599999999999994</v>
      </c>
      <c r="O19" s="3" t="e">
        <v>#N/A</v>
      </c>
      <c r="P19" s="4">
        <v>100</v>
      </c>
      <c r="Q19" s="4">
        <v>121.3</v>
      </c>
      <c r="R19" s="4">
        <v>174.8</v>
      </c>
      <c r="S19" s="4">
        <v>116.6</v>
      </c>
      <c r="T19" s="4">
        <v>96.8</v>
      </c>
      <c r="U19" s="3" t="e">
        <v>#N/A</v>
      </c>
      <c r="V19" s="4">
        <v>121.7</v>
      </c>
      <c r="W19" s="4">
        <v>97.5</v>
      </c>
      <c r="X19" s="4">
        <v>116.7</v>
      </c>
      <c r="Y19" s="3" t="e">
        <v>#N/A</v>
      </c>
      <c r="Z19" s="3" t="e">
        <v>#N/A</v>
      </c>
      <c r="AA19" s="4">
        <v>87.3</v>
      </c>
      <c r="AB19" s="4">
        <v>359.7</v>
      </c>
      <c r="AC19" s="4">
        <v>51.5</v>
      </c>
      <c r="AD19" s="4">
        <v>640.4</v>
      </c>
      <c r="AE19" s="4">
        <v>79.599999999999994</v>
      </c>
      <c r="AF19" s="4">
        <v>40.299999999999997</v>
      </c>
      <c r="AG19" s="4">
        <v>576.29999999999995</v>
      </c>
      <c r="AH19" s="4">
        <v>78.3</v>
      </c>
      <c r="AI19" s="4">
        <v>22.4</v>
      </c>
      <c r="AJ19" s="4">
        <v>47.2</v>
      </c>
      <c r="AK19" s="4">
        <v>29.8</v>
      </c>
      <c r="AL19" s="4">
        <v>50.4</v>
      </c>
      <c r="AM19" s="3">
        <v>20.8</v>
      </c>
      <c r="AN19" s="4">
        <v>26.1</v>
      </c>
      <c r="AO19" s="3" t="e">
        <v>#N/A</v>
      </c>
      <c r="AP19" s="4">
        <v>10.199999999999999</v>
      </c>
      <c r="AQ19" s="4">
        <v>53.2</v>
      </c>
      <c r="AR19" s="4">
        <v>14.7</v>
      </c>
      <c r="AS19" s="4">
        <v>26</v>
      </c>
      <c r="AT19" s="4">
        <v>3.6</v>
      </c>
      <c r="AU19" s="3" t="e">
        <v>#N/A</v>
      </c>
      <c r="AV19" s="4">
        <v>1.2</v>
      </c>
      <c r="AW19" s="4">
        <v>6.5</v>
      </c>
      <c r="AX19" s="4">
        <v>6.6</v>
      </c>
      <c r="AY19" s="3" t="e">
        <v>#N/A</v>
      </c>
      <c r="AZ19" s="3" t="e">
        <v>#N/A</v>
      </c>
      <c r="BA19" s="4">
        <v>19.3</v>
      </c>
      <c r="BB19" s="4">
        <v>96.2</v>
      </c>
      <c r="BC19" s="4">
        <v>84.8</v>
      </c>
      <c r="BD19" s="4">
        <v>100.3</v>
      </c>
      <c r="BE19" s="4">
        <v>106.3</v>
      </c>
      <c r="BF19" s="3" t="e">
        <v>#N/A</v>
      </c>
      <c r="BG19" s="4">
        <v>142.1</v>
      </c>
      <c r="BH19" s="4">
        <v>94.3</v>
      </c>
      <c r="BI19" s="4">
        <v>75.400000000000006</v>
      </c>
      <c r="BJ19" s="4">
        <v>63.4</v>
      </c>
      <c r="BK19" s="3" t="e">
        <v>#N/A</v>
      </c>
      <c r="BL19" s="3" t="e">
        <v>#N/A</v>
      </c>
      <c r="BM19" s="4">
        <v>99.9</v>
      </c>
      <c r="BN19" s="4">
        <v>89.6</v>
      </c>
      <c r="BO19" s="4">
        <v>78.599999999999994</v>
      </c>
      <c r="BP19" s="4">
        <v>79.900000000000006</v>
      </c>
      <c r="BQ19" s="4">
        <v>109.6</v>
      </c>
      <c r="BR19" s="4">
        <v>92.6</v>
      </c>
      <c r="BS19" s="4">
        <v>88.3</v>
      </c>
      <c r="BT19" s="4">
        <v>66.3</v>
      </c>
      <c r="BU19" s="3" t="e">
        <v>#N/A</v>
      </c>
      <c r="BV19" s="3" t="e">
        <v>#N/A</v>
      </c>
      <c r="BW19" s="3" t="e">
        <v>#N/A</v>
      </c>
      <c r="BX19" s="3" t="e">
        <v>#N/A</v>
      </c>
      <c r="BY19" s="4">
        <v>47.1</v>
      </c>
      <c r="BZ19" s="4">
        <v>74.900000000000006</v>
      </c>
      <c r="CA19" s="4">
        <v>112.5</v>
      </c>
      <c r="CB19" s="4">
        <v>67.5</v>
      </c>
      <c r="CC19" s="4">
        <v>85.8</v>
      </c>
      <c r="CD19" s="4">
        <v>135.30000000000001</v>
      </c>
      <c r="CE19" s="4">
        <v>106.8</v>
      </c>
      <c r="CF19" s="4">
        <v>42.8</v>
      </c>
      <c r="CG19" s="4">
        <v>98.7</v>
      </c>
      <c r="CH19" s="4">
        <v>61.4</v>
      </c>
      <c r="CI19" s="4">
        <v>11.2</v>
      </c>
      <c r="CJ19" s="3" t="e">
        <v>#N/A</v>
      </c>
      <c r="CK19" s="4">
        <v>62.8</v>
      </c>
      <c r="CL19" s="4">
        <v>26.7</v>
      </c>
      <c r="CM19" s="4">
        <v>31.5</v>
      </c>
      <c r="CN19" s="4">
        <v>2.8</v>
      </c>
      <c r="CO19" s="3" t="e">
        <v>#N/A</v>
      </c>
      <c r="CP19" s="3" t="e">
        <v>#N/A</v>
      </c>
      <c r="CQ19" s="4">
        <v>39.1</v>
      </c>
      <c r="CR19" s="4">
        <v>58.9</v>
      </c>
      <c r="CS19" s="4">
        <v>64.3</v>
      </c>
      <c r="CT19" s="4">
        <v>332.2</v>
      </c>
      <c r="CU19" s="4">
        <v>19.8</v>
      </c>
      <c r="CV19" s="4">
        <v>110</v>
      </c>
      <c r="CW19" s="4">
        <v>42.9</v>
      </c>
      <c r="CX19" s="4">
        <v>64.599999999999994</v>
      </c>
      <c r="CY19" s="3" t="e">
        <v>#N/A</v>
      </c>
      <c r="CZ19" s="3" t="e">
        <v>#N/A</v>
      </c>
      <c r="DA19" s="3" t="e">
        <v>#N/A</v>
      </c>
      <c r="DB19" s="3" t="e">
        <v>#N/A</v>
      </c>
      <c r="DC19" s="4">
        <v>52.9</v>
      </c>
      <c r="DD19" s="3">
        <v>117.5</v>
      </c>
      <c r="DE19" s="4">
        <v>19.899999999999999</v>
      </c>
      <c r="DF19" s="4">
        <v>15.2</v>
      </c>
      <c r="DG19" s="3">
        <v>253.5</v>
      </c>
      <c r="DH19" s="4">
        <v>47.4</v>
      </c>
      <c r="DI19" s="4">
        <v>29</v>
      </c>
      <c r="DJ19" s="4">
        <v>13.5</v>
      </c>
      <c r="DK19" s="4">
        <v>64</v>
      </c>
      <c r="DL19" s="4">
        <v>16.2</v>
      </c>
      <c r="DM19" s="4">
        <v>35.5</v>
      </c>
      <c r="DN19" s="4">
        <v>26</v>
      </c>
      <c r="DO19" s="4">
        <v>9.4</v>
      </c>
      <c r="DP19" s="4">
        <v>52.7</v>
      </c>
      <c r="DQ19" s="4">
        <v>8.1999999999999993</v>
      </c>
      <c r="DR19" s="4">
        <v>18.7</v>
      </c>
      <c r="DS19" s="4">
        <v>8.5</v>
      </c>
      <c r="DT19" s="4">
        <v>225.1</v>
      </c>
      <c r="DU19" s="4">
        <v>10.7</v>
      </c>
      <c r="DV19" s="4">
        <v>17.100000000000001</v>
      </c>
      <c r="DW19" s="4">
        <v>1.6</v>
      </c>
      <c r="DX19" s="4">
        <v>6.9</v>
      </c>
      <c r="DY19" s="4">
        <v>5.5</v>
      </c>
      <c r="DZ19" s="4">
        <v>2.1</v>
      </c>
      <c r="EA19" s="4">
        <v>42.6</v>
      </c>
      <c r="EB19" s="4">
        <v>5.3</v>
      </c>
      <c r="EC19" s="4">
        <v>1.5</v>
      </c>
      <c r="ED19" s="4">
        <v>0.5</v>
      </c>
      <c r="EE19" s="4">
        <v>8.5</v>
      </c>
      <c r="EF19" s="4">
        <v>16.2</v>
      </c>
      <c r="EG19" s="3" t="e">
        <v>#N/A</v>
      </c>
      <c r="EH19" s="4">
        <v>4.8</v>
      </c>
      <c r="EI19" s="4">
        <v>2.2000000000000002</v>
      </c>
      <c r="EJ19" s="4">
        <v>20.6</v>
      </c>
      <c r="EK19" s="4">
        <v>13.7</v>
      </c>
      <c r="EL19" s="4">
        <v>64.400000000000006</v>
      </c>
      <c r="EM19" s="4">
        <v>2.4</v>
      </c>
      <c r="EN19" s="3" t="e">
        <v>#N/A</v>
      </c>
      <c r="EO19" s="4">
        <v>88</v>
      </c>
      <c r="EP19" s="4">
        <v>9.1</v>
      </c>
      <c r="EQ19" s="4">
        <v>25.1</v>
      </c>
      <c r="ER19" s="4">
        <v>14.2</v>
      </c>
      <c r="ES19" s="4">
        <v>28.6</v>
      </c>
      <c r="ET19" s="3" t="e">
        <v>#N/A</v>
      </c>
      <c r="EU19" s="3">
        <v>18</v>
      </c>
      <c r="EV19" s="3">
        <v>30.6</v>
      </c>
      <c r="EW19" s="3">
        <v>14.5</v>
      </c>
      <c r="EX19" s="3">
        <v>47.8</v>
      </c>
      <c r="EY19" s="3">
        <v>19.5</v>
      </c>
      <c r="EZ19" s="3">
        <v>33.299999999999997</v>
      </c>
      <c r="FA19" s="3">
        <v>9.6999999999999993</v>
      </c>
      <c r="FB19" s="3">
        <v>9.5</v>
      </c>
      <c r="FC19" s="3" t="e">
        <v>#N/A</v>
      </c>
      <c r="FD19" s="3">
        <v>6.5</v>
      </c>
      <c r="FE19" s="3" t="e">
        <v>#N/A</v>
      </c>
      <c r="FF19" s="3" t="e">
        <v>#N/A</v>
      </c>
      <c r="FG19" s="3">
        <v>11.8</v>
      </c>
      <c r="FH19" s="3">
        <v>15.5</v>
      </c>
      <c r="FI19" s="3">
        <v>0.4</v>
      </c>
      <c r="FJ19" s="3">
        <v>13.3</v>
      </c>
      <c r="FK19" s="3">
        <v>31.7</v>
      </c>
      <c r="FL19" s="3">
        <v>8.6999999999999993</v>
      </c>
      <c r="FM19" s="3">
        <v>30.2</v>
      </c>
    </row>
    <row r="20" spans="1:169" x14ac:dyDescent="0.35">
      <c r="A20" s="2">
        <v>1889</v>
      </c>
      <c r="B20" s="4">
        <v>52.2</v>
      </c>
      <c r="C20" s="4">
        <v>83.2</v>
      </c>
      <c r="D20" s="4">
        <v>58.9</v>
      </c>
      <c r="E20" s="3">
        <v>63.9</v>
      </c>
      <c r="F20" s="4">
        <v>70.7</v>
      </c>
      <c r="G20" s="4">
        <v>58.6</v>
      </c>
      <c r="H20" s="4">
        <v>102</v>
      </c>
      <c r="I20" s="3">
        <v>81</v>
      </c>
      <c r="J20" s="4">
        <v>71.3</v>
      </c>
      <c r="K20" s="4">
        <v>71</v>
      </c>
      <c r="L20" s="4">
        <v>78</v>
      </c>
      <c r="M20" s="4">
        <v>103.8</v>
      </c>
      <c r="N20" s="4">
        <v>70.7</v>
      </c>
      <c r="O20" s="3" t="e">
        <v>#N/A</v>
      </c>
      <c r="P20" s="4">
        <v>97.5</v>
      </c>
      <c r="Q20" s="4">
        <v>124.1</v>
      </c>
      <c r="R20" s="4">
        <v>161.19999999999999</v>
      </c>
      <c r="S20" s="4">
        <v>107.5</v>
      </c>
      <c r="T20" s="4">
        <v>73.2</v>
      </c>
      <c r="U20" s="3" t="e">
        <v>#N/A</v>
      </c>
      <c r="V20" s="4">
        <v>114.6</v>
      </c>
      <c r="W20" s="4">
        <v>96.1</v>
      </c>
      <c r="X20" s="4">
        <v>115.8</v>
      </c>
      <c r="Y20" s="3" t="e">
        <v>#N/A</v>
      </c>
      <c r="Z20" s="3" t="e">
        <v>#N/A</v>
      </c>
      <c r="AA20" s="3">
        <v>85.9</v>
      </c>
      <c r="AB20" s="3">
        <v>881.7</v>
      </c>
      <c r="AC20" s="3">
        <v>69.2</v>
      </c>
      <c r="AD20" s="4">
        <v>1007.2</v>
      </c>
      <c r="AE20" s="4">
        <v>119.8</v>
      </c>
      <c r="AF20" s="4">
        <v>60.9</v>
      </c>
      <c r="AG20" s="4">
        <v>821.5</v>
      </c>
      <c r="AH20" s="4">
        <v>77.400000000000006</v>
      </c>
      <c r="AI20" s="4">
        <v>28.9</v>
      </c>
      <c r="AJ20" s="4">
        <v>58.2</v>
      </c>
      <c r="AK20" s="4">
        <v>40.200000000000003</v>
      </c>
      <c r="AL20" s="4">
        <v>59.4</v>
      </c>
      <c r="AM20" s="4">
        <v>19.3</v>
      </c>
      <c r="AN20" s="4">
        <v>31.7</v>
      </c>
      <c r="AO20" s="3" t="e">
        <v>#N/A</v>
      </c>
      <c r="AP20" s="4">
        <v>9.8000000000000007</v>
      </c>
      <c r="AQ20" s="4">
        <v>58.4</v>
      </c>
      <c r="AR20" s="4">
        <v>17.399999999999999</v>
      </c>
      <c r="AS20" s="4">
        <v>31.1</v>
      </c>
      <c r="AT20" s="4">
        <v>2</v>
      </c>
      <c r="AU20" s="3" t="e">
        <v>#N/A</v>
      </c>
      <c r="AV20" s="4">
        <v>0.8</v>
      </c>
      <c r="AW20" s="4">
        <v>7.1</v>
      </c>
      <c r="AX20" s="4">
        <v>9.5</v>
      </c>
      <c r="AY20" s="3" t="e">
        <v>#N/A</v>
      </c>
      <c r="AZ20" s="3" t="e">
        <v>#N/A</v>
      </c>
      <c r="BA20" s="4">
        <v>22.6</v>
      </c>
      <c r="BB20" s="4">
        <v>86.6</v>
      </c>
      <c r="BC20" s="4">
        <v>81.3</v>
      </c>
      <c r="BD20" s="4">
        <v>115.8</v>
      </c>
      <c r="BE20" s="4">
        <v>94.9</v>
      </c>
      <c r="BF20" s="4">
        <v>155.80000000000001</v>
      </c>
      <c r="BG20" s="4">
        <v>176.9</v>
      </c>
      <c r="BH20" s="4">
        <v>94.3</v>
      </c>
      <c r="BI20" s="4">
        <v>71</v>
      </c>
      <c r="BJ20" s="4">
        <v>59.7</v>
      </c>
      <c r="BK20" s="3" t="e">
        <v>#N/A</v>
      </c>
      <c r="BL20" s="4">
        <v>63.9</v>
      </c>
      <c r="BM20" s="4">
        <v>112.2</v>
      </c>
      <c r="BN20" s="4">
        <v>93.8</v>
      </c>
      <c r="BO20" s="4">
        <v>81.400000000000006</v>
      </c>
      <c r="BP20" s="4">
        <v>78.599999999999994</v>
      </c>
      <c r="BQ20" s="4">
        <v>114.1</v>
      </c>
      <c r="BR20" s="4">
        <v>97</v>
      </c>
      <c r="BS20" s="4">
        <v>93.6</v>
      </c>
      <c r="BT20" s="4">
        <v>66.8</v>
      </c>
      <c r="BU20" s="4">
        <v>149.5</v>
      </c>
      <c r="BV20" s="3" t="e">
        <v>#N/A</v>
      </c>
      <c r="BW20" s="3" t="e">
        <v>#N/A</v>
      </c>
      <c r="BX20" s="3" t="e">
        <v>#N/A</v>
      </c>
      <c r="BY20" s="4">
        <v>66</v>
      </c>
      <c r="BZ20" s="4">
        <v>79.099999999999994</v>
      </c>
      <c r="CA20" s="4">
        <v>90.3</v>
      </c>
      <c r="CB20" s="4">
        <v>54.2</v>
      </c>
      <c r="CC20" s="4">
        <v>88.6</v>
      </c>
      <c r="CD20" s="4">
        <v>142.5</v>
      </c>
      <c r="CE20" s="4">
        <v>103.8</v>
      </c>
      <c r="CF20" s="4">
        <v>39.1</v>
      </c>
      <c r="CG20" s="4">
        <v>89.6</v>
      </c>
      <c r="CH20" s="4">
        <v>64.3</v>
      </c>
      <c r="CI20" s="4">
        <v>10.199999999999999</v>
      </c>
      <c r="CJ20" s="4">
        <v>15.8</v>
      </c>
      <c r="CK20" s="4">
        <v>58.5</v>
      </c>
      <c r="CL20" s="4">
        <v>40.200000000000003</v>
      </c>
      <c r="CM20" s="4">
        <v>29.8</v>
      </c>
      <c r="CN20" s="4">
        <v>2.6</v>
      </c>
      <c r="CO20" s="3" t="e">
        <v>#N/A</v>
      </c>
      <c r="CP20" s="4">
        <v>23.4</v>
      </c>
      <c r="CQ20" s="4">
        <v>46.8</v>
      </c>
      <c r="CR20" s="4">
        <v>55.5</v>
      </c>
      <c r="CS20" s="4">
        <v>79.8</v>
      </c>
      <c r="CT20" s="4">
        <v>358.1</v>
      </c>
      <c r="CU20" s="4">
        <v>21</v>
      </c>
      <c r="CV20" s="4">
        <v>115.7</v>
      </c>
      <c r="CW20" s="4">
        <v>41.1</v>
      </c>
      <c r="CX20" s="4">
        <v>69.8</v>
      </c>
      <c r="CY20" s="4">
        <v>7.3</v>
      </c>
      <c r="CZ20" s="3" t="e">
        <v>#N/A</v>
      </c>
      <c r="DA20" s="3" t="e">
        <v>#N/A</v>
      </c>
      <c r="DB20" s="3" t="e">
        <v>#N/A</v>
      </c>
      <c r="DC20" s="4">
        <v>43.3</v>
      </c>
      <c r="DD20" s="4">
        <v>106.4</v>
      </c>
      <c r="DE20" s="4">
        <v>23.4</v>
      </c>
      <c r="DF20" s="4">
        <v>17</v>
      </c>
      <c r="DG20" s="4">
        <v>246.2</v>
      </c>
      <c r="DH20" s="4">
        <v>38.6</v>
      </c>
      <c r="DI20" s="4">
        <v>31.4</v>
      </c>
      <c r="DJ20" s="4">
        <v>27</v>
      </c>
      <c r="DK20" s="4">
        <v>76.400000000000006</v>
      </c>
      <c r="DL20" s="4">
        <v>22.9</v>
      </c>
      <c r="DM20" s="4">
        <v>47.9</v>
      </c>
      <c r="DN20" s="4">
        <v>34.6</v>
      </c>
      <c r="DO20" s="4">
        <v>12.7</v>
      </c>
      <c r="DP20" s="4">
        <v>53.3</v>
      </c>
      <c r="DQ20" s="4">
        <v>10.4</v>
      </c>
      <c r="DR20" s="4">
        <v>22</v>
      </c>
      <c r="DS20" s="4">
        <v>11</v>
      </c>
      <c r="DT20" s="4">
        <v>266.60000000000002</v>
      </c>
      <c r="DU20" s="4">
        <v>10.4</v>
      </c>
      <c r="DV20" s="4">
        <v>20.5</v>
      </c>
      <c r="DW20" s="4">
        <v>1.2</v>
      </c>
      <c r="DX20" s="4">
        <v>6.4</v>
      </c>
      <c r="DY20" s="4">
        <v>6.1</v>
      </c>
      <c r="DZ20" s="4">
        <v>2.2999999999999998</v>
      </c>
      <c r="EA20" s="4">
        <v>47.2</v>
      </c>
      <c r="EB20" s="3">
        <v>2.2000000000000002</v>
      </c>
      <c r="EC20" s="4">
        <v>1.4</v>
      </c>
      <c r="ED20" s="4">
        <v>0.3</v>
      </c>
      <c r="EE20" s="4">
        <v>9.1999999999999993</v>
      </c>
      <c r="EF20" s="4">
        <v>22.9</v>
      </c>
      <c r="EG20" s="3" t="e">
        <v>#N/A</v>
      </c>
      <c r="EH20" s="3">
        <v>3.3</v>
      </c>
      <c r="EI20" s="4">
        <v>4.2</v>
      </c>
      <c r="EJ20" s="4">
        <v>11</v>
      </c>
      <c r="EK20" s="4">
        <v>12</v>
      </c>
      <c r="EL20" s="4">
        <v>77.900000000000006</v>
      </c>
      <c r="EM20" s="4">
        <v>1.9</v>
      </c>
      <c r="EN20" s="4">
        <v>3.8</v>
      </c>
      <c r="EO20" s="4">
        <v>102.1</v>
      </c>
      <c r="EP20" s="4">
        <v>13.8</v>
      </c>
      <c r="EQ20" s="4">
        <v>22.4</v>
      </c>
      <c r="ER20" s="4">
        <v>12.5</v>
      </c>
      <c r="ES20" s="4">
        <v>27.8</v>
      </c>
      <c r="ET20" s="3">
        <v>6.2</v>
      </c>
      <c r="EU20" s="3">
        <v>20.8</v>
      </c>
      <c r="EV20" s="3">
        <v>22.1</v>
      </c>
      <c r="EW20" s="3">
        <v>18.7</v>
      </c>
      <c r="EX20" s="3">
        <v>48.3</v>
      </c>
      <c r="EY20" s="3">
        <v>21.5</v>
      </c>
      <c r="EZ20" s="3">
        <v>36.6</v>
      </c>
      <c r="FA20" s="3">
        <v>9.9</v>
      </c>
      <c r="FB20" s="3">
        <v>10.3</v>
      </c>
      <c r="FC20" s="3">
        <v>1.7</v>
      </c>
      <c r="FD20" s="3">
        <v>6.6</v>
      </c>
      <c r="FE20" s="3" t="e">
        <v>#N/A</v>
      </c>
      <c r="FF20" s="3" t="e">
        <v>#N/A</v>
      </c>
      <c r="FG20" s="3">
        <v>13.6</v>
      </c>
      <c r="FH20" s="3">
        <v>14.9</v>
      </c>
      <c r="FI20" s="3">
        <v>0.9</v>
      </c>
      <c r="FJ20" s="3">
        <v>10.5</v>
      </c>
      <c r="FK20" s="3">
        <v>31.8</v>
      </c>
      <c r="FL20" s="3">
        <v>7.4</v>
      </c>
      <c r="FM20" s="3">
        <v>29.7</v>
      </c>
    </row>
    <row r="21" spans="1:169" x14ac:dyDescent="0.35">
      <c r="A21" s="2">
        <v>1890</v>
      </c>
      <c r="B21" s="4">
        <v>55.8</v>
      </c>
      <c r="C21" s="4">
        <v>83.5</v>
      </c>
      <c r="D21" s="4">
        <v>58.9</v>
      </c>
      <c r="E21" s="4">
        <v>59.9</v>
      </c>
      <c r="F21" s="4">
        <v>65.7</v>
      </c>
      <c r="G21" s="4">
        <v>55.3</v>
      </c>
      <c r="H21" s="4">
        <v>98.8</v>
      </c>
      <c r="I21" s="4">
        <v>77.8</v>
      </c>
      <c r="J21" s="4">
        <v>71.3</v>
      </c>
      <c r="K21" s="4">
        <v>70.599999999999994</v>
      </c>
      <c r="L21" s="4">
        <v>78.900000000000006</v>
      </c>
      <c r="M21" s="3">
        <v>100.3</v>
      </c>
      <c r="N21" s="3">
        <v>69.3</v>
      </c>
      <c r="O21" s="3" t="e">
        <v>#N/A</v>
      </c>
      <c r="P21" s="4">
        <v>100.8</v>
      </c>
      <c r="Q21" s="4">
        <v>116.7</v>
      </c>
      <c r="R21" s="4">
        <v>141.19999999999999</v>
      </c>
      <c r="S21" s="4">
        <v>103.1</v>
      </c>
      <c r="T21" s="4">
        <v>79.599999999999994</v>
      </c>
      <c r="U21" s="3" t="e">
        <v>#N/A</v>
      </c>
      <c r="V21" s="4">
        <v>115.1</v>
      </c>
      <c r="W21" s="4">
        <v>97.9</v>
      </c>
      <c r="X21" s="4">
        <v>112.9</v>
      </c>
      <c r="Y21" s="3" t="e">
        <v>#N/A</v>
      </c>
      <c r="Z21" s="3" t="e">
        <v>#N/A</v>
      </c>
      <c r="AA21" s="4">
        <v>89.4</v>
      </c>
      <c r="AB21" s="4">
        <v>1056.3</v>
      </c>
      <c r="AC21" s="4">
        <v>77.3</v>
      </c>
      <c r="AD21" s="4">
        <v>1254.3</v>
      </c>
      <c r="AE21" s="4">
        <v>138.5</v>
      </c>
      <c r="AF21" s="3">
        <v>84.8</v>
      </c>
      <c r="AG21" s="4">
        <v>797.4</v>
      </c>
      <c r="AH21" s="4">
        <v>84</v>
      </c>
      <c r="AI21" s="4">
        <v>37.9</v>
      </c>
      <c r="AJ21" s="4">
        <v>56</v>
      </c>
      <c r="AK21" s="4">
        <v>40.6</v>
      </c>
      <c r="AL21" s="4">
        <v>56</v>
      </c>
      <c r="AM21" s="4">
        <v>21.4</v>
      </c>
      <c r="AN21" s="4">
        <v>30.2</v>
      </c>
      <c r="AO21" s="3" t="e">
        <v>#N/A</v>
      </c>
      <c r="AP21" s="4">
        <v>10.7</v>
      </c>
      <c r="AQ21" s="4">
        <v>66.2</v>
      </c>
      <c r="AR21" s="4">
        <v>25.3</v>
      </c>
      <c r="AS21" s="4">
        <v>31.5</v>
      </c>
      <c r="AT21" s="3">
        <v>1.3</v>
      </c>
      <c r="AU21" s="3" t="e">
        <v>#N/A</v>
      </c>
      <c r="AV21" s="4">
        <v>1.1000000000000001</v>
      </c>
      <c r="AW21" s="4">
        <v>8.5</v>
      </c>
      <c r="AX21" s="4">
        <v>10.4</v>
      </c>
      <c r="AY21" s="3" t="e">
        <v>#N/A</v>
      </c>
      <c r="AZ21" s="3" t="e">
        <v>#N/A</v>
      </c>
      <c r="BA21" s="4">
        <v>24.4</v>
      </c>
      <c r="BB21" s="4">
        <v>105.7</v>
      </c>
      <c r="BC21" s="4">
        <v>85.5</v>
      </c>
      <c r="BD21" s="4">
        <v>133.6</v>
      </c>
      <c r="BE21" s="4">
        <v>101.4</v>
      </c>
      <c r="BF21" s="4">
        <v>165</v>
      </c>
      <c r="BG21" s="4">
        <v>146</v>
      </c>
      <c r="BH21" s="4">
        <v>96.2</v>
      </c>
      <c r="BI21" s="3">
        <v>63.2</v>
      </c>
      <c r="BJ21" s="4">
        <v>74.2</v>
      </c>
      <c r="BK21" s="3" t="e">
        <v>#N/A</v>
      </c>
      <c r="BL21" s="4">
        <v>59.8</v>
      </c>
      <c r="BM21" s="4">
        <v>90.9</v>
      </c>
      <c r="BN21" s="4">
        <v>91.5</v>
      </c>
      <c r="BO21" s="4">
        <v>83.3</v>
      </c>
      <c r="BP21" s="4">
        <v>77.8</v>
      </c>
      <c r="BQ21" s="4">
        <v>126.3</v>
      </c>
      <c r="BR21" s="4">
        <v>95.8</v>
      </c>
      <c r="BS21" s="4">
        <v>91.4</v>
      </c>
      <c r="BT21" s="4">
        <v>63.5</v>
      </c>
      <c r="BU21" s="4">
        <v>165.6</v>
      </c>
      <c r="BV21" s="3" t="e">
        <v>#N/A</v>
      </c>
      <c r="BW21" s="3" t="e">
        <v>#N/A</v>
      </c>
      <c r="BX21" s="3" t="e">
        <v>#N/A</v>
      </c>
      <c r="BY21" s="4">
        <v>74.599999999999994</v>
      </c>
      <c r="BZ21" s="4">
        <v>85.3</v>
      </c>
      <c r="CA21" s="4">
        <v>92.5</v>
      </c>
      <c r="CB21" s="4">
        <v>57.2</v>
      </c>
      <c r="CC21" s="4">
        <v>102.5</v>
      </c>
      <c r="CD21" s="4">
        <v>137.19999999999999</v>
      </c>
      <c r="CE21" s="4">
        <v>106.7</v>
      </c>
      <c r="CF21" s="4">
        <v>46.9</v>
      </c>
      <c r="CG21" s="4">
        <v>100.8</v>
      </c>
      <c r="CH21" s="4">
        <v>57.6</v>
      </c>
      <c r="CI21" s="4">
        <v>13.2</v>
      </c>
      <c r="CJ21" s="4">
        <v>23</v>
      </c>
      <c r="CK21" s="4">
        <v>66</v>
      </c>
      <c r="CL21" s="4">
        <v>52.6</v>
      </c>
      <c r="CM21" s="3">
        <v>3.9</v>
      </c>
      <c r="CN21" s="4">
        <v>2.8</v>
      </c>
      <c r="CO21" s="3" t="e">
        <v>#N/A</v>
      </c>
      <c r="CP21" s="4">
        <v>24.5</v>
      </c>
      <c r="CQ21" s="4">
        <v>42.6</v>
      </c>
      <c r="CR21" s="4">
        <v>60.8</v>
      </c>
      <c r="CS21" s="4">
        <v>64.599999999999994</v>
      </c>
      <c r="CT21" s="4">
        <v>381.2</v>
      </c>
      <c r="CU21" s="4">
        <v>16.399999999999999</v>
      </c>
      <c r="CV21" s="4">
        <v>132.5</v>
      </c>
      <c r="CW21" s="4">
        <v>43.5</v>
      </c>
      <c r="CX21" s="4">
        <v>73.599999999999994</v>
      </c>
      <c r="CY21" s="4">
        <v>6.5</v>
      </c>
      <c r="CZ21" s="3" t="e">
        <v>#N/A</v>
      </c>
      <c r="DA21" s="3" t="e">
        <v>#N/A</v>
      </c>
      <c r="DB21" s="3" t="e">
        <v>#N/A</v>
      </c>
      <c r="DC21" s="4">
        <v>41.1</v>
      </c>
      <c r="DD21" s="4">
        <v>111.2</v>
      </c>
      <c r="DE21" s="4">
        <v>42.5</v>
      </c>
      <c r="DF21" s="4">
        <v>19.399999999999999</v>
      </c>
      <c r="DG21" s="3">
        <v>228.4</v>
      </c>
      <c r="DH21" s="4">
        <v>42.3</v>
      </c>
      <c r="DI21" s="4">
        <v>35.6</v>
      </c>
      <c r="DJ21" s="4">
        <v>34.6</v>
      </c>
      <c r="DK21" s="4">
        <v>85.6</v>
      </c>
      <c r="DL21" s="4">
        <v>28.6</v>
      </c>
      <c r="DM21" s="4">
        <v>51.9</v>
      </c>
      <c r="DN21" s="4">
        <v>44.9</v>
      </c>
      <c r="DO21" s="4">
        <v>11.6</v>
      </c>
      <c r="DP21" s="4">
        <v>56</v>
      </c>
      <c r="DQ21" s="4">
        <v>13.2</v>
      </c>
      <c r="DR21" s="4">
        <v>21.2</v>
      </c>
      <c r="DS21" s="4">
        <v>11</v>
      </c>
      <c r="DT21" s="4">
        <v>254.3</v>
      </c>
      <c r="DU21" s="4">
        <v>11.1</v>
      </c>
      <c r="DV21" s="3">
        <v>19.3</v>
      </c>
      <c r="DW21" s="4">
        <v>1.2</v>
      </c>
      <c r="DX21" s="4">
        <v>7.3</v>
      </c>
      <c r="DY21" s="4">
        <v>6.5</v>
      </c>
      <c r="DZ21" s="4">
        <v>2.9</v>
      </c>
      <c r="EA21" s="4">
        <v>45.7</v>
      </c>
      <c r="EB21" s="4">
        <v>1.6</v>
      </c>
      <c r="EC21" s="4">
        <v>1.4</v>
      </c>
      <c r="ED21" s="4">
        <v>0.4</v>
      </c>
      <c r="EE21" s="4">
        <v>11.2</v>
      </c>
      <c r="EF21" s="4">
        <v>24.6</v>
      </c>
      <c r="EG21" s="3" t="e">
        <v>#N/A</v>
      </c>
      <c r="EH21" s="4">
        <v>4.0999999999999996</v>
      </c>
      <c r="EI21" s="4">
        <v>4.7</v>
      </c>
      <c r="EJ21" s="4">
        <v>16.100000000000001</v>
      </c>
      <c r="EK21" s="4">
        <v>14.1</v>
      </c>
      <c r="EL21" s="4">
        <v>80.599999999999994</v>
      </c>
      <c r="EM21" s="4">
        <v>2.6</v>
      </c>
      <c r="EN21" s="4">
        <v>5.8</v>
      </c>
      <c r="EO21" s="4">
        <v>95</v>
      </c>
      <c r="EP21" s="3">
        <v>18.399999999999999</v>
      </c>
      <c r="EQ21" s="4">
        <v>26.1</v>
      </c>
      <c r="ER21" s="4">
        <v>16.7</v>
      </c>
      <c r="ES21" s="4">
        <v>33</v>
      </c>
      <c r="ET21" s="3">
        <v>6.1</v>
      </c>
      <c r="EU21" s="3">
        <v>15.4</v>
      </c>
      <c r="EV21" s="3">
        <v>23.6</v>
      </c>
      <c r="EW21" s="3">
        <v>15.5</v>
      </c>
      <c r="EX21" s="3">
        <v>50.9</v>
      </c>
      <c r="EY21" s="3">
        <v>18.600000000000001</v>
      </c>
      <c r="EZ21" s="3">
        <v>41.4</v>
      </c>
      <c r="FA21" s="3">
        <v>10.199999999999999</v>
      </c>
      <c r="FB21" s="3">
        <v>10.3</v>
      </c>
      <c r="FC21" s="3">
        <v>1.7</v>
      </c>
      <c r="FD21" s="3">
        <v>7.1</v>
      </c>
      <c r="FE21" s="3" t="e">
        <v>#N/A</v>
      </c>
      <c r="FF21" s="3" t="e">
        <v>#N/A</v>
      </c>
      <c r="FG21" s="3">
        <v>14.5</v>
      </c>
      <c r="FH21" s="3">
        <v>16.7</v>
      </c>
      <c r="FI21" s="3">
        <v>1.7</v>
      </c>
      <c r="FJ21" s="3">
        <v>12.7</v>
      </c>
      <c r="FK21" s="3">
        <v>34.1</v>
      </c>
      <c r="FL21" s="3">
        <v>7.8</v>
      </c>
      <c r="FM21" s="3">
        <v>34.6</v>
      </c>
    </row>
    <row r="22" spans="1:169" x14ac:dyDescent="0.35">
      <c r="A22" s="2">
        <v>1891</v>
      </c>
      <c r="B22" s="4">
        <v>68</v>
      </c>
      <c r="C22" s="4">
        <v>108.4</v>
      </c>
      <c r="D22" s="4">
        <v>63.1</v>
      </c>
      <c r="E22" s="4">
        <v>61</v>
      </c>
      <c r="F22" s="4">
        <v>67.400000000000006</v>
      </c>
      <c r="G22" s="4">
        <v>60.8</v>
      </c>
      <c r="H22" s="4">
        <v>105.8</v>
      </c>
      <c r="I22" s="4">
        <v>78.599999999999994</v>
      </c>
      <c r="J22" s="4">
        <v>71.5</v>
      </c>
      <c r="K22" s="4">
        <v>71.5</v>
      </c>
      <c r="L22" s="4">
        <v>72.8</v>
      </c>
      <c r="M22" s="4">
        <v>94.1</v>
      </c>
      <c r="N22" s="4">
        <v>69.2</v>
      </c>
      <c r="O22" s="3" t="e">
        <v>#N/A</v>
      </c>
      <c r="P22" s="4">
        <v>102.5</v>
      </c>
      <c r="Q22" s="4">
        <v>95.6</v>
      </c>
      <c r="R22" s="4">
        <v>176.5</v>
      </c>
      <c r="S22" s="4">
        <v>95.1</v>
      </c>
      <c r="T22" s="4">
        <v>81.2</v>
      </c>
      <c r="U22" s="3" t="e">
        <v>#N/A</v>
      </c>
      <c r="V22" s="4">
        <v>117.8</v>
      </c>
      <c r="W22" s="4">
        <v>94.6</v>
      </c>
      <c r="X22" s="3">
        <v>111.8</v>
      </c>
      <c r="Y22" s="3" t="e">
        <v>#N/A</v>
      </c>
      <c r="Z22" s="3" t="e">
        <v>#N/A</v>
      </c>
      <c r="AA22" s="4">
        <v>89.3</v>
      </c>
      <c r="AB22" s="4">
        <v>740.4</v>
      </c>
      <c r="AC22" s="4">
        <v>114.4</v>
      </c>
      <c r="AD22" s="4">
        <v>1168</v>
      </c>
      <c r="AE22" s="4">
        <v>130.30000000000001</v>
      </c>
      <c r="AF22" s="4">
        <v>71.5</v>
      </c>
      <c r="AG22" s="4">
        <v>614</v>
      </c>
      <c r="AH22" s="4">
        <v>95.5</v>
      </c>
      <c r="AI22" s="4">
        <v>34.1</v>
      </c>
      <c r="AJ22" s="4">
        <v>53.8</v>
      </c>
      <c r="AK22" s="4">
        <v>43.8</v>
      </c>
      <c r="AL22" s="4">
        <v>66.099999999999994</v>
      </c>
      <c r="AM22" s="4">
        <v>28.5</v>
      </c>
      <c r="AN22" s="4">
        <v>26</v>
      </c>
      <c r="AO22" s="3" t="e">
        <v>#N/A</v>
      </c>
      <c r="AP22" s="4">
        <v>12.6</v>
      </c>
      <c r="AQ22" s="4">
        <v>66.3</v>
      </c>
      <c r="AR22" s="4">
        <v>27.6</v>
      </c>
      <c r="AS22" s="4">
        <v>30.5</v>
      </c>
      <c r="AT22" s="4">
        <v>7.6</v>
      </c>
      <c r="AU22" s="3" t="e">
        <v>#N/A</v>
      </c>
      <c r="AV22" s="4">
        <v>1</v>
      </c>
      <c r="AW22" s="4">
        <v>9.1</v>
      </c>
      <c r="AX22" s="4">
        <v>11.5</v>
      </c>
      <c r="AY22" s="3" t="e">
        <v>#N/A</v>
      </c>
      <c r="AZ22" s="3" t="e">
        <v>#N/A</v>
      </c>
      <c r="BA22" s="4">
        <v>23.4</v>
      </c>
      <c r="BB22" s="4">
        <v>113.1</v>
      </c>
      <c r="BC22" s="4">
        <v>87.6</v>
      </c>
      <c r="BD22" s="4">
        <v>124.2</v>
      </c>
      <c r="BE22" s="4">
        <v>116.7</v>
      </c>
      <c r="BF22" s="4">
        <v>165</v>
      </c>
      <c r="BG22" s="4">
        <v>147.9</v>
      </c>
      <c r="BH22" s="4">
        <v>76.400000000000006</v>
      </c>
      <c r="BI22" s="4">
        <v>59.5</v>
      </c>
      <c r="BJ22" s="3">
        <v>74.8</v>
      </c>
      <c r="BK22" s="4">
        <v>84.6</v>
      </c>
      <c r="BL22" s="4">
        <v>56.8</v>
      </c>
      <c r="BM22" s="4">
        <v>90.3</v>
      </c>
      <c r="BN22" s="4">
        <v>91.5</v>
      </c>
      <c r="BO22" s="4">
        <v>75.400000000000006</v>
      </c>
      <c r="BP22" s="4">
        <v>78.599999999999994</v>
      </c>
      <c r="BQ22" s="4">
        <v>103</v>
      </c>
      <c r="BR22" s="4">
        <v>91.4</v>
      </c>
      <c r="BS22" s="4">
        <v>84.8</v>
      </c>
      <c r="BT22" s="4">
        <v>59.9</v>
      </c>
      <c r="BU22" s="4">
        <v>166.3</v>
      </c>
      <c r="BV22" s="3" t="e">
        <v>#N/A</v>
      </c>
      <c r="BW22" s="3" t="e">
        <v>#N/A</v>
      </c>
      <c r="BX22" s="3" t="e">
        <v>#N/A</v>
      </c>
      <c r="BY22" s="4">
        <v>57.6</v>
      </c>
      <c r="BZ22" s="4">
        <v>88.9</v>
      </c>
      <c r="CA22" s="4">
        <v>123.2</v>
      </c>
      <c r="CB22" s="4">
        <v>54.5</v>
      </c>
      <c r="CC22" s="4">
        <v>107.8</v>
      </c>
      <c r="CD22" s="4">
        <v>122.3</v>
      </c>
      <c r="CE22" s="4">
        <v>113.3</v>
      </c>
      <c r="CF22" s="4">
        <v>37.6</v>
      </c>
      <c r="CG22" s="4">
        <v>98.8</v>
      </c>
      <c r="CH22" s="4">
        <v>68.2</v>
      </c>
      <c r="CI22" s="4">
        <v>12.8</v>
      </c>
      <c r="CJ22" s="4">
        <v>20.399999999999999</v>
      </c>
      <c r="CK22" s="4">
        <v>94.8</v>
      </c>
      <c r="CL22" s="4">
        <v>29.9</v>
      </c>
      <c r="CM22" s="4">
        <v>41.1</v>
      </c>
      <c r="CN22" s="4">
        <v>3.1</v>
      </c>
      <c r="CO22" s="4">
        <v>51.1</v>
      </c>
      <c r="CP22" s="4">
        <v>26.9</v>
      </c>
      <c r="CQ22" s="4">
        <v>50.3</v>
      </c>
      <c r="CR22" s="4">
        <v>48.7</v>
      </c>
      <c r="CS22" s="4">
        <v>86.6</v>
      </c>
      <c r="CT22" s="4">
        <v>246.4</v>
      </c>
      <c r="CU22" s="4">
        <v>25.3</v>
      </c>
      <c r="CV22" s="4">
        <v>112.2</v>
      </c>
      <c r="CW22" s="4">
        <v>47.3</v>
      </c>
      <c r="CX22" s="4">
        <v>78.7</v>
      </c>
      <c r="CY22" s="4">
        <v>7.3</v>
      </c>
      <c r="CZ22" s="3" t="e">
        <v>#N/A</v>
      </c>
      <c r="DA22" s="3" t="e">
        <v>#N/A</v>
      </c>
      <c r="DB22" s="3" t="e">
        <v>#N/A</v>
      </c>
      <c r="DC22" s="4">
        <v>50.3</v>
      </c>
      <c r="DD22" s="4">
        <v>113.5</v>
      </c>
      <c r="DE22" s="4">
        <v>27.3</v>
      </c>
      <c r="DF22" s="4">
        <v>25.2</v>
      </c>
      <c r="DG22" s="4">
        <v>210.9</v>
      </c>
      <c r="DH22" s="4">
        <v>34.4</v>
      </c>
      <c r="DI22" s="4">
        <v>33.1</v>
      </c>
      <c r="DJ22" s="4">
        <v>29.5</v>
      </c>
      <c r="DK22" s="4">
        <v>164.4</v>
      </c>
      <c r="DL22" s="3">
        <v>28.5</v>
      </c>
      <c r="DM22" s="4">
        <v>49.7</v>
      </c>
      <c r="DN22" s="4">
        <v>38.700000000000003</v>
      </c>
      <c r="DO22" s="4">
        <v>9.8000000000000007</v>
      </c>
      <c r="DP22" s="4">
        <v>68.2</v>
      </c>
      <c r="DQ22" s="4">
        <v>11.9</v>
      </c>
      <c r="DR22" s="4">
        <v>20.399999999999999</v>
      </c>
      <c r="DS22" s="4">
        <v>12</v>
      </c>
      <c r="DT22" s="4">
        <v>277</v>
      </c>
      <c r="DU22" s="4">
        <v>13.9</v>
      </c>
      <c r="DV22" s="4">
        <v>16.399999999999999</v>
      </c>
      <c r="DW22" s="4">
        <v>1.3</v>
      </c>
      <c r="DX22" s="4">
        <v>8.6999999999999993</v>
      </c>
      <c r="DY22" s="4">
        <v>5.4</v>
      </c>
      <c r="DZ22" s="4">
        <v>4</v>
      </c>
      <c r="EA22" s="4">
        <v>40.799999999999997</v>
      </c>
      <c r="EB22" s="4">
        <v>9.3000000000000007</v>
      </c>
      <c r="EC22" s="4">
        <v>1.6</v>
      </c>
      <c r="ED22" s="4">
        <v>0.4</v>
      </c>
      <c r="EE22" s="4">
        <v>11.6</v>
      </c>
      <c r="EF22" s="4">
        <v>26.7</v>
      </c>
      <c r="EG22" s="3" t="e">
        <v>#N/A</v>
      </c>
      <c r="EH22" s="4">
        <v>3.8</v>
      </c>
      <c r="EI22" s="4">
        <v>4.5</v>
      </c>
      <c r="EJ22" s="4">
        <v>13.8</v>
      </c>
      <c r="EK22" s="4">
        <v>14.2</v>
      </c>
      <c r="EL22" s="4">
        <v>88.6</v>
      </c>
      <c r="EM22" s="4">
        <v>2.9</v>
      </c>
      <c r="EN22" s="4">
        <v>5.2</v>
      </c>
      <c r="EO22" s="4">
        <v>138.19999999999999</v>
      </c>
      <c r="EP22" s="3">
        <v>8.3000000000000007</v>
      </c>
      <c r="EQ22" s="4">
        <v>25.9</v>
      </c>
      <c r="ER22" s="4">
        <v>18.5</v>
      </c>
      <c r="ES22" s="4">
        <v>25.8</v>
      </c>
      <c r="ET22" s="3">
        <v>6.4</v>
      </c>
      <c r="EU22" s="3">
        <v>18</v>
      </c>
      <c r="EV22" s="3">
        <v>21.6</v>
      </c>
      <c r="EW22" s="3">
        <v>18.8</v>
      </c>
      <c r="EX22" s="3">
        <v>33.200000000000003</v>
      </c>
      <c r="EY22" s="3">
        <v>23.4</v>
      </c>
      <c r="EZ22" s="3">
        <v>33.5</v>
      </c>
      <c r="FA22" s="3">
        <v>10.3</v>
      </c>
      <c r="FB22" s="3">
        <v>10.4</v>
      </c>
      <c r="FC22" s="3">
        <v>1.9</v>
      </c>
      <c r="FD22" s="3">
        <v>7.2</v>
      </c>
      <c r="FE22" s="3" t="e">
        <v>#N/A</v>
      </c>
      <c r="FF22" s="3" t="e">
        <v>#N/A</v>
      </c>
      <c r="FG22" s="3">
        <v>13.8</v>
      </c>
      <c r="FH22" s="3">
        <v>17.8</v>
      </c>
      <c r="FI22" s="3">
        <v>3.7</v>
      </c>
      <c r="FJ22" s="3">
        <v>15.7</v>
      </c>
      <c r="FK22" s="3">
        <v>33.1</v>
      </c>
      <c r="FL22" s="3">
        <v>5.7</v>
      </c>
      <c r="FM22" s="3">
        <v>34.1</v>
      </c>
    </row>
    <row r="23" spans="1:169" x14ac:dyDescent="0.35">
      <c r="A23" s="2">
        <v>1892</v>
      </c>
      <c r="B23" s="4">
        <v>60.2</v>
      </c>
      <c r="C23" s="4">
        <v>93.9</v>
      </c>
      <c r="D23" s="4">
        <v>63.1</v>
      </c>
      <c r="E23" s="4">
        <v>64.900000000000006</v>
      </c>
      <c r="F23" s="4">
        <v>71.900000000000006</v>
      </c>
      <c r="G23" s="4">
        <v>63.5</v>
      </c>
      <c r="H23" s="4">
        <v>100.7</v>
      </c>
      <c r="I23" s="4">
        <v>77.3</v>
      </c>
      <c r="J23" s="4">
        <v>73.3</v>
      </c>
      <c r="K23" s="3">
        <v>73.400000000000006</v>
      </c>
      <c r="L23" s="4">
        <v>65.599999999999994</v>
      </c>
      <c r="M23" s="4">
        <v>87.1</v>
      </c>
      <c r="N23" s="4">
        <v>65.5</v>
      </c>
      <c r="O23" s="3" t="e">
        <v>#N/A</v>
      </c>
      <c r="P23" s="4">
        <v>102.2</v>
      </c>
      <c r="Q23" s="4">
        <v>77.5</v>
      </c>
      <c r="R23" s="4">
        <v>171.8</v>
      </c>
      <c r="S23" s="4">
        <v>80.599999999999994</v>
      </c>
      <c r="T23" s="4">
        <v>74.099999999999994</v>
      </c>
      <c r="U23" s="3" t="e">
        <v>#N/A</v>
      </c>
      <c r="V23" s="4">
        <v>122.3</v>
      </c>
      <c r="W23" s="4">
        <v>89.1</v>
      </c>
      <c r="X23" s="4">
        <v>105.9</v>
      </c>
      <c r="Y23" s="3" t="e">
        <v>#N/A</v>
      </c>
      <c r="Z23" s="3" t="e">
        <v>#N/A</v>
      </c>
      <c r="AA23" s="3">
        <v>86.7</v>
      </c>
      <c r="AB23" s="4">
        <v>1024</v>
      </c>
      <c r="AC23" s="4">
        <v>130</v>
      </c>
      <c r="AD23" s="4">
        <v>1276.8</v>
      </c>
      <c r="AE23" s="4">
        <v>139.4</v>
      </c>
      <c r="AF23" s="4">
        <v>80.5</v>
      </c>
      <c r="AG23" s="4">
        <v>600.9</v>
      </c>
      <c r="AH23" s="4">
        <v>126.9</v>
      </c>
      <c r="AI23" s="4">
        <v>44.4</v>
      </c>
      <c r="AJ23" s="4">
        <v>56</v>
      </c>
      <c r="AK23" s="4">
        <v>35.200000000000003</v>
      </c>
      <c r="AL23" s="4">
        <v>57.5</v>
      </c>
      <c r="AM23" s="4">
        <v>28.3</v>
      </c>
      <c r="AN23" s="4">
        <v>31.4</v>
      </c>
      <c r="AO23" s="3" t="e">
        <v>#N/A</v>
      </c>
      <c r="AP23" s="4">
        <v>12.7</v>
      </c>
      <c r="AQ23" s="4">
        <v>71.5</v>
      </c>
      <c r="AR23" s="4">
        <v>29.6</v>
      </c>
      <c r="AS23" s="3">
        <v>33.5</v>
      </c>
      <c r="AT23" s="4">
        <v>3.8</v>
      </c>
      <c r="AU23" s="3" t="e">
        <v>#N/A</v>
      </c>
      <c r="AV23" s="4">
        <v>0.9</v>
      </c>
      <c r="AW23" s="4">
        <v>9.5</v>
      </c>
      <c r="AX23" s="4">
        <v>10.5</v>
      </c>
      <c r="AY23" s="3" t="e">
        <v>#N/A</v>
      </c>
      <c r="AZ23" s="3" t="e">
        <v>#N/A</v>
      </c>
      <c r="BA23" s="4">
        <v>24</v>
      </c>
      <c r="BB23" s="4">
        <v>114.1</v>
      </c>
      <c r="BC23" s="4">
        <v>85.2</v>
      </c>
      <c r="BD23" s="4">
        <v>113.7</v>
      </c>
      <c r="BE23" s="4">
        <v>114.3</v>
      </c>
      <c r="BF23" s="3">
        <v>137.5</v>
      </c>
      <c r="BG23" s="4">
        <v>143.9</v>
      </c>
      <c r="BH23" s="3">
        <v>83.2</v>
      </c>
      <c r="BI23" s="4">
        <v>56.3</v>
      </c>
      <c r="BJ23" s="4">
        <v>67.3</v>
      </c>
      <c r="BK23" s="4">
        <v>81.099999999999994</v>
      </c>
      <c r="BL23" s="3">
        <v>60.5</v>
      </c>
      <c r="BM23" s="4">
        <v>79.599999999999994</v>
      </c>
      <c r="BN23" s="4">
        <v>89.5</v>
      </c>
      <c r="BO23" s="4">
        <v>69.7</v>
      </c>
      <c r="BP23" s="4">
        <v>75.3</v>
      </c>
      <c r="BQ23" s="4">
        <v>112.3</v>
      </c>
      <c r="BR23" s="4">
        <v>96.2</v>
      </c>
      <c r="BS23" s="3">
        <v>84.6</v>
      </c>
      <c r="BT23" s="4">
        <v>62.9</v>
      </c>
      <c r="BU23" s="4">
        <v>171.3</v>
      </c>
      <c r="BV23" s="3" t="e">
        <v>#N/A</v>
      </c>
      <c r="BW23" s="3" t="e">
        <v>#N/A</v>
      </c>
      <c r="BX23" s="3" t="e">
        <v>#N/A</v>
      </c>
      <c r="BY23" s="4">
        <v>57.8</v>
      </c>
      <c r="BZ23" s="3">
        <v>80.5</v>
      </c>
      <c r="CA23" s="4">
        <v>121.7</v>
      </c>
      <c r="CB23" s="4">
        <v>55</v>
      </c>
      <c r="CC23" s="4">
        <v>90.8</v>
      </c>
      <c r="CD23" s="4">
        <v>124.1</v>
      </c>
      <c r="CE23" s="4">
        <v>114.2</v>
      </c>
      <c r="CF23" s="4">
        <v>39.1</v>
      </c>
      <c r="CG23" s="4">
        <v>102.9</v>
      </c>
      <c r="CH23" s="4">
        <v>72.400000000000006</v>
      </c>
      <c r="CI23" s="4">
        <v>15.8</v>
      </c>
      <c r="CJ23" s="4">
        <v>23.8</v>
      </c>
      <c r="CK23" s="4">
        <v>76.2</v>
      </c>
      <c r="CL23" s="4">
        <v>45.6</v>
      </c>
      <c r="CM23" s="4">
        <v>47.2</v>
      </c>
      <c r="CN23" s="4">
        <v>3.1</v>
      </c>
      <c r="CO23" s="4">
        <v>60.7</v>
      </c>
      <c r="CP23" s="4">
        <v>24.7</v>
      </c>
      <c r="CQ23" s="4">
        <v>51.3</v>
      </c>
      <c r="CR23" s="4">
        <v>56.3</v>
      </c>
      <c r="CS23" s="4">
        <v>105.6</v>
      </c>
      <c r="CT23" s="4">
        <v>284.5</v>
      </c>
      <c r="CU23" s="4">
        <v>27.9</v>
      </c>
      <c r="CV23" s="4">
        <v>107.7</v>
      </c>
      <c r="CW23" s="4">
        <v>55.8</v>
      </c>
      <c r="CX23" s="4">
        <v>78</v>
      </c>
      <c r="CY23" s="4">
        <v>8.1</v>
      </c>
      <c r="CZ23" s="3" t="e">
        <v>#N/A</v>
      </c>
      <c r="DA23" s="3" t="e">
        <v>#N/A</v>
      </c>
      <c r="DB23" s="3" t="e">
        <v>#N/A</v>
      </c>
      <c r="DC23" s="4">
        <v>54.5</v>
      </c>
      <c r="DD23" s="4">
        <v>128.5</v>
      </c>
      <c r="DE23" s="4">
        <v>37.6</v>
      </c>
      <c r="DF23" s="4">
        <v>25.3</v>
      </c>
      <c r="DG23" s="4">
        <v>185.6</v>
      </c>
      <c r="DH23" s="4">
        <v>37</v>
      </c>
      <c r="DI23" s="4">
        <v>35.200000000000003</v>
      </c>
      <c r="DJ23" s="4">
        <v>36.1</v>
      </c>
      <c r="DK23" s="4">
        <v>161.9</v>
      </c>
      <c r="DL23" s="4">
        <v>31.1</v>
      </c>
      <c r="DM23" s="4">
        <v>56.5</v>
      </c>
      <c r="DN23" s="4">
        <v>46.5</v>
      </c>
      <c r="DO23" s="4">
        <v>10.1</v>
      </c>
      <c r="DP23" s="4">
        <v>86.3</v>
      </c>
      <c r="DQ23" s="4">
        <v>15.3</v>
      </c>
      <c r="DR23" s="4">
        <v>21.7</v>
      </c>
      <c r="DS23" s="4">
        <v>9.9</v>
      </c>
      <c r="DT23" s="4">
        <v>217.1</v>
      </c>
      <c r="DU23" s="3">
        <v>12.7</v>
      </c>
      <c r="DV23" s="4">
        <v>18.7</v>
      </c>
      <c r="DW23" s="4">
        <v>1.5</v>
      </c>
      <c r="DX23" s="4">
        <v>8.6999999999999993</v>
      </c>
      <c r="DY23" s="4">
        <v>4.7</v>
      </c>
      <c r="DZ23" s="4">
        <v>4.2</v>
      </c>
      <c r="EA23" s="3">
        <v>38</v>
      </c>
      <c r="EB23" s="4">
        <v>4.2</v>
      </c>
      <c r="EC23" s="4">
        <v>1.5</v>
      </c>
      <c r="ED23" s="4">
        <v>0.4</v>
      </c>
      <c r="EE23" s="4">
        <v>11.4</v>
      </c>
      <c r="EF23" s="4">
        <v>23.3</v>
      </c>
      <c r="EG23" s="3" t="e">
        <v>#N/A</v>
      </c>
      <c r="EH23" s="4">
        <v>4.2</v>
      </c>
      <c r="EI23" s="4">
        <v>4.5</v>
      </c>
      <c r="EJ23" s="4">
        <v>14.5</v>
      </c>
      <c r="EK23" s="4">
        <v>14.4</v>
      </c>
      <c r="EL23" s="4">
        <v>86.1</v>
      </c>
      <c r="EM23" s="3">
        <v>3.6</v>
      </c>
      <c r="EN23" s="4">
        <v>5</v>
      </c>
      <c r="EO23" s="4">
        <v>108.1</v>
      </c>
      <c r="EP23" s="4">
        <v>13.8</v>
      </c>
      <c r="EQ23" s="4">
        <v>28.1</v>
      </c>
      <c r="ER23" s="4">
        <v>16.7</v>
      </c>
      <c r="ES23" s="4">
        <v>29.4</v>
      </c>
      <c r="ET23" s="3">
        <v>6.2</v>
      </c>
      <c r="EU23" s="3">
        <v>16.2</v>
      </c>
      <c r="EV23" s="3">
        <v>24.4</v>
      </c>
      <c r="EW23" s="3">
        <v>21.2</v>
      </c>
      <c r="EX23" s="3">
        <v>36.700000000000003</v>
      </c>
      <c r="EY23" s="3">
        <v>28.1</v>
      </c>
      <c r="EZ23" s="3">
        <v>33.799999999999997</v>
      </c>
      <c r="FA23" s="3">
        <v>12.2</v>
      </c>
      <c r="FB23" s="3">
        <v>10.9</v>
      </c>
      <c r="FC23" s="3">
        <v>2.2000000000000002</v>
      </c>
      <c r="FD23" s="3">
        <v>7.5</v>
      </c>
      <c r="FE23" s="3" t="e">
        <v>#N/A</v>
      </c>
      <c r="FF23" s="3" t="e">
        <v>#N/A</v>
      </c>
      <c r="FG23" s="3">
        <v>15</v>
      </c>
      <c r="FH23" s="3">
        <v>18.3</v>
      </c>
      <c r="FI23" s="3">
        <v>5.0999999999999996</v>
      </c>
      <c r="FJ23" s="3">
        <v>15.9</v>
      </c>
      <c r="FK23" s="3">
        <v>24.6</v>
      </c>
      <c r="FL23" s="3">
        <v>6.2</v>
      </c>
      <c r="FM23" s="3">
        <v>36.6</v>
      </c>
    </row>
    <row r="24" spans="1:169" x14ac:dyDescent="0.35">
      <c r="A24" s="2">
        <v>1893</v>
      </c>
      <c r="B24" s="4">
        <v>64.7</v>
      </c>
      <c r="C24" s="4">
        <v>80.2</v>
      </c>
      <c r="D24" s="4">
        <v>67.599999999999994</v>
      </c>
      <c r="E24" s="4">
        <v>82.7</v>
      </c>
      <c r="F24" s="4">
        <v>90.9</v>
      </c>
      <c r="G24" s="4">
        <v>66.8</v>
      </c>
      <c r="H24" s="4">
        <v>92.9</v>
      </c>
      <c r="I24" s="4">
        <v>86.4</v>
      </c>
      <c r="J24" s="4">
        <v>74.5</v>
      </c>
      <c r="K24" s="4">
        <v>71.599999999999994</v>
      </c>
      <c r="L24" s="4">
        <v>64.7</v>
      </c>
      <c r="M24" s="4">
        <v>93.5</v>
      </c>
      <c r="N24" s="3">
        <v>65.8</v>
      </c>
      <c r="O24" s="3" t="e">
        <v>#N/A</v>
      </c>
      <c r="P24" s="4">
        <v>95.9</v>
      </c>
      <c r="Q24" s="4">
        <v>59.4</v>
      </c>
      <c r="R24" s="4">
        <v>132.6</v>
      </c>
      <c r="S24" s="4">
        <v>68.3</v>
      </c>
      <c r="T24" s="4">
        <v>66</v>
      </c>
      <c r="U24" s="3" t="e">
        <v>#N/A</v>
      </c>
      <c r="V24" s="4">
        <v>102.9</v>
      </c>
      <c r="W24" s="4">
        <v>87.5</v>
      </c>
      <c r="X24" s="4">
        <v>104.8</v>
      </c>
      <c r="Y24" s="3" t="e">
        <v>#N/A</v>
      </c>
      <c r="Z24" s="3" t="e">
        <v>#N/A</v>
      </c>
      <c r="AA24" s="4">
        <v>89.4</v>
      </c>
      <c r="AB24" s="4">
        <v>613.29999999999995</v>
      </c>
      <c r="AC24" s="4">
        <v>105.7</v>
      </c>
      <c r="AD24" s="4">
        <v>938</v>
      </c>
      <c r="AE24" s="4">
        <v>99.7</v>
      </c>
      <c r="AF24" s="4">
        <v>64.599999999999994</v>
      </c>
      <c r="AG24" s="4">
        <v>475.5</v>
      </c>
      <c r="AH24" s="4">
        <v>119.4</v>
      </c>
      <c r="AI24" s="4">
        <v>37.700000000000003</v>
      </c>
      <c r="AJ24" s="4">
        <v>60.4</v>
      </c>
      <c r="AK24" s="4">
        <v>44.1</v>
      </c>
      <c r="AL24" s="4">
        <v>54.8</v>
      </c>
      <c r="AM24" s="4">
        <v>26.9</v>
      </c>
      <c r="AN24" s="4">
        <v>29.3</v>
      </c>
      <c r="AO24" s="3" t="e">
        <v>#N/A</v>
      </c>
      <c r="AP24" s="4">
        <v>18.899999999999999</v>
      </c>
      <c r="AQ24" s="4">
        <v>78.900000000000006</v>
      </c>
      <c r="AR24" s="4">
        <v>42</v>
      </c>
      <c r="AS24" s="3">
        <v>39.4</v>
      </c>
      <c r="AT24" s="4">
        <v>15.3</v>
      </c>
      <c r="AU24" s="3" t="e">
        <v>#N/A</v>
      </c>
      <c r="AV24" s="4">
        <v>1.7</v>
      </c>
      <c r="AW24" s="4">
        <v>10.9</v>
      </c>
      <c r="AX24" s="4">
        <v>12</v>
      </c>
      <c r="AY24" s="3" t="e">
        <v>#N/A</v>
      </c>
      <c r="AZ24" s="3" t="e">
        <v>#N/A</v>
      </c>
      <c r="BA24" s="4">
        <v>23.3</v>
      </c>
      <c r="BB24" s="4">
        <v>101.2</v>
      </c>
      <c r="BC24" s="4">
        <v>86.3</v>
      </c>
      <c r="BD24" s="4">
        <v>132.30000000000001</v>
      </c>
      <c r="BE24" s="4">
        <v>129.19999999999999</v>
      </c>
      <c r="BF24" s="4">
        <v>146.69999999999999</v>
      </c>
      <c r="BG24" s="4">
        <v>159.80000000000001</v>
      </c>
      <c r="BH24" s="4">
        <v>89.6</v>
      </c>
      <c r="BI24" s="3">
        <v>53.5</v>
      </c>
      <c r="BJ24" s="4">
        <v>73.7</v>
      </c>
      <c r="BK24" s="4">
        <v>80.7</v>
      </c>
      <c r="BL24" s="4">
        <v>55.3</v>
      </c>
      <c r="BM24" s="4">
        <v>79.2</v>
      </c>
      <c r="BN24" s="4">
        <v>90.2</v>
      </c>
      <c r="BO24" s="4">
        <v>70.599999999999994</v>
      </c>
      <c r="BP24" s="4">
        <v>74.8</v>
      </c>
      <c r="BQ24" s="4">
        <v>117.6</v>
      </c>
      <c r="BR24" s="4">
        <v>101.9</v>
      </c>
      <c r="BS24" s="4">
        <v>86</v>
      </c>
      <c r="BT24" s="4">
        <v>62.4</v>
      </c>
      <c r="BU24" s="4">
        <v>177.7</v>
      </c>
      <c r="BV24" s="3" t="e">
        <v>#N/A</v>
      </c>
      <c r="BW24" s="3" t="e">
        <v>#N/A</v>
      </c>
      <c r="BX24" s="3" t="e">
        <v>#N/A</v>
      </c>
      <c r="BY24" s="4">
        <v>67.099999999999994</v>
      </c>
      <c r="BZ24" s="4">
        <v>74.2</v>
      </c>
      <c r="CA24" s="4">
        <v>103.2</v>
      </c>
      <c r="CB24" s="4">
        <v>55.1</v>
      </c>
      <c r="CC24" s="3">
        <v>88</v>
      </c>
      <c r="CD24" s="4">
        <v>121</v>
      </c>
      <c r="CE24" s="4">
        <v>112.6</v>
      </c>
      <c r="CF24" s="4">
        <v>42.2</v>
      </c>
      <c r="CG24" s="4">
        <v>92.6</v>
      </c>
      <c r="CH24" s="4">
        <v>63.7</v>
      </c>
      <c r="CI24" s="4">
        <v>13.6</v>
      </c>
      <c r="CJ24" s="4">
        <v>23.9</v>
      </c>
      <c r="CK24" s="4">
        <v>78.5</v>
      </c>
      <c r="CL24" s="4">
        <v>35.4</v>
      </c>
      <c r="CM24" s="4">
        <v>40.200000000000003</v>
      </c>
      <c r="CN24" s="4">
        <v>3.3</v>
      </c>
      <c r="CO24" s="4">
        <v>61.1</v>
      </c>
      <c r="CP24" s="4">
        <v>24.6</v>
      </c>
      <c r="CQ24" s="4">
        <v>54.6</v>
      </c>
      <c r="CR24" s="4">
        <v>52.2</v>
      </c>
      <c r="CS24" s="4">
        <v>68.7</v>
      </c>
      <c r="CT24" s="4">
        <v>230.7</v>
      </c>
      <c r="CU24" s="4">
        <v>16.2</v>
      </c>
      <c r="CV24" s="4">
        <v>105</v>
      </c>
      <c r="CW24" s="4">
        <v>52.9</v>
      </c>
      <c r="CX24" s="4">
        <v>74.400000000000006</v>
      </c>
      <c r="CY24" s="4">
        <v>9.1</v>
      </c>
      <c r="CZ24" s="3" t="e">
        <v>#N/A</v>
      </c>
      <c r="DA24" s="3" t="e">
        <v>#N/A</v>
      </c>
      <c r="DB24" s="3" t="e">
        <v>#N/A</v>
      </c>
      <c r="DC24" s="4">
        <v>36.299999999999997</v>
      </c>
      <c r="DD24" s="3">
        <v>123.4</v>
      </c>
      <c r="DE24" s="4">
        <v>62</v>
      </c>
      <c r="DF24" s="4">
        <v>23.4</v>
      </c>
      <c r="DG24" s="4">
        <v>170.8</v>
      </c>
      <c r="DH24" s="4">
        <v>31.7</v>
      </c>
      <c r="DI24" s="4">
        <v>33.9</v>
      </c>
      <c r="DJ24" s="4">
        <v>23.3</v>
      </c>
      <c r="DK24" s="4">
        <v>112.5</v>
      </c>
      <c r="DL24" s="4">
        <v>24.5</v>
      </c>
      <c r="DM24" s="4">
        <v>51.5</v>
      </c>
      <c r="DN24" s="4">
        <v>47.3</v>
      </c>
      <c r="DO24" s="4">
        <v>8.4</v>
      </c>
      <c r="DP24" s="4">
        <v>74.900000000000006</v>
      </c>
      <c r="DQ24" s="4">
        <v>14.5</v>
      </c>
      <c r="DR24" s="4">
        <v>23.8</v>
      </c>
      <c r="DS24" s="4">
        <v>12.1</v>
      </c>
      <c r="DT24" s="4">
        <v>204.1</v>
      </c>
      <c r="DU24" s="4">
        <v>13</v>
      </c>
      <c r="DV24" s="4">
        <v>17.600000000000001</v>
      </c>
      <c r="DW24" s="4">
        <v>1.7</v>
      </c>
      <c r="DX24" s="4">
        <v>12.3</v>
      </c>
      <c r="DY24" s="4">
        <v>4</v>
      </c>
      <c r="DZ24" s="4">
        <v>4.5999999999999996</v>
      </c>
      <c r="EA24" s="4">
        <v>37.9</v>
      </c>
      <c r="EB24" s="4">
        <v>15.2</v>
      </c>
      <c r="EC24" s="4">
        <v>2.5</v>
      </c>
      <c r="ED24" s="4">
        <v>0.6</v>
      </c>
      <c r="EE24" s="4">
        <v>12.8</v>
      </c>
      <c r="EF24" s="4">
        <v>26.3</v>
      </c>
      <c r="EG24" s="3" t="e">
        <v>#N/A</v>
      </c>
      <c r="EH24" s="4">
        <v>4.4000000000000004</v>
      </c>
      <c r="EI24" s="4">
        <v>4.5</v>
      </c>
      <c r="EJ24" s="4">
        <v>13.9</v>
      </c>
      <c r="EK24" s="4">
        <v>13.1</v>
      </c>
      <c r="EL24" s="4">
        <v>88.2</v>
      </c>
      <c r="EM24" s="4">
        <v>3.5</v>
      </c>
      <c r="EN24" s="4">
        <v>5.4</v>
      </c>
      <c r="EO24" s="4">
        <v>123.7</v>
      </c>
      <c r="EP24" s="4">
        <v>11.5</v>
      </c>
      <c r="EQ24" s="4">
        <v>22.8</v>
      </c>
      <c r="ER24" s="4">
        <v>19.2</v>
      </c>
      <c r="ES24" s="4">
        <v>29.5</v>
      </c>
      <c r="ET24" s="3">
        <v>5.7</v>
      </c>
      <c r="EU24" s="3">
        <v>17.100000000000001</v>
      </c>
      <c r="EV24" s="3">
        <v>22.8</v>
      </c>
      <c r="EW24" s="3">
        <v>14</v>
      </c>
      <c r="EX24" s="3">
        <v>29.6</v>
      </c>
      <c r="EY24" s="3">
        <v>17.100000000000001</v>
      </c>
      <c r="EZ24" s="3">
        <v>34.9</v>
      </c>
      <c r="FA24" s="3">
        <v>11.7</v>
      </c>
      <c r="FB24" s="3">
        <v>10.3</v>
      </c>
      <c r="FC24" s="3">
        <v>2.6</v>
      </c>
      <c r="FD24" s="3">
        <v>7.5</v>
      </c>
      <c r="FE24" s="3" t="e">
        <v>#N/A</v>
      </c>
      <c r="FF24" s="3" t="e">
        <v>#N/A</v>
      </c>
      <c r="FG24" s="3">
        <v>11.5</v>
      </c>
      <c r="FH24" s="3">
        <v>16.2</v>
      </c>
      <c r="FI24" s="3">
        <v>7.1</v>
      </c>
      <c r="FJ24" s="3">
        <v>14.8</v>
      </c>
      <c r="FK24" s="3">
        <v>21.9</v>
      </c>
      <c r="FL24" s="3">
        <v>5.2</v>
      </c>
      <c r="FM24" s="3">
        <v>34.799999999999997</v>
      </c>
    </row>
    <row r="25" spans="1:169" x14ac:dyDescent="0.35">
      <c r="A25" s="2">
        <v>1894</v>
      </c>
      <c r="B25" s="4">
        <v>59</v>
      </c>
      <c r="C25" s="4">
        <v>69.7</v>
      </c>
      <c r="D25" s="4">
        <v>64.7</v>
      </c>
      <c r="E25" s="4">
        <v>69.400000000000006</v>
      </c>
      <c r="F25" s="4">
        <v>75.099999999999994</v>
      </c>
      <c r="G25" s="4">
        <v>63.9</v>
      </c>
      <c r="H25" s="4">
        <v>78.599999999999994</v>
      </c>
      <c r="I25" s="3">
        <v>75.8</v>
      </c>
      <c r="J25" s="4">
        <v>71.900000000000006</v>
      </c>
      <c r="K25" s="4">
        <v>68.099999999999994</v>
      </c>
      <c r="L25" s="4">
        <v>50.8</v>
      </c>
      <c r="M25" s="3">
        <v>85.7</v>
      </c>
      <c r="N25" s="4">
        <v>65.3</v>
      </c>
      <c r="O25" s="3" t="e">
        <v>#N/A</v>
      </c>
      <c r="P25" s="4">
        <v>87</v>
      </c>
      <c r="Q25" s="4">
        <v>70</v>
      </c>
      <c r="R25" s="4">
        <v>111.3</v>
      </c>
      <c r="S25" s="4">
        <v>63.7</v>
      </c>
      <c r="T25" s="4">
        <v>60.2</v>
      </c>
      <c r="U25" s="3" t="e">
        <v>#N/A</v>
      </c>
      <c r="V25" s="4">
        <v>84.9</v>
      </c>
      <c r="W25" s="4">
        <v>79.7</v>
      </c>
      <c r="X25" s="4">
        <v>102.3</v>
      </c>
      <c r="Y25" s="3" t="e">
        <v>#N/A</v>
      </c>
      <c r="Z25" s="3" t="e">
        <v>#N/A</v>
      </c>
      <c r="AA25" s="4">
        <v>81.5</v>
      </c>
      <c r="AB25" s="4">
        <v>1178.3</v>
      </c>
      <c r="AC25" s="4">
        <v>68.400000000000006</v>
      </c>
      <c r="AD25" s="4">
        <v>1054.5</v>
      </c>
      <c r="AE25" s="4">
        <v>125</v>
      </c>
      <c r="AF25" s="4">
        <v>83.9</v>
      </c>
      <c r="AG25" s="4">
        <v>511.3</v>
      </c>
      <c r="AH25" s="4">
        <v>117.4</v>
      </c>
      <c r="AI25" s="4">
        <v>38.299999999999997</v>
      </c>
      <c r="AJ25" s="4">
        <v>67.7</v>
      </c>
      <c r="AK25" s="4">
        <v>50.1</v>
      </c>
      <c r="AL25" s="4">
        <v>68.599999999999994</v>
      </c>
      <c r="AM25" s="4">
        <v>32.700000000000003</v>
      </c>
      <c r="AN25" s="4">
        <v>32.700000000000003</v>
      </c>
      <c r="AO25" s="3" t="e">
        <v>#N/A</v>
      </c>
      <c r="AP25" s="4">
        <v>19.3</v>
      </c>
      <c r="AQ25" s="4">
        <v>78.7</v>
      </c>
      <c r="AR25" s="4">
        <v>36</v>
      </c>
      <c r="AS25" s="3">
        <v>40.799999999999997</v>
      </c>
      <c r="AT25" s="4">
        <v>17.600000000000001</v>
      </c>
      <c r="AU25" s="3" t="e">
        <v>#N/A</v>
      </c>
      <c r="AV25" s="4">
        <v>2.1</v>
      </c>
      <c r="AW25" s="4">
        <v>12.4</v>
      </c>
      <c r="AX25" s="4">
        <v>11.3</v>
      </c>
      <c r="AY25" s="3" t="e">
        <v>#N/A</v>
      </c>
      <c r="AZ25" s="3" t="e">
        <v>#N/A</v>
      </c>
      <c r="BA25" s="4">
        <v>26.9</v>
      </c>
      <c r="BB25" s="4">
        <v>78.3</v>
      </c>
      <c r="BC25" s="4">
        <v>74.099999999999994</v>
      </c>
      <c r="BD25" s="4">
        <v>125.9</v>
      </c>
      <c r="BE25" s="4">
        <v>94</v>
      </c>
      <c r="BF25" s="4">
        <v>165</v>
      </c>
      <c r="BG25" s="4">
        <v>128</v>
      </c>
      <c r="BH25" s="4">
        <v>93.7</v>
      </c>
      <c r="BI25" s="4">
        <v>55</v>
      </c>
      <c r="BJ25" s="4">
        <v>69.599999999999994</v>
      </c>
      <c r="BK25" s="4">
        <v>77.7</v>
      </c>
      <c r="BL25" s="4">
        <v>54.8</v>
      </c>
      <c r="BM25" s="4">
        <v>56.9</v>
      </c>
      <c r="BN25" s="4">
        <v>86.6</v>
      </c>
      <c r="BO25" s="4">
        <v>63.4</v>
      </c>
      <c r="BP25" s="4">
        <v>73.8</v>
      </c>
      <c r="BQ25" s="3">
        <v>88.5</v>
      </c>
      <c r="BR25" s="4">
        <v>91.2</v>
      </c>
      <c r="BS25" s="4">
        <v>90.9</v>
      </c>
      <c r="BT25" s="4">
        <v>66.2</v>
      </c>
      <c r="BU25" s="4">
        <v>161.1</v>
      </c>
      <c r="BV25" s="3" t="e">
        <v>#N/A</v>
      </c>
      <c r="BW25" s="3" t="e">
        <v>#N/A</v>
      </c>
      <c r="BX25" s="3" t="e">
        <v>#N/A</v>
      </c>
      <c r="BY25" s="4">
        <v>54.2</v>
      </c>
      <c r="BZ25" s="4">
        <v>64.5</v>
      </c>
      <c r="CA25" s="3">
        <v>81.7</v>
      </c>
      <c r="CB25" s="3">
        <v>42.8</v>
      </c>
      <c r="CC25" s="3">
        <v>84.3</v>
      </c>
      <c r="CD25" s="3">
        <v>112.1</v>
      </c>
      <c r="CE25" s="4">
        <v>98.4</v>
      </c>
      <c r="CF25" s="4">
        <v>44.7</v>
      </c>
      <c r="CG25" s="4">
        <v>114.7</v>
      </c>
      <c r="CH25" s="4">
        <v>71</v>
      </c>
      <c r="CI25" s="4">
        <v>13.3</v>
      </c>
      <c r="CJ25" s="4">
        <v>19.5</v>
      </c>
      <c r="CK25" s="4">
        <v>84.9</v>
      </c>
      <c r="CL25" s="4">
        <v>44.3</v>
      </c>
      <c r="CM25" s="4">
        <v>31.8</v>
      </c>
      <c r="CN25" s="4">
        <v>2.9</v>
      </c>
      <c r="CO25" s="4">
        <v>52.9</v>
      </c>
      <c r="CP25" s="4">
        <v>22.4</v>
      </c>
      <c r="CQ25" s="4">
        <v>41.5</v>
      </c>
      <c r="CR25" s="4">
        <v>49</v>
      </c>
      <c r="CS25" s="4">
        <v>72.7</v>
      </c>
      <c r="CT25" s="4">
        <v>130.6</v>
      </c>
      <c r="CU25" s="4">
        <v>28.1</v>
      </c>
      <c r="CV25" s="4">
        <v>88.1</v>
      </c>
      <c r="CW25" s="4">
        <v>41.5</v>
      </c>
      <c r="CX25" s="4">
        <v>50.5</v>
      </c>
      <c r="CY25" s="4">
        <v>4.3</v>
      </c>
      <c r="CZ25" s="3" t="e">
        <v>#N/A</v>
      </c>
      <c r="DA25" s="3" t="e">
        <v>#N/A</v>
      </c>
      <c r="DB25" s="3" t="e">
        <v>#N/A</v>
      </c>
      <c r="DC25" s="4">
        <v>31.2</v>
      </c>
      <c r="DD25" s="4">
        <v>116.2</v>
      </c>
      <c r="DE25" s="4">
        <v>50.5</v>
      </c>
      <c r="DF25" s="4">
        <v>20.5</v>
      </c>
      <c r="DG25" s="4">
        <v>128.69999999999999</v>
      </c>
      <c r="DH25" s="4">
        <v>28.1</v>
      </c>
      <c r="DI25" s="4">
        <v>34.299999999999997</v>
      </c>
      <c r="DJ25" s="4">
        <v>40.799999999999997</v>
      </c>
      <c r="DK25" s="4">
        <v>63.3</v>
      </c>
      <c r="DL25" s="4">
        <v>26.4</v>
      </c>
      <c r="DM25" s="4">
        <v>54.2</v>
      </c>
      <c r="DN25" s="4">
        <v>50.6</v>
      </c>
      <c r="DO25" s="4">
        <v>8.6</v>
      </c>
      <c r="DP25" s="4">
        <v>62.3</v>
      </c>
      <c r="DQ25" s="4">
        <v>13</v>
      </c>
      <c r="DR25" s="4">
        <v>25.8</v>
      </c>
      <c r="DS25" s="4">
        <v>13.1</v>
      </c>
      <c r="DT25" s="4">
        <v>200.4</v>
      </c>
      <c r="DU25" s="4">
        <v>14.5</v>
      </c>
      <c r="DV25" s="4">
        <v>19.399999999999999</v>
      </c>
      <c r="DW25" s="4">
        <v>2.1</v>
      </c>
      <c r="DX25" s="4">
        <v>11.3</v>
      </c>
      <c r="DY25" s="4">
        <v>4.7</v>
      </c>
      <c r="DZ25" s="4">
        <v>3.3</v>
      </c>
      <c r="EA25" s="4">
        <v>36.6</v>
      </c>
      <c r="EB25" s="4">
        <v>15.9</v>
      </c>
      <c r="EC25" s="4">
        <v>2.4</v>
      </c>
      <c r="ED25" s="4">
        <v>0.7</v>
      </c>
      <c r="EE25" s="4">
        <v>13.3</v>
      </c>
      <c r="EF25" s="4">
        <v>24</v>
      </c>
      <c r="EG25" s="3" t="e">
        <v>#N/A</v>
      </c>
      <c r="EH25" s="4">
        <v>5</v>
      </c>
      <c r="EI25" s="4">
        <v>4.7</v>
      </c>
      <c r="EJ25" s="4">
        <v>11.4</v>
      </c>
      <c r="EK25" s="4">
        <v>13.9</v>
      </c>
      <c r="EL25" s="4">
        <v>93.5</v>
      </c>
      <c r="EM25" s="4">
        <v>2.5</v>
      </c>
      <c r="EN25" s="4">
        <v>5</v>
      </c>
      <c r="EO25" s="4">
        <v>107.1</v>
      </c>
      <c r="EP25" s="4">
        <v>15.1</v>
      </c>
      <c r="EQ25" s="4">
        <v>18.5</v>
      </c>
      <c r="ER25" s="3">
        <v>16.2</v>
      </c>
      <c r="ES25" s="4">
        <v>24.5</v>
      </c>
      <c r="ET25" s="3">
        <v>5.0999999999999996</v>
      </c>
      <c r="EU25" s="3">
        <v>9.4</v>
      </c>
      <c r="EV25" s="3">
        <v>20.5</v>
      </c>
      <c r="EW25" s="3">
        <v>13.3</v>
      </c>
      <c r="EX25" s="3">
        <v>16.5</v>
      </c>
      <c r="EY25" s="3">
        <v>22.3</v>
      </c>
      <c r="EZ25" s="3">
        <v>26.2</v>
      </c>
      <c r="FA25" s="3">
        <v>9.6999999999999993</v>
      </c>
      <c r="FB25" s="3">
        <v>7.4</v>
      </c>
      <c r="FC25" s="3">
        <v>1.1000000000000001</v>
      </c>
      <c r="FD25" s="3">
        <v>5.9</v>
      </c>
      <c r="FE25" s="3" t="e">
        <v>#N/A</v>
      </c>
      <c r="FF25" s="3" t="e">
        <v>#N/A</v>
      </c>
      <c r="FG25" s="3">
        <v>8</v>
      </c>
      <c r="FH25" s="3">
        <v>13.2</v>
      </c>
      <c r="FI25" s="3">
        <v>4.5999999999999996</v>
      </c>
      <c r="FJ25" s="3">
        <v>10</v>
      </c>
      <c r="FK25" s="3">
        <v>15.8</v>
      </c>
      <c r="FL25" s="3">
        <v>3.8</v>
      </c>
      <c r="FM25" s="3">
        <v>30.7</v>
      </c>
    </row>
    <row r="26" spans="1:169" x14ac:dyDescent="0.35">
      <c r="A26" s="2">
        <v>1895</v>
      </c>
      <c r="B26" s="4">
        <v>64</v>
      </c>
      <c r="C26" s="4">
        <v>70.599999999999994</v>
      </c>
      <c r="D26" s="4">
        <v>67.3</v>
      </c>
      <c r="E26" s="4">
        <v>65.2</v>
      </c>
      <c r="F26" s="4">
        <v>66.2</v>
      </c>
      <c r="G26" s="4">
        <v>56.8</v>
      </c>
      <c r="H26" s="4">
        <v>74.400000000000006</v>
      </c>
      <c r="I26" s="3">
        <v>63.8</v>
      </c>
      <c r="J26" s="4">
        <v>71.5</v>
      </c>
      <c r="K26" s="4">
        <v>81.900000000000006</v>
      </c>
      <c r="L26" s="4">
        <v>53.3</v>
      </c>
      <c r="M26" s="4">
        <v>81.3</v>
      </c>
      <c r="N26" s="4">
        <v>60.4</v>
      </c>
      <c r="O26" s="3" t="e">
        <v>#N/A</v>
      </c>
      <c r="P26" s="4">
        <v>81.599999999999994</v>
      </c>
      <c r="Q26" s="4">
        <v>93.3</v>
      </c>
      <c r="R26" s="4">
        <v>113.8</v>
      </c>
      <c r="S26" s="4">
        <v>90.8</v>
      </c>
      <c r="T26" s="4">
        <v>65.400000000000006</v>
      </c>
      <c r="U26" s="3" t="e">
        <v>#N/A</v>
      </c>
      <c r="V26" s="4">
        <v>94.4</v>
      </c>
      <c r="W26" s="3">
        <v>81.099999999999994</v>
      </c>
      <c r="X26" s="4">
        <v>109.1</v>
      </c>
      <c r="Y26" s="3" t="e">
        <v>#N/A</v>
      </c>
      <c r="Z26" s="3" t="e">
        <v>#N/A</v>
      </c>
      <c r="AA26" s="4">
        <v>75.599999999999994</v>
      </c>
      <c r="AB26" s="4">
        <v>812</v>
      </c>
      <c r="AC26" s="4">
        <v>75.7</v>
      </c>
      <c r="AD26" s="4">
        <v>989.3</v>
      </c>
      <c r="AE26" s="4">
        <v>133.9</v>
      </c>
      <c r="AF26" s="4">
        <v>84.8</v>
      </c>
      <c r="AG26" s="4">
        <v>389.5</v>
      </c>
      <c r="AH26" s="4">
        <v>108.2</v>
      </c>
      <c r="AI26" s="4">
        <v>50.1</v>
      </c>
      <c r="AJ26" s="4">
        <v>65.3</v>
      </c>
      <c r="AK26" s="4">
        <v>51.6</v>
      </c>
      <c r="AL26" s="4">
        <v>62</v>
      </c>
      <c r="AM26" s="3">
        <v>33.299999999999997</v>
      </c>
      <c r="AN26" s="4">
        <v>36.1</v>
      </c>
      <c r="AO26" s="3" t="e">
        <v>#N/A</v>
      </c>
      <c r="AP26" s="4">
        <v>19.5</v>
      </c>
      <c r="AQ26" s="4">
        <v>79.599999999999994</v>
      </c>
      <c r="AR26" s="4">
        <v>48.4</v>
      </c>
      <c r="AS26" s="4">
        <v>39.700000000000003</v>
      </c>
      <c r="AT26" s="4">
        <v>13</v>
      </c>
      <c r="AU26" s="3" t="e">
        <v>#N/A</v>
      </c>
      <c r="AV26" s="4">
        <v>2.1</v>
      </c>
      <c r="AW26" s="4">
        <v>14.4</v>
      </c>
      <c r="AX26" s="4">
        <v>12.4</v>
      </c>
      <c r="AY26" s="3" t="e">
        <v>#N/A</v>
      </c>
      <c r="AZ26" s="3" t="e">
        <v>#N/A</v>
      </c>
      <c r="BA26" s="4">
        <v>34.299999999999997</v>
      </c>
      <c r="BB26" s="4">
        <v>79.599999999999994</v>
      </c>
      <c r="BC26" s="4">
        <v>73.8</v>
      </c>
      <c r="BD26" s="4">
        <v>122.4</v>
      </c>
      <c r="BE26" s="4">
        <v>84.5</v>
      </c>
      <c r="BF26" s="4">
        <v>137.5</v>
      </c>
      <c r="BG26" s="4">
        <v>94.7</v>
      </c>
      <c r="BH26" s="4">
        <v>86.1</v>
      </c>
      <c r="BI26" s="4">
        <v>60</v>
      </c>
      <c r="BJ26" s="4">
        <v>70.2</v>
      </c>
      <c r="BK26" s="4">
        <v>76.900000000000006</v>
      </c>
      <c r="BL26" s="3">
        <v>52.8</v>
      </c>
      <c r="BM26" s="4">
        <v>49.7</v>
      </c>
      <c r="BN26" s="4">
        <v>78.900000000000006</v>
      </c>
      <c r="BO26" s="4">
        <v>66.2</v>
      </c>
      <c r="BP26" s="4">
        <v>75.3</v>
      </c>
      <c r="BQ26" s="4">
        <v>97.3</v>
      </c>
      <c r="BR26" s="4">
        <v>93.5</v>
      </c>
      <c r="BS26" s="3">
        <v>85.8</v>
      </c>
      <c r="BT26" s="4">
        <v>60.4</v>
      </c>
      <c r="BU26" s="4">
        <v>108.6</v>
      </c>
      <c r="BV26" s="3" t="e">
        <v>#N/A</v>
      </c>
      <c r="BW26" s="3" t="e">
        <v>#N/A</v>
      </c>
      <c r="BX26" s="3" t="e">
        <v>#N/A</v>
      </c>
      <c r="BY26" s="4">
        <v>58.5</v>
      </c>
      <c r="BZ26" s="4">
        <v>68.599999999999994</v>
      </c>
      <c r="CA26" s="3">
        <v>72.7</v>
      </c>
      <c r="CB26" s="4">
        <v>39.799999999999997</v>
      </c>
      <c r="CC26" s="3">
        <v>80.8</v>
      </c>
      <c r="CD26" s="3">
        <v>116.6</v>
      </c>
      <c r="CE26" s="4">
        <v>91.9</v>
      </c>
      <c r="CF26" s="4">
        <v>45</v>
      </c>
      <c r="CG26" s="4">
        <v>110</v>
      </c>
      <c r="CH26" s="4">
        <v>75.3</v>
      </c>
      <c r="CI26" s="4">
        <v>19.2</v>
      </c>
      <c r="CJ26" s="4">
        <v>21.4</v>
      </c>
      <c r="CK26" s="4">
        <v>73.599999999999994</v>
      </c>
      <c r="CL26" s="4">
        <v>48.7</v>
      </c>
      <c r="CM26" s="3">
        <v>57.3</v>
      </c>
      <c r="CN26" s="4">
        <v>3.5</v>
      </c>
      <c r="CO26" s="4">
        <v>74.400000000000006</v>
      </c>
      <c r="CP26" s="4">
        <v>28.2</v>
      </c>
      <c r="CQ26" s="4">
        <v>53.1</v>
      </c>
      <c r="CR26" s="4">
        <v>67.7</v>
      </c>
      <c r="CS26" s="4">
        <v>177.3</v>
      </c>
      <c r="CT26" s="4">
        <v>431.5</v>
      </c>
      <c r="CU26" s="4">
        <v>32.700000000000003</v>
      </c>
      <c r="CV26" s="4">
        <v>104.4</v>
      </c>
      <c r="CW26" s="4">
        <v>49.2</v>
      </c>
      <c r="CX26" s="4">
        <v>70.599999999999994</v>
      </c>
      <c r="CY26" s="4">
        <v>5.9</v>
      </c>
      <c r="CZ26" s="3" t="e">
        <v>#N/A</v>
      </c>
      <c r="DA26" s="3" t="e">
        <v>#N/A</v>
      </c>
      <c r="DB26" s="3" t="e">
        <v>#N/A</v>
      </c>
      <c r="DC26" s="4">
        <v>28.1</v>
      </c>
      <c r="DD26" s="4">
        <v>155.30000000000001</v>
      </c>
      <c r="DE26" s="4">
        <v>32.200000000000003</v>
      </c>
      <c r="DF26" s="4">
        <v>30.4</v>
      </c>
      <c r="DG26" s="4">
        <v>145.4</v>
      </c>
      <c r="DH26" s="4">
        <v>47.8</v>
      </c>
      <c r="DI26" s="4">
        <v>40.200000000000003</v>
      </c>
      <c r="DJ26" s="4">
        <v>30.5</v>
      </c>
      <c r="DK26" s="4">
        <v>70.900000000000006</v>
      </c>
      <c r="DL26" s="4">
        <v>25.7</v>
      </c>
      <c r="DM26" s="4">
        <v>54.5</v>
      </c>
      <c r="DN26" s="4">
        <v>45.2</v>
      </c>
      <c r="DO26" s="4">
        <v>5.8</v>
      </c>
      <c r="DP26" s="4">
        <v>54.4</v>
      </c>
      <c r="DQ26" s="4">
        <v>14.3</v>
      </c>
      <c r="DR26" s="4">
        <v>24.7</v>
      </c>
      <c r="DS26" s="4">
        <v>16.2</v>
      </c>
      <c r="DT26" s="4">
        <v>189.9</v>
      </c>
      <c r="DU26" s="4">
        <v>14</v>
      </c>
      <c r="DV26" s="4">
        <v>19.899999999999999</v>
      </c>
      <c r="DW26" s="4">
        <v>2.4</v>
      </c>
      <c r="DX26" s="4">
        <v>10.8</v>
      </c>
      <c r="DY26" s="4">
        <v>6.3</v>
      </c>
      <c r="DZ26" s="4">
        <v>4.5</v>
      </c>
      <c r="EA26" s="4">
        <v>50.8</v>
      </c>
      <c r="EB26" s="3">
        <v>13.1</v>
      </c>
      <c r="EC26" s="4">
        <v>2.7</v>
      </c>
      <c r="ED26" s="4">
        <v>0.7</v>
      </c>
      <c r="EE26" s="4">
        <v>15.7</v>
      </c>
      <c r="EF26" s="4">
        <v>28.2</v>
      </c>
      <c r="EG26" s="3" t="e">
        <v>#N/A</v>
      </c>
      <c r="EH26" s="4">
        <v>5.7</v>
      </c>
      <c r="EI26" s="4">
        <v>5.6</v>
      </c>
      <c r="EJ26" s="4">
        <v>11.6</v>
      </c>
      <c r="EK26" s="3">
        <v>13.3</v>
      </c>
      <c r="EL26" s="4">
        <v>96.5</v>
      </c>
      <c r="EM26" s="4">
        <v>3.2</v>
      </c>
      <c r="EN26" s="4">
        <v>4.5</v>
      </c>
      <c r="EO26" s="3">
        <v>68.7</v>
      </c>
      <c r="EP26" s="4">
        <v>15.2</v>
      </c>
      <c r="EQ26" s="4">
        <v>36.4</v>
      </c>
      <c r="ER26" s="4">
        <v>19.3</v>
      </c>
      <c r="ES26" s="4">
        <v>34.200000000000003</v>
      </c>
      <c r="ET26" s="3">
        <v>6.2</v>
      </c>
      <c r="EU26" s="3">
        <v>10.5</v>
      </c>
      <c r="EV26" s="3">
        <v>25.8</v>
      </c>
      <c r="EW26" s="3">
        <v>33.799999999999997</v>
      </c>
      <c r="EX26" s="3">
        <v>55.7</v>
      </c>
      <c r="EY26" s="3">
        <v>28.6</v>
      </c>
      <c r="EZ26" s="3">
        <v>31.9</v>
      </c>
      <c r="FA26" s="3">
        <v>10.9</v>
      </c>
      <c r="FB26" s="3">
        <v>9.4</v>
      </c>
      <c r="FC26" s="3">
        <v>1</v>
      </c>
      <c r="FD26" s="3">
        <v>6.6</v>
      </c>
      <c r="FE26" s="3" t="e">
        <v>#N/A</v>
      </c>
      <c r="FF26" s="3" t="e">
        <v>#N/A</v>
      </c>
      <c r="FG26" s="3">
        <v>7.8</v>
      </c>
      <c r="FH26" s="3">
        <v>18.8</v>
      </c>
      <c r="FI26" s="3">
        <v>3.3</v>
      </c>
      <c r="FJ26" s="3">
        <v>13.4</v>
      </c>
      <c r="FK26" s="3">
        <v>17.100000000000001</v>
      </c>
      <c r="FL26" s="3">
        <v>6.4</v>
      </c>
      <c r="FM26" s="3">
        <v>33.6</v>
      </c>
    </row>
    <row r="27" spans="1:169" x14ac:dyDescent="0.35">
      <c r="A27" s="2">
        <v>1896</v>
      </c>
      <c r="B27" s="4">
        <v>56.4</v>
      </c>
      <c r="C27" s="4">
        <v>65.900000000000006</v>
      </c>
      <c r="D27" s="4">
        <v>61.2</v>
      </c>
      <c r="E27" s="4">
        <v>57.8</v>
      </c>
      <c r="F27" s="4">
        <v>52.2</v>
      </c>
      <c r="G27" s="4">
        <v>55.6</v>
      </c>
      <c r="H27" s="4">
        <v>76.5</v>
      </c>
      <c r="I27" s="4">
        <v>60.5</v>
      </c>
      <c r="J27" s="3">
        <v>68.8</v>
      </c>
      <c r="K27" s="4">
        <v>73.900000000000006</v>
      </c>
      <c r="L27" s="3">
        <v>59.8</v>
      </c>
      <c r="M27" s="3">
        <v>83.8</v>
      </c>
      <c r="N27" s="4">
        <v>62.7</v>
      </c>
      <c r="O27" s="3" t="e">
        <v>#N/A</v>
      </c>
      <c r="P27" s="4">
        <v>86.1</v>
      </c>
      <c r="Q27" s="4">
        <v>88</v>
      </c>
      <c r="R27" s="4">
        <v>117.1</v>
      </c>
      <c r="S27" s="4">
        <v>93.4</v>
      </c>
      <c r="T27" s="4">
        <v>69.5</v>
      </c>
      <c r="U27" s="3" t="e">
        <v>#N/A</v>
      </c>
      <c r="V27" s="4">
        <v>100.2</v>
      </c>
      <c r="W27" s="4">
        <v>81.7</v>
      </c>
      <c r="X27" s="4">
        <v>127.5</v>
      </c>
      <c r="Y27" s="3" t="e">
        <v>#N/A</v>
      </c>
      <c r="Z27" s="3" t="e">
        <v>#N/A</v>
      </c>
      <c r="AA27" s="4">
        <v>79.099999999999994</v>
      </c>
      <c r="AB27" s="4">
        <v>1180.0999999999999</v>
      </c>
      <c r="AC27" s="4">
        <v>137.19999999999999</v>
      </c>
      <c r="AD27" s="4">
        <v>1376.4</v>
      </c>
      <c r="AE27" s="4">
        <v>141.69999999999999</v>
      </c>
      <c r="AF27" s="4">
        <v>90.7</v>
      </c>
      <c r="AG27" s="4">
        <v>555.79999999999995</v>
      </c>
      <c r="AH27" s="4">
        <v>121.6</v>
      </c>
      <c r="AI27" s="4">
        <v>55.1</v>
      </c>
      <c r="AJ27" s="4">
        <v>66</v>
      </c>
      <c r="AK27" s="4">
        <v>57.3</v>
      </c>
      <c r="AL27" s="4">
        <v>67.8</v>
      </c>
      <c r="AM27" s="4">
        <v>45.8</v>
      </c>
      <c r="AN27" s="4">
        <v>40.700000000000003</v>
      </c>
      <c r="AO27" s="3" t="e">
        <v>#N/A</v>
      </c>
      <c r="AP27" s="4">
        <v>18.899999999999999</v>
      </c>
      <c r="AQ27" s="4">
        <v>80.900000000000006</v>
      </c>
      <c r="AR27" s="4">
        <v>47.7</v>
      </c>
      <c r="AS27" s="4">
        <v>43.8</v>
      </c>
      <c r="AT27" s="4">
        <v>28.1</v>
      </c>
      <c r="AU27" s="3" t="e">
        <v>#N/A</v>
      </c>
      <c r="AV27" s="4">
        <v>3.8</v>
      </c>
      <c r="AW27" s="4">
        <v>20.6</v>
      </c>
      <c r="AX27" s="4">
        <v>14</v>
      </c>
      <c r="AY27" s="3" t="e">
        <v>#N/A</v>
      </c>
      <c r="AZ27" s="3" t="e">
        <v>#N/A</v>
      </c>
      <c r="BA27" s="4">
        <v>33.799999999999997</v>
      </c>
      <c r="BB27" s="4">
        <v>74.099999999999994</v>
      </c>
      <c r="BC27" s="4">
        <v>69.5</v>
      </c>
      <c r="BD27" s="4">
        <v>103.4</v>
      </c>
      <c r="BE27" s="4">
        <v>77.099999999999994</v>
      </c>
      <c r="BF27" s="4">
        <v>165</v>
      </c>
      <c r="BG27" s="4">
        <v>116.3</v>
      </c>
      <c r="BH27" s="3">
        <v>85.4</v>
      </c>
      <c r="BI27" s="4">
        <v>63.3</v>
      </c>
      <c r="BJ27" s="4">
        <v>70.400000000000006</v>
      </c>
      <c r="BK27" s="4">
        <v>76.3</v>
      </c>
      <c r="BL27" s="4">
        <v>54.1</v>
      </c>
      <c r="BM27" s="4">
        <v>50.3</v>
      </c>
      <c r="BN27" s="4">
        <v>84.5</v>
      </c>
      <c r="BO27" s="4">
        <v>71.099999999999994</v>
      </c>
      <c r="BP27" s="4">
        <v>79.3</v>
      </c>
      <c r="BQ27" s="4">
        <v>97.2</v>
      </c>
      <c r="BR27" s="3">
        <v>89</v>
      </c>
      <c r="BS27" s="4">
        <v>82</v>
      </c>
      <c r="BT27" s="4">
        <v>58.1</v>
      </c>
      <c r="BU27" s="4">
        <v>74.3</v>
      </c>
      <c r="BV27" s="3" t="e">
        <v>#N/A</v>
      </c>
      <c r="BW27" s="3" t="e">
        <v>#N/A</v>
      </c>
      <c r="BX27" s="3" t="e">
        <v>#N/A</v>
      </c>
      <c r="BY27" s="4">
        <v>57.9</v>
      </c>
      <c r="BZ27" s="4">
        <v>68.3</v>
      </c>
      <c r="CA27" s="4">
        <v>59.6</v>
      </c>
      <c r="CB27" s="4">
        <v>38.799999999999997</v>
      </c>
      <c r="CC27" s="3">
        <v>79.099999999999994</v>
      </c>
      <c r="CD27" s="4">
        <v>117.7</v>
      </c>
      <c r="CE27" s="4">
        <v>98.9</v>
      </c>
      <c r="CF27" s="4">
        <v>53.3</v>
      </c>
      <c r="CG27" s="4">
        <v>94.3</v>
      </c>
      <c r="CH27" s="4">
        <v>73.900000000000006</v>
      </c>
      <c r="CI27" s="4">
        <v>17.5</v>
      </c>
      <c r="CJ27" s="4">
        <v>16.5</v>
      </c>
      <c r="CK27" s="4">
        <v>79.7</v>
      </c>
      <c r="CL27" s="4">
        <v>33.9</v>
      </c>
      <c r="CM27" s="4">
        <v>30.9</v>
      </c>
      <c r="CN27" s="4">
        <v>2.8</v>
      </c>
      <c r="CO27" s="4">
        <v>66.400000000000006</v>
      </c>
      <c r="CP27" s="4">
        <v>29.3</v>
      </c>
      <c r="CQ27" s="4">
        <v>51.3</v>
      </c>
      <c r="CR27" s="4">
        <v>58.4</v>
      </c>
      <c r="CS27" s="4">
        <v>109.6</v>
      </c>
      <c r="CT27" s="4">
        <v>250.6</v>
      </c>
      <c r="CU27" s="4">
        <v>18.100000000000001</v>
      </c>
      <c r="CV27" s="4">
        <v>75.3</v>
      </c>
      <c r="CW27" s="4">
        <v>47.5</v>
      </c>
      <c r="CX27" s="4">
        <v>70.099999999999994</v>
      </c>
      <c r="CY27" s="4">
        <v>8.6999999999999993</v>
      </c>
      <c r="CZ27" s="3" t="e">
        <v>#N/A</v>
      </c>
      <c r="DA27" s="3" t="e">
        <v>#N/A</v>
      </c>
      <c r="DB27" s="3" t="e">
        <v>#N/A</v>
      </c>
      <c r="DC27" s="4">
        <v>21.4</v>
      </c>
      <c r="DD27" s="4">
        <v>134.69999999999999</v>
      </c>
      <c r="DE27" s="4">
        <v>25.2</v>
      </c>
      <c r="DF27" s="4">
        <v>27.1</v>
      </c>
      <c r="DG27" s="4">
        <v>95.1</v>
      </c>
      <c r="DH27" s="4">
        <v>46.1</v>
      </c>
      <c r="DI27" s="4">
        <v>37.1</v>
      </c>
      <c r="DJ27" s="4">
        <v>39</v>
      </c>
      <c r="DK27" s="4">
        <v>120</v>
      </c>
      <c r="DL27" s="4">
        <v>32.5</v>
      </c>
      <c r="DM27" s="4">
        <v>51.2</v>
      </c>
      <c r="DN27" s="4">
        <v>38.1</v>
      </c>
      <c r="DO27" s="4">
        <v>8.1999999999999993</v>
      </c>
      <c r="DP27" s="4">
        <v>62.8</v>
      </c>
      <c r="DQ27" s="4">
        <v>14.9</v>
      </c>
      <c r="DR27" s="4">
        <v>24.1</v>
      </c>
      <c r="DS27" s="4">
        <v>16.3</v>
      </c>
      <c r="DT27" s="4">
        <v>233.4</v>
      </c>
      <c r="DU27" s="4">
        <v>19.8</v>
      </c>
      <c r="DV27" s="3">
        <v>23.3</v>
      </c>
      <c r="DW27" s="4">
        <v>2.8</v>
      </c>
      <c r="DX27" s="4">
        <v>11</v>
      </c>
      <c r="DY27" s="4">
        <v>6</v>
      </c>
      <c r="DZ27" s="4">
        <v>4.5999999999999996</v>
      </c>
      <c r="EA27" s="4">
        <v>57.6</v>
      </c>
      <c r="EB27" s="4">
        <v>30.1</v>
      </c>
      <c r="EC27" s="4">
        <v>3.2</v>
      </c>
      <c r="ED27" s="4">
        <v>1.6</v>
      </c>
      <c r="EE27" s="4">
        <v>20.6</v>
      </c>
      <c r="EF27" s="4">
        <v>39.700000000000003</v>
      </c>
      <c r="EG27" s="3" t="e">
        <v>#N/A</v>
      </c>
      <c r="EH27" s="4">
        <v>6</v>
      </c>
      <c r="EI27" s="4">
        <v>5.8</v>
      </c>
      <c r="EJ27" s="4">
        <v>12.8</v>
      </c>
      <c r="EK27" s="4">
        <v>10.8</v>
      </c>
      <c r="EL27" s="4">
        <v>80</v>
      </c>
      <c r="EM27" s="4">
        <v>2.6</v>
      </c>
      <c r="EN27" s="4">
        <v>4.2</v>
      </c>
      <c r="EO27" s="4">
        <v>91.3</v>
      </c>
      <c r="EP27" s="4">
        <v>10.5</v>
      </c>
      <c r="EQ27" s="4">
        <v>20.7</v>
      </c>
      <c r="ER27" s="4">
        <v>15.8</v>
      </c>
      <c r="ES27" s="4">
        <v>30.3</v>
      </c>
      <c r="ET27" s="3">
        <v>6.6</v>
      </c>
      <c r="EU27" s="3">
        <v>10.199999999999999</v>
      </c>
      <c r="EV27" s="3">
        <v>23.9</v>
      </c>
      <c r="EW27" s="3">
        <v>22.4</v>
      </c>
      <c r="EX27" s="3">
        <v>34.1</v>
      </c>
      <c r="EY27" s="3">
        <v>15.8</v>
      </c>
      <c r="EZ27" s="3">
        <v>21.9</v>
      </c>
      <c r="FA27" s="3">
        <v>10</v>
      </c>
      <c r="FB27" s="3">
        <v>9</v>
      </c>
      <c r="FC27" s="3">
        <v>1</v>
      </c>
      <c r="FD27" s="3">
        <v>6.2</v>
      </c>
      <c r="FE27" s="3" t="e">
        <v>#N/A</v>
      </c>
      <c r="FF27" s="3" t="e">
        <v>#N/A</v>
      </c>
      <c r="FG27" s="3">
        <v>5.9</v>
      </c>
      <c r="FH27" s="3">
        <v>16.2</v>
      </c>
      <c r="FI27" s="3">
        <v>2.1</v>
      </c>
      <c r="FJ27" s="3">
        <v>11.6</v>
      </c>
      <c r="FK27" s="3">
        <v>11</v>
      </c>
      <c r="FL27" s="3">
        <v>6.2</v>
      </c>
      <c r="FM27" s="3">
        <v>33.4</v>
      </c>
    </row>
    <row r="28" spans="1:169" x14ac:dyDescent="0.35">
      <c r="A28" s="2">
        <v>1897</v>
      </c>
      <c r="B28" s="4">
        <v>63.5</v>
      </c>
      <c r="C28" s="4">
        <v>73.5</v>
      </c>
      <c r="D28" s="4">
        <v>60.7</v>
      </c>
      <c r="E28" s="4">
        <v>56.9</v>
      </c>
      <c r="F28" s="4">
        <v>47.7</v>
      </c>
      <c r="G28" s="4">
        <v>57.2</v>
      </c>
      <c r="H28" s="4">
        <v>89.9</v>
      </c>
      <c r="I28" s="4">
        <v>58.4</v>
      </c>
      <c r="J28" s="3">
        <v>69.400000000000006</v>
      </c>
      <c r="K28" s="4">
        <v>72.900000000000006</v>
      </c>
      <c r="L28" s="4">
        <v>50.6</v>
      </c>
      <c r="M28" s="4">
        <v>74.900000000000006</v>
      </c>
      <c r="N28" s="4">
        <v>62.6</v>
      </c>
      <c r="O28" s="3" t="e">
        <v>#N/A</v>
      </c>
      <c r="P28" s="4">
        <v>87</v>
      </c>
      <c r="Q28" s="4">
        <v>71.400000000000006</v>
      </c>
      <c r="R28" s="4">
        <v>112.1</v>
      </c>
      <c r="S28" s="4">
        <v>84.1</v>
      </c>
      <c r="T28" s="4">
        <v>71.5</v>
      </c>
      <c r="U28" s="3" t="e">
        <v>#N/A</v>
      </c>
      <c r="V28" s="4">
        <v>78.5</v>
      </c>
      <c r="W28" s="4">
        <v>74</v>
      </c>
      <c r="X28" s="4">
        <v>114.5</v>
      </c>
      <c r="Y28" s="3" t="e">
        <v>#N/A</v>
      </c>
      <c r="Z28" s="3" t="e">
        <v>#N/A</v>
      </c>
      <c r="AA28" s="3">
        <v>76.5</v>
      </c>
      <c r="AB28" s="4">
        <v>1114.2</v>
      </c>
      <c r="AC28" s="4">
        <v>189.7</v>
      </c>
      <c r="AD28" s="4">
        <v>1205.8</v>
      </c>
      <c r="AE28" s="4">
        <v>174.3</v>
      </c>
      <c r="AF28" s="4">
        <v>103.7</v>
      </c>
      <c r="AG28" s="4">
        <v>700</v>
      </c>
      <c r="AH28" s="3">
        <v>111</v>
      </c>
      <c r="AI28" s="4">
        <v>72.900000000000006</v>
      </c>
      <c r="AJ28" s="4">
        <v>62</v>
      </c>
      <c r="AK28" s="4">
        <v>58.3</v>
      </c>
      <c r="AL28" s="3">
        <v>73.099999999999994</v>
      </c>
      <c r="AM28" s="4">
        <v>47.8</v>
      </c>
      <c r="AN28" s="3">
        <v>48.5</v>
      </c>
      <c r="AO28" s="3" t="e">
        <v>#N/A</v>
      </c>
      <c r="AP28" s="4">
        <v>19</v>
      </c>
      <c r="AQ28" s="4">
        <v>83.5</v>
      </c>
      <c r="AR28" s="4">
        <v>57.7</v>
      </c>
      <c r="AS28" s="4">
        <v>46.4</v>
      </c>
      <c r="AT28" s="4">
        <v>30.3</v>
      </c>
      <c r="AU28" s="3" t="e">
        <v>#N/A</v>
      </c>
      <c r="AV28" s="3">
        <v>17.3</v>
      </c>
      <c r="AW28" s="4">
        <v>29.3</v>
      </c>
      <c r="AX28" s="4">
        <v>19.100000000000001</v>
      </c>
      <c r="AY28" s="3" t="e">
        <v>#N/A</v>
      </c>
      <c r="AZ28" s="3" t="e">
        <v>#N/A</v>
      </c>
      <c r="BA28" s="4">
        <v>37.1</v>
      </c>
      <c r="BB28" s="3">
        <v>76.400000000000006</v>
      </c>
      <c r="BC28" s="4">
        <v>73.2</v>
      </c>
      <c r="BD28" s="4">
        <v>76.5</v>
      </c>
      <c r="BE28" s="4">
        <v>85.7</v>
      </c>
      <c r="BF28" s="4">
        <v>110</v>
      </c>
      <c r="BG28" s="4">
        <v>100.7</v>
      </c>
      <c r="BH28" s="4">
        <v>102.2</v>
      </c>
      <c r="BI28" s="4">
        <v>63.6</v>
      </c>
      <c r="BJ28" s="4">
        <v>78.599999999999994</v>
      </c>
      <c r="BK28" s="4">
        <v>74.599999999999994</v>
      </c>
      <c r="BL28" s="4">
        <v>53.5</v>
      </c>
      <c r="BM28" s="4">
        <v>45.7</v>
      </c>
      <c r="BN28" s="4">
        <v>83</v>
      </c>
      <c r="BO28" s="4">
        <v>69.599999999999994</v>
      </c>
      <c r="BP28" s="4">
        <v>75.2</v>
      </c>
      <c r="BQ28" s="4">
        <v>89.5</v>
      </c>
      <c r="BR28" s="4">
        <v>91</v>
      </c>
      <c r="BS28" s="4">
        <v>79.7</v>
      </c>
      <c r="BT28" s="4">
        <v>55.2</v>
      </c>
      <c r="BU28" s="4">
        <v>77.3</v>
      </c>
      <c r="BV28" s="3" t="e">
        <v>#N/A</v>
      </c>
      <c r="BW28" s="3" t="e">
        <v>#N/A</v>
      </c>
      <c r="BX28" s="3" t="e">
        <v>#N/A</v>
      </c>
      <c r="BY28" s="4">
        <v>56.5</v>
      </c>
      <c r="BZ28" s="4">
        <v>68.599999999999994</v>
      </c>
      <c r="CA28" s="4">
        <v>67.099999999999994</v>
      </c>
      <c r="CB28" s="3">
        <v>39.799999999999997</v>
      </c>
      <c r="CC28" s="3">
        <v>84.4</v>
      </c>
      <c r="CD28" s="4">
        <v>110.1</v>
      </c>
      <c r="CE28" s="3">
        <v>94.7</v>
      </c>
      <c r="CF28" s="4">
        <v>40.799999999999997</v>
      </c>
      <c r="CG28" s="4">
        <v>112</v>
      </c>
      <c r="CH28" s="4">
        <v>94.6</v>
      </c>
      <c r="CI28" s="4">
        <v>17.3</v>
      </c>
      <c r="CJ28" s="4">
        <v>25.2</v>
      </c>
      <c r="CK28" s="4">
        <v>78.3</v>
      </c>
      <c r="CL28" s="4">
        <v>24.4</v>
      </c>
      <c r="CM28" s="4">
        <v>49.4</v>
      </c>
      <c r="CN28" s="4">
        <v>3.5</v>
      </c>
      <c r="CO28" s="4">
        <v>70.7</v>
      </c>
      <c r="CP28" s="4">
        <v>38</v>
      </c>
      <c r="CQ28" s="4">
        <v>61.4</v>
      </c>
      <c r="CR28" s="4">
        <v>64.5</v>
      </c>
      <c r="CS28" s="4">
        <v>266.7</v>
      </c>
      <c r="CT28" s="4">
        <v>257.3</v>
      </c>
      <c r="CU28" s="4">
        <v>35.9</v>
      </c>
      <c r="CV28" s="4">
        <v>85.7</v>
      </c>
      <c r="CW28" s="4">
        <v>49.7</v>
      </c>
      <c r="CX28" s="4">
        <v>69.7</v>
      </c>
      <c r="CY28" s="4">
        <v>4.7</v>
      </c>
      <c r="CZ28" s="3" t="e">
        <v>#N/A</v>
      </c>
      <c r="DA28" s="3" t="e">
        <v>#N/A</v>
      </c>
      <c r="DB28" s="3" t="e">
        <v>#N/A</v>
      </c>
      <c r="DC28" s="4">
        <v>28.2</v>
      </c>
      <c r="DD28" s="4">
        <v>112.3</v>
      </c>
      <c r="DE28" s="4">
        <v>34.6</v>
      </c>
      <c r="DF28" s="3">
        <v>31.2</v>
      </c>
      <c r="DG28" s="4">
        <v>64.599999999999994</v>
      </c>
      <c r="DH28" s="4">
        <v>30.4</v>
      </c>
      <c r="DI28" s="4">
        <v>39.5</v>
      </c>
      <c r="DJ28" s="4">
        <v>41.5</v>
      </c>
      <c r="DK28" s="4">
        <v>185.1</v>
      </c>
      <c r="DL28" s="4">
        <v>28.3</v>
      </c>
      <c r="DM28" s="4">
        <v>61.9</v>
      </c>
      <c r="DN28" s="4">
        <v>40.799999999999997</v>
      </c>
      <c r="DO28" s="4">
        <v>10.6</v>
      </c>
      <c r="DP28" s="4">
        <v>67.5</v>
      </c>
      <c r="DQ28" s="4">
        <v>19</v>
      </c>
      <c r="DR28" s="4">
        <v>22.8</v>
      </c>
      <c r="DS28" s="4">
        <v>16.3</v>
      </c>
      <c r="DT28" s="4">
        <v>212.9</v>
      </c>
      <c r="DU28" s="3">
        <v>18.5</v>
      </c>
      <c r="DV28" s="4">
        <v>27.7</v>
      </c>
      <c r="DW28" s="4">
        <v>4.5</v>
      </c>
      <c r="DX28" s="4">
        <v>11.2</v>
      </c>
      <c r="DY28" s="4">
        <v>5</v>
      </c>
      <c r="DZ28" s="4">
        <v>5.3</v>
      </c>
      <c r="EA28" s="4">
        <v>55</v>
      </c>
      <c r="EB28" s="4">
        <v>33.4</v>
      </c>
      <c r="EC28" s="4">
        <v>3.6</v>
      </c>
      <c r="ED28" s="4">
        <v>5.6</v>
      </c>
      <c r="EE28" s="4">
        <v>26.6</v>
      </c>
      <c r="EF28" s="4">
        <v>48.6</v>
      </c>
      <c r="EG28" s="3" t="e">
        <v>#N/A</v>
      </c>
      <c r="EH28" s="4">
        <v>6.5</v>
      </c>
      <c r="EI28" s="4">
        <v>6.2</v>
      </c>
      <c r="EJ28" s="4">
        <v>10.1</v>
      </c>
      <c r="EK28" s="4">
        <v>13.4</v>
      </c>
      <c r="EL28" s="4">
        <v>75.7</v>
      </c>
      <c r="EM28" s="4">
        <v>2.9</v>
      </c>
      <c r="EN28" s="4">
        <v>4.3</v>
      </c>
      <c r="EO28" s="4">
        <v>77.7</v>
      </c>
      <c r="EP28" s="4">
        <v>9.1</v>
      </c>
      <c r="EQ28" s="3">
        <v>33.200000000000003</v>
      </c>
      <c r="ER28" s="4">
        <v>21.8</v>
      </c>
      <c r="ES28" s="4">
        <v>31.5</v>
      </c>
      <c r="ET28" s="3">
        <v>8.4</v>
      </c>
      <c r="EU28" s="3">
        <v>11.1</v>
      </c>
      <c r="EV28" s="3">
        <v>25.9</v>
      </c>
      <c r="EW28" s="3">
        <v>53.4</v>
      </c>
      <c r="EX28" s="3">
        <v>33.200000000000003</v>
      </c>
      <c r="EY28" s="3">
        <v>28.9</v>
      </c>
      <c r="EZ28" s="3">
        <v>25.5</v>
      </c>
      <c r="FA28" s="3">
        <v>10.199999999999999</v>
      </c>
      <c r="FB28" s="3">
        <v>8.5</v>
      </c>
      <c r="FC28" s="3">
        <v>0.6</v>
      </c>
      <c r="FD28" s="3">
        <v>6.1</v>
      </c>
      <c r="FE28" s="3" t="e">
        <v>#N/A</v>
      </c>
      <c r="FF28" s="3" t="e">
        <v>#N/A</v>
      </c>
      <c r="FG28" s="3">
        <v>7.6</v>
      </c>
      <c r="FH28" s="3">
        <v>13.6</v>
      </c>
      <c r="FI28" s="3">
        <v>3.3</v>
      </c>
      <c r="FJ28" s="3">
        <v>13.7</v>
      </c>
      <c r="FK28" s="3">
        <v>7.9</v>
      </c>
      <c r="FL28" s="3">
        <v>4.5</v>
      </c>
      <c r="FM28" s="3">
        <v>34.1</v>
      </c>
    </row>
    <row r="29" spans="1:169" x14ac:dyDescent="0.35">
      <c r="A29" s="2">
        <v>1898</v>
      </c>
      <c r="B29" s="4">
        <v>65</v>
      </c>
      <c r="C29" s="4">
        <v>79</v>
      </c>
      <c r="D29" s="4">
        <v>64.5</v>
      </c>
      <c r="E29" s="4">
        <v>59.2</v>
      </c>
      <c r="F29" s="4">
        <v>52.9</v>
      </c>
      <c r="G29" s="4">
        <v>57.9</v>
      </c>
      <c r="H29" s="4">
        <v>91.6</v>
      </c>
      <c r="I29" s="3">
        <v>58.1</v>
      </c>
      <c r="J29" s="4">
        <v>76</v>
      </c>
      <c r="K29" s="4">
        <v>77.7</v>
      </c>
      <c r="L29" s="4">
        <v>43.2</v>
      </c>
      <c r="M29" s="4">
        <v>67.900000000000006</v>
      </c>
      <c r="N29" s="4">
        <v>61.4</v>
      </c>
      <c r="O29" s="3" t="e">
        <v>#N/A</v>
      </c>
      <c r="P29" s="4">
        <v>82.5</v>
      </c>
      <c r="Q29" s="4">
        <v>71.8</v>
      </c>
      <c r="R29" s="4">
        <v>110.4</v>
      </c>
      <c r="S29" s="4">
        <v>74.099999999999994</v>
      </c>
      <c r="T29" s="4">
        <v>74.5</v>
      </c>
      <c r="U29" s="3" t="e">
        <v>#N/A</v>
      </c>
      <c r="V29" s="3">
        <v>72.8</v>
      </c>
      <c r="W29" s="4">
        <v>70</v>
      </c>
      <c r="X29" s="4">
        <v>104.2</v>
      </c>
      <c r="Y29" s="3" t="e">
        <v>#N/A</v>
      </c>
      <c r="Z29" s="3" t="e">
        <v>#N/A</v>
      </c>
      <c r="AA29" s="4">
        <v>76.8</v>
      </c>
      <c r="AB29" s="4">
        <v>924.9</v>
      </c>
      <c r="AC29" s="4">
        <v>224.7</v>
      </c>
      <c r="AD29" s="4">
        <v>1156.4000000000001</v>
      </c>
      <c r="AE29" s="4">
        <v>207.4</v>
      </c>
      <c r="AF29" s="4">
        <v>122.4</v>
      </c>
      <c r="AG29" s="4">
        <v>425.3</v>
      </c>
      <c r="AH29" s="4">
        <v>133</v>
      </c>
      <c r="AI29" s="4">
        <v>96</v>
      </c>
      <c r="AJ29" s="4">
        <v>59.1</v>
      </c>
      <c r="AK29" s="4">
        <v>62.6</v>
      </c>
      <c r="AL29" s="4">
        <v>93.8</v>
      </c>
      <c r="AM29" s="4">
        <v>55.8</v>
      </c>
      <c r="AN29" s="4">
        <v>46.8</v>
      </c>
      <c r="AO29" s="3" t="e">
        <v>#N/A</v>
      </c>
      <c r="AP29" s="4">
        <v>22.3</v>
      </c>
      <c r="AQ29" s="4">
        <v>82.5</v>
      </c>
      <c r="AR29" s="4">
        <v>70.5</v>
      </c>
      <c r="AS29" s="4">
        <v>46.4</v>
      </c>
      <c r="AT29" s="4">
        <v>31.8</v>
      </c>
      <c r="AU29" s="3" t="e">
        <v>#N/A</v>
      </c>
      <c r="AV29" s="4">
        <v>19.5</v>
      </c>
      <c r="AW29" s="4">
        <v>42.3</v>
      </c>
      <c r="AX29" s="4">
        <v>27.6</v>
      </c>
      <c r="AY29" s="3" t="e">
        <v>#N/A</v>
      </c>
      <c r="AZ29" s="3" t="e">
        <v>#N/A</v>
      </c>
      <c r="BA29" s="4">
        <v>38.700000000000003</v>
      </c>
      <c r="BB29" s="4">
        <v>78.5</v>
      </c>
      <c r="BC29" s="4">
        <v>75.3</v>
      </c>
      <c r="BD29" s="4">
        <v>54.3</v>
      </c>
      <c r="BE29" s="4">
        <v>114</v>
      </c>
      <c r="BF29" s="4">
        <v>119.2</v>
      </c>
      <c r="BG29" s="4">
        <v>111.9</v>
      </c>
      <c r="BH29" s="4">
        <v>106.1</v>
      </c>
      <c r="BI29" s="4">
        <v>71.2</v>
      </c>
      <c r="BJ29" s="4">
        <v>89.7</v>
      </c>
      <c r="BK29" s="3">
        <v>75.3</v>
      </c>
      <c r="BL29" s="4">
        <v>49.5</v>
      </c>
      <c r="BM29" s="4">
        <v>65.5</v>
      </c>
      <c r="BN29" s="4">
        <v>83.8</v>
      </c>
      <c r="BO29" s="4">
        <v>67.900000000000006</v>
      </c>
      <c r="BP29" s="3">
        <v>73.599999999999994</v>
      </c>
      <c r="BQ29" s="3">
        <v>98.2</v>
      </c>
      <c r="BR29" s="4">
        <v>90.9</v>
      </c>
      <c r="BS29" s="4">
        <v>80.400000000000006</v>
      </c>
      <c r="BT29" s="4">
        <v>54.9</v>
      </c>
      <c r="BU29" s="4">
        <v>75.599999999999994</v>
      </c>
      <c r="BV29" s="3" t="e">
        <v>#N/A</v>
      </c>
      <c r="BW29" s="3" t="e">
        <v>#N/A</v>
      </c>
      <c r="BX29" s="3" t="e">
        <v>#N/A</v>
      </c>
      <c r="BY29" s="4">
        <v>59.2</v>
      </c>
      <c r="BZ29" s="4">
        <v>73.5</v>
      </c>
      <c r="CA29" s="4">
        <v>69.3</v>
      </c>
      <c r="CB29" s="4">
        <v>39.299999999999997</v>
      </c>
      <c r="CC29" s="4">
        <v>84.9</v>
      </c>
      <c r="CD29" s="4">
        <v>103.4</v>
      </c>
      <c r="CE29" s="4">
        <v>83.1</v>
      </c>
      <c r="CF29" s="4">
        <v>37.4</v>
      </c>
      <c r="CG29" s="4">
        <v>77.3</v>
      </c>
      <c r="CH29" s="4">
        <v>94.3</v>
      </c>
      <c r="CI29" s="4">
        <v>18.2</v>
      </c>
      <c r="CJ29" s="4">
        <v>23.8</v>
      </c>
      <c r="CK29" s="4">
        <v>69.400000000000006</v>
      </c>
      <c r="CL29" s="4">
        <v>22.3</v>
      </c>
      <c r="CM29" s="4">
        <v>52.9</v>
      </c>
      <c r="CN29" s="4">
        <v>3.7</v>
      </c>
      <c r="CO29" s="4">
        <v>63.6</v>
      </c>
      <c r="CP29" s="4">
        <v>34.4</v>
      </c>
      <c r="CQ29" s="4">
        <v>55.2</v>
      </c>
      <c r="CR29" s="4">
        <v>54.5</v>
      </c>
      <c r="CS29" s="4">
        <v>59.3</v>
      </c>
      <c r="CT29" s="4">
        <v>118.5</v>
      </c>
      <c r="CU29" s="4">
        <v>30.2</v>
      </c>
      <c r="CV29" s="4">
        <v>85.9</v>
      </c>
      <c r="CW29" s="4">
        <v>43.2</v>
      </c>
      <c r="CX29" s="4">
        <v>45.6</v>
      </c>
      <c r="CY29" s="4">
        <v>5.7</v>
      </c>
      <c r="CZ29" s="3" t="e">
        <v>#N/A</v>
      </c>
      <c r="DA29" s="3" t="e">
        <v>#N/A</v>
      </c>
      <c r="DB29" s="3" t="e">
        <v>#N/A</v>
      </c>
      <c r="DC29" s="4">
        <v>42.7</v>
      </c>
      <c r="DD29" s="4">
        <v>92.2</v>
      </c>
      <c r="DE29" s="4">
        <v>31.2</v>
      </c>
      <c r="DF29" s="4">
        <v>41.1</v>
      </c>
      <c r="DG29" s="4">
        <v>55.4</v>
      </c>
      <c r="DH29" s="4">
        <v>27.4</v>
      </c>
      <c r="DI29" s="4">
        <v>41.9</v>
      </c>
      <c r="DJ29" s="4">
        <v>35.299999999999997</v>
      </c>
      <c r="DK29" s="4">
        <v>235.5</v>
      </c>
      <c r="DL29" s="4">
        <v>28.8</v>
      </c>
      <c r="DM29" s="4">
        <v>76.8</v>
      </c>
      <c r="DN29" s="4">
        <v>53.4</v>
      </c>
      <c r="DO29" s="4">
        <v>6.5</v>
      </c>
      <c r="DP29" s="4">
        <v>82.5</v>
      </c>
      <c r="DQ29" s="4">
        <v>24.9</v>
      </c>
      <c r="DR29" s="4">
        <v>23.8</v>
      </c>
      <c r="DS29" s="4">
        <v>18.7</v>
      </c>
      <c r="DT29" s="4">
        <v>233.3</v>
      </c>
      <c r="DU29" s="4">
        <v>19.600000000000001</v>
      </c>
      <c r="DV29" s="4">
        <v>26.2</v>
      </c>
      <c r="DW29" s="4">
        <v>5.6</v>
      </c>
      <c r="DX29" s="4">
        <v>12.4</v>
      </c>
      <c r="DY29" s="4">
        <v>5</v>
      </c>
      <c r="DZ29" s="4">
        <v>6.4</v>
      </c>
      <c r="EA29" s="4">
        <v>48.4</v>
      </c>
      <c r="EB29" s="4">
        <v>36.4</v>
      </c>
      <c r="EC29" s="4">
        <v>3.5</v>
      </c>
      <c r="ED29" s="4">
        <v>5.8</v>
      </c>
      <c r="EE29" s="4">
        <v>36.200000000000003</v>
      </c>
      <c r="EF29" s="4">
        <v>63.9</v>
      </c>
      <c r="EG29" s="3" t="e">
        <v>#N/A</v>
      </c>
      <c r="EH29" s="4">
        <v>7.6</v>
      </c>
      <c r="EI29" s="4">
        <v>6.4</v>
      </c>
      <c r="EJ29" s="4">
        <v>9.5</v>
      </c>
      <c r="EK29" s="4">
        <v>9.5</v>
      </c>
      <c r="EL29" s="4">
        <v>53.7</v>
      </c>
      <c r="EM29" s="4">
        <v>4.0999999999999996</v>
      </c>
      <c r="EN29" s="4">
        <v>4.4000000000000004</v>
      </c>
      <c r="EO29" s="4">
        <v>76.5</v>
      </c>
      <c r="EP29" s="4">
        <v>8.6</v>
      </c>
      <c r="EQ29" s="4">
        <v>39.9</v>
      </c>
      <c r="ER29" s="4">
        <v>26.1</v>
      </c>
      <c r="ES29" s="3">
        <v>28.6</v>
      </c>
      <c r="ET29" s="3">
        <v>7.1</v>
      </c>
      <c r="EU29" s="3">
        <v>14.3</v>
      </c>
      <c r="EV29" s="3">
        <v>22.1</v>
      </c>
      <c r="EW29" s="3">
        <v>11.6</v>
      </c>
      <c r="EX29" s="3">
        <v>15</v>
      </c>
      <c r="EY29" s="3">
        <v>26.6</v>
      </c>
      <c r="EZ29" s="3">
        <v>25.5</v>
      </c>
      <c r="FA29" s="3">
        <v>9</v>
      </c>
      <c r="FB29" s="3">
        <v>5.5</v>
      </c>
      <c r="FC29" s="3">
        <v>0.7</v>
      </c>
      <c r="FD29" s="3">
        <v>6</v>
      </c>
      <c r="FE29" s="3" t="e">
        <v>#N/A</v>
      </c>
      <c r="FF29" s="3" t="e">
        <v>#N/A</v>
      </c>
      <c r="FG29" s="3">
        <v>12</v>
      </c>
      <c r="FH29" s="3">
        <v>12</v>
      </c>
      <c r="FI29" s="3">
        <v>4</v>
      </c>
      <c r="FJ29" s="3">
        <v>17.899999999999999</v>
      </c>
      <c r="FK29" s="3">
        <v>6.9</v>
      </c>
      <c r="FL29" s="3">
        <v>3.7</v>
      </c>
      <c r="FM29" s="3">
        <v>31.7</v>
      </c>
    </row>
    <row r="30" spans="1:169" x14ac:dyDescent="0.35">
      <c r="A30" s="2">
        <v>1899</v>
      </c>
      <c r="B30" s="4">
        <v>71.099999999999994</v>
      </c>
      <c r="C30" s="4">
        <v>74.900000000000006</v>
      </c>
      <c r="D30" s="4">
        <v>66.2</v>
      </c>
      <c r="E30" s="4">
        <v>59.9</v>
      </c>
      <c r="F30" s="4">
        <v>55.2</v>
      </c>
      <c r="G30" s="4">
        <v>63.2</v>
      </c>
      <c r="H30" s="4">
        <v>79.8</v>
      </c>
      <c r="I30" s="4">
        <v>60.1</v>
      </c>
      <c r="J30" s="4">
        <v>73.7</v>
      </c>
      <c r="K30" s="4">
        <v>78.400000000000006</v>
      </c>
      <c r="L30" s="4">
        <v>50.2</v>
      </c>
      <c r="M30" s="4">
        <v>68.3</v>
      </c>
      <c r="N30" s="4">
        <v>67</v>
      </c>
      <c r="O30" s="4">
        <v>126</v>
      </c>
      <c r="P30" s="4">
        <v>82</v>
      </c>
      <c r="Q30" s="4">
        <v>87.3</v>
      </c>
      <c r="R30" s="4">
        <v>121.4</v>
      </c>
      <c r="S30" s="4">
        <v>94.4</v>
      </c>
      <c r="T30" s="4">
        <v>105.6</v>
      </c>
      <c r="U30" s="3" t="e">
        <v>#N/A</v>
      </c>
      <c r="V30" s="4">
        <v>92.4</v>
      </c>
      <c r="W30" s="4">
        <v>77.099999999999994</v>
      </c>
      <c r="X30" s="4">
        <v>105.2</v>
      </c>
      <c r="Y30" s="4">
        <v>155</v>
      </c>
      <c r="Z30" s="4">
        <v>87.9</v>
      </c>
      <c r="AA30" s="3">
        <v>78.5</v>
      </c>
      <c r="AB30" s="4">
        <v>793.2</v>
      </c>
      <c r="AC30" s="4">
        <v>189.6</v>
      </c>
      <c r="AD30" s="4">
        <v>1382</v>
      </c>
      <c r="AE30" s="4">
        <v>198.6</v>
      </c>
      <c r="AF30" s="4">
        <v>116.5</v>
      </c>
      <c r="AG30" s="4">
        <v>543.1</v>
      </c>
      <c r="AH30" s="4">
        <v>151.5</v>
      </c>
      <c r="AI30" s="4">
        <v>106.7</v>
      </c>
      <c r="AJ30" s="4">
        <v>76.900000000000006</v>
      </c>
      <c r="AK30" s="4">
        <v>73.3</v>
      </c>
      <c r="AL30" s="4">
        <v>66.400000000000006</v>
      </c>
      <c r="AM30" s="4">
        <v>70.400000000000006</v>
      </c>
      <c r="AN30" s="4">
        <v>50.9</v>
      </c>
      <c r="AO30" s="4">
        <v>39.700000000000003</v>
      </c>
      <c r="AP30" s="4">
        <v>28.4</v>
      </c>
      <c r="AQ30" s="4">
        <v>80.8</v>
      </c>
      <c r="AR30" s="4">
        <v>77.099999999999994</v>
      </c>
      <c r="AS30" s="4">
        <v>45.2</v>
      </c>
      <c r="AT30" s="4">
        <v>26.9</v>
      </c>
      <c r="AU30" s="3" t="e">
        <v>#N/A</v>
      </c>
      <c r="AV30" s="4">
        <v>22</v>
      </c>
      <c r="AW30" s="4">
        <v>51.3</v>
      </c>
      <c r="AX30" s="4">
        <v>33.4</v>
      </c>
      <c r="AY30" s="4">
        <v>0.4</v>
      </c>
      <c r="AZ30" s="4">
        <v>57.2</v>
      </c>
      <c r="BA30" s="4">
        <v>49.6</v>
      </c>
      <c r="BB30" s="4">
        <v>77.5</v>
      </c>
      <c r="BC30" s="4">
        <v>67.8</v>
      </c>
      <c r="BD30" s="4">
        <v>52</v>
      </c>
      <c r="BE30" s="4">
        <v>108.3</v>
      </c>
      <c r="BF30" s="4">
        <v>119.2</v>
      </c>
      <c r="BG30" s="4">
        <v>121.2</v>
      </c>
      <c r="BH30" s="4">
        <v>108.7</v>
      </c>
      <c r="BI30" s="4">
        <v>72.599999999999994</v>
      </c>
      <c r="BJ30" s="4">
        <v>96.2</v>
      </c>
      <c r="BK30" s="4">
        <v>75.5</v>
      </c>
      <c r="BL30" s="4">
        <v>56.5</v>
      </c>
      <c r="BM30" s="4">
        <v>83.8</v>
      </c>
      <c r="BN30" s="4">
        <v>85</v>
      </c>
      <c r="BO30" s="4">
        <v>64.2</v>
      </c>
      <c r="BP30" s="4">
        <v>77.7</v>
      </c>
      <c r="BQ30" s="4">
        <v>112.8</v>
      </c>
      <c r="BR30" s="4">
        <v>100.3</v>
      </c>
      <c r="BS30" s="4">
        <v>84.5</v>
      </c>
      <c r="BT30" s="4">
        <v>57.2</v>
      </c>
      <c r="BU30" s="4">
        <v>92.5</v>
      </c>
      <c r="BV30" s="4">
        <v>129.19999999999999</v>
      </c>
      <c r="BW30" s="3" t="e">
        <v>#N/A</v>
      </c>
      <c r="BX30" s="4">
        <v>68.599999999999994</v>
      </c>
      <c r="BY30" s="4">
        <v>68.599999999999994</v>
      </c>
      <c r="BZ30" s="4">
        <v>77.8</v>
      </c>
      <c r="CA30" s="4">
        <v>84.1</v>
      </c>
      <c r="CB30" s="4">
        <v>66.900000000000006</v>
      </c>
      <c r="CC30" s="4">
        <v>99.6</v>
      </c>
      <c r="CD30" s="4">
        <v>100.1</v>
      </c>
      <c r="CE30" s="4">
        <v>87.5</v>
      </c>
      <c r="CF30" s="4">
        <v>46.5</v>
      </c>
      <c r="CG30" s="4">
        <v>98.3</v>
      </c>
      <c r="CH30" s="4">
        <v>103</v>
      </c>
      <c r="CI30" s="4">
        <v>24.6</v>
      </c>
      <c r="CJ30" s="4">
        <v>36</v>
      </c>
      <c r="CK30" s="4">
        <v>90.3</v>
      </c>
      <c r="CL30" s="4">
        <v>29.9</v>
      </c>
      <c r="CM30" s="4">
        <v>66.400000000000006</v>
      </c>
      <c r="CN30" s="4">
        <v>4.5</v>
      </c>
      <c r="CO30" s="4">
        <v>78.2</v>
      </c>
      <c r="CP30" s="4">
        <v>38.200000000000003</v>
      </c>
      <c r="CQ30" s="4">
        <v>55.8</v>
      </c>
      <c r="CR30" s="4">
        <v>59.1</v>
      </c>
      <c r="CS30" s="4">
        <v>63.1</v>
      </c>
      <c r="CT30" s="4">
        <v>108.3</v>
      </c>
      <c r="CU30" s="4">
        <v>42.3</v>
      </c>
      <c r="CV30" s="4">
        <v>85.8</v>
      </c>
      <c r="CW30" s="4">
        <v>37.1</v>
      </c>
      <c r="CX30" s="4">
        <v>73.2</v>
      </c>
      <c r="CY30" s="4">
        <v>8.4</v>
      </c>
      <c r="CZ30" s="4">
        <v>21.6</v>
      </c>
      <c r="DA30" s="3" t="e">
        <v>#N/A</v>
      </c>
      <c r="DB30" s="4">
        <v>56.3</v>
      </c>
      <c r="DC30" s="4">
        <v>64.8</v>
      </c>
      <c r="DD30" s="4">
        <v>95.9</v>
      </c>
      <c r="DE30" s="4">
        <v>42.5</v>
      </c>
      <c r="DF30" s="4">
        <v>44.4</v>
      </c>
      <c r="DG30" s="4">
        <v>60.7</v>
      </c>
      <c r="DH30" s="4">
        <v>35.4</v>
      </c>
      <c r="DI30" s="4">
        <v>45.2</v>
      </c>
      <c r="DJ30" s="4">
        <v>33.1</v>
      </c>
      <c r="DK30" s="4">
        <v>188.8</v>
      </c>
      <c r="DL30" s="4">
        <v>35.299999999999997</v>
      </c>
      <c r="DM30" s="4">
        <v>74.3</v>
      </c>
      <c r="DN30" s="4">
        <v>53.1</v>
      </c>
      <c r="DO30" s="4">
        <v>9.1</v>
      </c>
      <c r="DP30" s="4">
        <v>76.900000000000006</v>
      </c>
      <c r="DQ30" s="4">
        <v>28.6</v>
      </c>
      <c r="DR30" s="4">
        <v>30</v>
      </c>
      <c r="DS30" s="4">
        <v>22.1</v>
      </c>
      <c r="DT30" s="4">
        <v>191.8</v>
      </c>
      <c r="DU30" s="4">
        <v>24.5</v>
      </c>
      <c r="DV30" s="4">
        <v>31.1</v>
      </c>
      <c r="DW30" s="4">
        <v>5.6</v>
      </c>
      <c r="DX30" s="4">
        <v>15.7</v>
      </c>
      <c r="DY30" s="4">
        <v>6</v>
      </c>
      <c r="DZ30" s="4">
        <v>7.7</v>
      </c>
      <c r="EA30" s="4">
        <v>60.1</v>
      </c>
      <c r="EB30" s="4">
        <v>44</v>
      </c>
      <c r="EC30" s="4">
        <v>5</v>
      </c>
      <c r="ED30" s="4">
        <v>8.9</v>
      </c>
      <c r="EE30" s="4">
        <v>47.4</v>
      </c>
      <c r="EF30" s="4">
        <v>77.900000000000006</v>
      </c>
      <c r="EG30" s="4">
        <v>0.2</v>
      </c>
      <c r="EH30" s="4">
        <v>10.3</v>
      </c>
      <c r="EI30" s="4">
        <v>7.9</v>
      </c>
      <c r="EJ30" s="4">
        <v>10.6</v>
      </c>
      <c r="EK30" s="4">
        <v>10.9</v>
      </c>
      <c r="EL30" s="4">
        <v>56.1</v>
      </c>
      <c r="EM30" s="4">
        <v>5.2</v>
      </c>
      <c r="EN30" s="4">
        <v>6.6</v>
      </c>
      <c r="EO30" s="4">
        <v>107.9</v>
      </c>
      <c r="EP30" s="3">
        <v>11.8</v>
      </c>
      <c r="EQ30" s="4">
        <v>51.1</v>
      </c>
      <c r="ER30" s="4">
        <v>34.4</v>
      </c>
      <c r="ES30" s="3">
        <v>35.299999999999997</v>
      </c>
      <c r="ET30" s="3">
        <v>9</v>
      </c>
      <c r="EU30" s="3">
        <v>18.600000000000001</v>
      </c>
      <c r="EV30" s="3">
        <v>22.6</v>
      </c>
      <c r="EW30" s="3">
        <v>11.7</v>
      </c>
      <c r="EX30" s="3">
        <v>14.6</v>
      </c>
      <c r="EY30" s="3">
        <v>42.8</v>
      </c>
      <c r="EZ30" s="3">
        <v>25.3</v>
      </c>
      <c r="FA30" s="3">
        <v>8.1</v>
      </c>
      <c r="FB30" s="3">
        <v>9.3000000000000007</v>
      </c>
      <c r="FC30" s="3">
        <v>1.2</v>
      </c>
      <c r="FD30" s="3">
        <v>7.2</v>
      </c>
      <c r="FE30" s="3">
        <v>0</v>
      </c>
      <c r="FF30" s="3">
        <v>5</v>
      </c>
      <c r="FG30" s="3">
        <v>16.100000000000001</v>
      </c>
      <c r="FH30" s="3">
        <v>13.2</v>
      </c>
      <c r="FI30" s="3">
        <v>6.6</v>
      </c>
      <c r="FJ30" s="3">
        <v>32.9</v>
      </c>
      <c r="FK30" s="3">
        <v>8.8000000000000007</v>
      </c>
      <c r="FL30" s="3">
        <v>4.8</v>
      </c>
      <c r="FM30" s="3">
        <v>36</v>
      </c>
    </row>
    <row r="31" spans="1:169" x14ac:dyDescent="0.35">
      <c r="A31" s="2">
        <v>1900</v>
      </c>
      <c r="B31" s="4">
        <v>70.599999999999994</v>
      </c>
      <c r="C31" s="4">
        <v>75.400000000000006</v>
      </c>
      <c r="D31" s="4">
        <v>68.7</v>
      </c>
      <c r="E31" s="4">
        <v>65.2</v>
      </c>
      <c r="F31" s="4">
        <v>62.1</v>
      </c>
      <c r="G31" s="4">
        <v>66.900000000000006</v>
      </c>
      <c r="H31" s="4">
        <v>76.7</v>
      </c>
      <c r="I31" s="4">
        <v>72.5</v>
      </c>
      <c r="J31" s="4">
        <v>75</v>
      </c>
      <c r="K31" s="4">
        <v>79.5</v>
      </c>
      <c r="L31" s="4">
        <v>71.7</v>
      </c>
      <c r="M31" s="4">
        <v>90.6</v>
      </c>
      <c r="N31" s="4">
        <v>72.2</v>
      </c>
      <c r="O31" s="3">
        <v>123.4</v>
      </c>
      <c r="P31" s="4">
        <v>87.7</v>
      </c>
      <c r="Q31" s="4">
        <v>91.6</v>
      </c>
      <c r="R31" s="4">
        <v>150.4</v>
      </c>
      <c r="S31" s="4">
        <v>104.3</v>
      </c>
      <c r="T31" s="4">
        <v>103.3</v>
      </c>
      <c r="U31" s="3" t="e">
        <v>#N/A</v>
      </c>
      <c r="V31" s="4">
        <v>105.1</v>
      </c>
      <c r="W31" s="4">
        <v>99</v>
      </c>
      <c r="X31" s="4">
        <v>103.2</v>
      </c>
      <c r="Y31" s="4">
        <v>153.5</v>
      </c>
      <c r="Z31" s="4">
        <v>95.7</v>
      </c>
      <c r="AA31" s="3">
        <v>84.4</v>
      </c>
      <c r="AB31" s="3">
        <v>877.1</v>
      </c>
      <c r="AC31" s="4">
        <v>171.9</v>
      </c>
      <c r="AD31" s="4">
        <v>1421.7</v>
      </c>
      <c r="AE31" s="4">
        <v>178.1</v>
      </c>
      <c r="AF31" s="4">
        <v>108.3</v>
      </c>
      <c r="AG31" s="4">
        <v>522.9</v>
      </c>
      <c r="AH31" s="4">
        <v>155.6</v>
      </c>
      <c r="AI31" s="4">
        <v>99.4</v>
      </c>
      <c r="AJ31" s="4">
        <v>67.7</v>
      </c>
      <c r="AK31" s="4">
        <v>69.7</v>
      </c>
      <c r="AL31" s="4">
        <v>76.5</v>
      </c>
      <c r="AM31" s="4">
        <v>47.9</v>
      </c>
      <c r="AN31" s="4">
        <v>55.9</v>
      </c>
      <c r="AO31" s="4">
        <v>50.7</v>
      </c>
      <c r="AP31" s="4">
        <v>36.4</v>
      </c>
      <c r="AQ31" s="4">
        <v>94.9</v>
      </c>
      <c r="AR31" s="4">
        <v>66.599999999999994</v>
      </c>
      <c r="AS31" s="4">
        <v>45.7</v>
      </c>
      <c r="AT31" s="3">
        <v>37.200000000000003</v>
      </c>
      <c r="AU31" s="3" t="e">
        <v>#N/A</v>
      </c>
      <c r="AV31" s="4">
        <v>32.5</v>
      </c>
      <c r="AW31" s="4">
        <v>48.5</v>
      </c>
      <c r="AX31" s="4">
        <v>38.799999999999997</v>
      </c>
      <c r="AY31" s="4">
        <v>0.8</v>
      </c>
      <c r="AZ31" s="3">
        <v>58.9</v>
      </c>
      <c r="BA31" s="3">
        <v>48.6</v>
      </c>
      <c r="BB31" s="4">
        <v>81.3</v>
      </c>
      <c r="BC31" s="4">
        <v>66.3</v>
      </c>
      <c r="BD31" s="4">
        <v>61.7</v>
      </c>
      <c r="BE31" s="4">
        <v>112.7</v>
      </c>
      <c r="BF31" s="4">
        <v>137.5</v>
      </c>
      <c r="BG31" s="4">
        <v>121</v>
      </c>
      <c r="BH31" s="4">
        <v>100.3</v>
      </c>
      <c r="BI31" s="4">
        <v>77.2</v>
      </c>
      <c r="BJ31" s="4">
        <v>88.6</v>
      </c>
      <c r="BK31" s="4">
        <v>81.400000000000006</v>
      </c>
      <c r="BL31" s="4">
        <v>61.5</v>
      </c>
      <c r="BM31" s="4">
        <v>103.3</v>
      </c>
      <c r="BN31" s="4">
        <v>93.7</v>
      </c>
      <c r="BO31" s="4">
        <v>75.7</v>
      </c>
      <c r="BP31" s="4">
        <v>81.900000000000006</v>
      </c>
      <c r="BQ31" s="4">
        <v>120.7</v>
      </c>
      <c r="BR31" s="4">
        <v>97.9</v>
      </c>
      <c r="BS31" s="4">
        <v>88.3</v>
      </c>
      <c r="BT31" s="4">
        <v>67.2</v>
      </c>
      <c r="BU31" s="4">
        <v>98.1</v>
      </c>
      <c r="BV31" s="4">
        <v>124</v>
      </c>
      <c r="BW31" s="3" t="e">
        <v>#N/A</v>
      </c>
      <c r="BX31" s="4">
        <v>82.4</v>
      </c>
      <c r="BY31" s="3">
        <v>82.4</v>
      </c>
      <c r="BZ31" s="4">
        <v>82.2</v>
      </c>
      <c r="CA31" s="4">
        <v>95.5</v>
      </c>
      <c r="CB31" s="4">
        <v>75.2</v>
      </c>
      <c r="CC31" s="4">
        <v>117.4</v>
      </c>
      <c r="CD31" s="4">
        <v>107.7</v>
      </c>
      <c r="CE31" s="4">
        <v>93.5</v>
      </c>
      <c r="CF31" s="4">
        <v>40.5</v>
      </c>
      <c r="CG31" s="4">
        <v>108.3</v>
      </c>
      <c r="CH31" s="4">
        <v>92.2</v>
      </c>
      <c r="CI31" s="4">
        <v>29.1</v>
      </c>
      <c r="CJ31" s="4">
        <v>26.7</v>
      </c>
      <c r="CK31" s="4">
        <v>76.3</v>
      </c>
      <c r="CL31" s="4">
        <v>40.799999999999997</v>
      </c>
      <c r="CM31" s="4">
        <v>63.1</v>
      </c>
      <c r="CN31" s="4">
        <v>4.0999999999999996</v>
      </c>
      <c r="CO31" s="4">
        <v>82.8</v>
      </c>
      <c r="CP31" s="4">
        <v>43</v>
      </c>
      <c r="CQ31" s="4">
        <v>53.9</v>
      </c>
      <c r="CR31" s="4">
        <v>58.4</v>
      </c>
      <c r="CS31" s="4">
        <v>88.2</v>
      </c>
      <c r="CT31" s="4">
        <v>111.3</v>
      </c>
      <c r="CU31" s="4">
        <v>29.4</v>
      </c>
      <c r="CV31" s="4">
        <v>92.3</v>
      </c>
      <c r="CW31" s="4">
        <v>41.4</v>
      </c>
      <c r="CX31" s="4">
        <v>59.1</v>
      </c>
      <c r="CY31" s="4">
        <v>14.8</v>
      </c>
      <c r="CZ31" s="4">
        <v>24.7</v>
      </c>
      <c r="DA31" s="3" t="e">
        <v>#N/A</v>
      </c>
      <c r="DB31" s="4">
        <v>35.5</v>
      </c>
      <c r="DC31" s="4">
        <v>41</v>
      </c>
      <c r="DD31" s="4">
        <v>101.7</v>
      </c>
      <c r="DE31" s="4">
        <v>63.1</v>
      </c>
      <c r="DF31" s="4">
        <v>45.2</v>
      </c>
      <c r="DG31" s="4">
        <v>65.599999999999994</v>
      </c>
      <c r="DH31" s="4">
        <v>36.200000000000003</v>
      </c>
      <c r="DI31" s="4">
        <v>47.1</v>
      </c>
      <c r="DJ31" s="4">
        <v>36.299999999999997</v>
      </c>
      <c r="DK31" s="4">
        <v>172.3</v>
      </c>
      <c r="DL31" s="4">
        <v>37.700000000000003</v>
      </c>
      <c r="DM31" s="4">
        <v>73.2</v>
      </c>
      <c r="DN31" s="4">
        <v>55.4</v>
      </c>
      <c r="DO31" s="4">
        <v>9.1999999999999993</v>
      </c>
      <c r="DP31" s="4">
        <v>75.900000000000006</v>
      </c>
      <c r="DQ31" s="4">
        <v>32.200000000000003</v>
      </c>
      <c r="DR31" s="4">
        <v>26.9</v>
      </c>
      <c r="DS31" s="4">
        <v>21.3</v>
      </c>
      <c r="DT31" s="4">
        <v>315.89999999999998</v>
      </c>
      <c r="DU31" s="4">
        <v>19.7</v>
      </c>
      <c r="DV31" s="4">
        <v>36.799999999999997</v>
      </c>
      <c r="DW31" s="4">
        <v>7</v>
      </c>
      <c r="DX31" s="4">
        <v>21.5</v>
      </c>
      <c r="DY31" s="4">
        <v>7.3</v>
      </c>
      <c r="DZ31" s="4">
        <v>8.6999999999999993</v>
      </c>
      <c r="EA31" s="4">
        <v>67.2</v>
      </c>
      <c r="EB31" s="4">
        <v>59.6</v>
      </c>
      <c r="EC31" s="4">
        <v>6.1</v>
      </c>
      <c r="ED31" s="4">
        <v>14.7</v>
      </c>
      <c r="EE31" s="4">
        <v>57.5</v>
      </c>
      <c r="EF31" s="4">
        <v>89</v>
      </c>
      <c r="EG31" s="4">
        <v>0.4</v>
      </c>
      <c r="EH31" s="4">
        <v>11.5</v>
      </c>
      <c r="EI31" s="3">
        <v>8.4</v>
      </c>
      <c r="EJ31" s="4">
        <v>9.6999999999999993</v>
      </c>
      <c r="EK31" s="4">
        <v>11.8</v>
      </c>
      <c r="EL31" s="4">
        <v>59.5</v>
      </c>
      <c r="EM31" s="4">
        <v>6.5</v>
      </c>
      <c r="EN31" s="4">
        <v>5.6</v>
      </c>
      <c r="EO31" s="4">
        <v>91</v>
      </c>
      <c r="EP31" s="4">
        <v>14.9</v>
      </c>
      <c r="EQ31" s="4">
        <v>51.6</v>
      </c>
      <c r="ER31" s="3">
        <v>28.7</v>
      </c>
      <c r="ES31" s="4">
        <v>40.299999999999997</v>
      </c>
      <c r="ET31" s="3">
        <v>11</v>
      </c>
      <c r="EU31" s="3">
        <v>22.1</v>
      </c>
      <c r="EV31" s="3">
        <v>24.6</v>
      </c>
      <c r="EW31" s="3">
        <v>19.2</v>
      </c>
      <c r="EX31" s="3">
        <v>15.8</v>
      </c>
      <c r="EY31" s="3">
        <v>31.8</v>
      </c>
      <c r="EZ31" s="3">
        <v>26.6</v>
      </c>
      <c r="FA31" s="3">
        <v>9.4</v>
      </c>
      <c r="FB31" s="3">
        <v>8.8000000000000007</v>
      </c>
      <c r="FC31" s="3">
        <v>2.2999999999999998</v>
      </c>
      <c r="FD31" s="3">
        <v>7.9</v>
      </c>
      <c r="FE31" s="3">
        <v>0</v>
      </c>
      <c r="FF31" s="3">
        <v>3.8</v>
      </c>
      <c r="FG31" s="3">
        <v>12.2</v>
      </c>
      <c r="FH31" s="3">
        <v>14.8</v>
      </c>
      <c r="FI31" s="3">
        <v>11.2</v>
      </c>
      <c r="FJ31" s="3">
        <v>37.700000000000003</v>
      </c>
      <c r="FK31" s="3">
        <v>11.2</v>
      </c>
      <c r="FL31" s="3">
        <v>5.3</v>
      </c>
      <c r="FM31" s="3">
        <v>40.1</v>
      </c>
    </row>
    <row r="32" spans="1:169" x14ac:dyDescent="0.35">
      <c r="A32" s="2">
        <v>1901</v>
      </c>
      <c r="B32" s="4">
        <v>73.099999999999994</v>
      </c>
      <c r="C32" s="4">
        <v>77.900000000000006</v>
      </c>
      <c r="D32" s="4">
        <v>69.7</v>
      </c>
      <c r="E32" s="4">
        <v>70.7</v>
      </c>
      <c r="F32" s="4">
        <v>74.2</v>
      </c>
      <c r="G32" s="4">
        <v>64.7</v>
      </c>
      <c r="H32" s="4">
        <v>79.2</v>
      </c>
      <c r="I32" s="4">
        <v>75.2</v>
      </c>
      <c r="J32" s="4">
        <v>74.3</v>
      </c>
      <c r="K32" s="4">
        <v>72.900000000000006</v>
      </c>
      <c r="L32" s="4">
        <v>65.599999999999994</v>
      </c>
      <c r="M32" s="4">
        <v>76.400000000000006</v>
      </c>
      <c r="N32" s="4">
        <v>71.5</v>
      </c>
      <c r="O32" s="4">
        <v>103.4</v>
      </c>
      <c r="P32" s="4">
        <v>91.8</v>
      </c>
      <c r="Q32" s="3">
        <v>81.900000000000006</v>
      </c>
      <c r="R32" s="4">
        <v>151.5</v>
      </c>
      <c r="S32" s="3">
        <v>93.2</v>
      </c>
      <c r="T32" s="4">
        <v>103.4</v>
      </c>
      <c r="U32" s="3" t="e">
        <v>#N/A</v>
      </c>
      <c r="V32" s="4">
        <v>104.6</v>
      </c>
      <c r="W32" s="4">
        <v>96.5</v>
      </c>
      <c r="X32" s="4">
        <v>101.5</v>
      </c>
      <c r="Y32" s="4">
        <v>153.5</v>
      </c>
      <c r="Z32" s="4">
        <v>95.1</v>
      </c>
      <c r="AA32" s="4">
        <v>79.5</v>
      </c>
      <c r="AB32" s="4">
        <v>936.4</v>
      </c>
      <c r="AC32" s="4">
        <v>188.3</v>
      </c>
      <c r="AD32" s="4">
        <v>1508.7</v>
      </c>
      <c r="AE32" s="4">
        <v>179</v>
      </c>
      <c r="AF32" s="4">
        <v>109.6</v>
      </c>
      <c r="AG32" s="4">
        <v>517.79999999999995</v>
      </c>
      <c r="AH32" s="4">
        <v>156.1</v>
      </c>
      <c r="AI32" s="4">
        <v>105.9</v>
      </c>
      <c r="AJ32" s="4">
        <v>68.3</v>
      </c>
      <c r="AK32" s="4">
        <v>77.7</v>
      </c>
      <c r="AL32" s="4">
        <v>79.900000000000006</v>
      </c>
      <c r="AM32" s="4">
        <v>64.7</v>
      </c>
      <c r="AN32" s="4">
        <v>53.4</v>
      </c>
      <c r="AO32" s="4">
        <v>63</v>
      </c>
      <c r="AP32" s="4">
        <v>35.6</v>
      </c>
      <c r="AQ32" s="4">
        <v>87.2</v>
      </c>
      <c r="AR32" s="4">
        <v>64.3</v>
      </c>
      <c r="AS32" s="4">
        <v>50.8</v>
      </c>
      <c r="AT32" s="4">
        <v>21.3</v>
      </c>
      <c r="AU32" s="3" t="e">
        <v>#N/A</v>
      </c>
      <c r="AV32" s="4">
        <v>12.7</v>
      </c>
      <c r="AW32" s="4">
        <v>43.6</v>
      </c>
      <c r="AX32" s="4">
        <v>35.1</v>
      </c>
      <c r="AY32" s="4">
        <v>1.4</v>
      </c>
      <c r="AZ32" s="4">
        <v>59.6</v>
      </c>
      <c r="BA32" s="4">
        <v>50.2</v>
      </c>
      <c r="BB32" s="4">
        <v>71.8</v>
      </c>
      <c r="BC32" s="4">
        <v>69.599999999999994</v>
      </c>
      <c r="BD32" s="4">
        <v>53.3</v>
      </c>
      <c r="BE32" s="4">
        <v>105.5</v>
      </c>
      <c r="BF32" s="4">
        <v>126.7</v>
      </c>
      <c r="BG32" s="4">
        <v>104.8</v>
      </c>
      <c r="BH32" s="4">
        <v>93</v>
      </c>
      <c r="BI32" s="4">
        <v>79.400000000000006</v>
      </c>
      <c r="BJ32" s="4">
        <v>78</v>
      </c>
      <c r="BK32" s="4">
        <v>87.6</v>
      </c>
      <c r="BL32" s="4">
        <v>64.8</v>
      </c>
      <c r="BM32" s="4">
        <v>84.8</v>
      </c>
      <c r="BN32" s="4">
        <v>92.6</v>
      </c>
      <c r="BO32" s="4">
        <v>60.7</v>
      </c>
      <c r="BP32" s="4">
        <v>82.3</v>
      </c>
      <c r="BQ32" s="4">
        <v>100.2</v>
      </c>
      <c r="BR32" s="4">
        <v>93.1</v>
      </c>
      <c r="BS32" s="4">
        <v>85.4</v>
      </c>
      <c r="BT32" s="3">
        <v>74.8</v>
      </c>
      <c r="BU32" s="4">
        <v>96.1</v>
      </c>
      <c r="BV32" s="4">
        <v>126.8</v>
      </c>
      <c r="BW32" s="3" t="e">
        <v>#N/A</v>
      </c>
      <c r="BX32" s="4">
        <v>88</v>
      </c>
      <c r="BY32" s="4">
        <v>88</v>
      </c>
      <c r="BZ32" s="4">
        <v>90.5</v>
      </c>
      <c r="CA32" s="4">
        <v>105.5</v>
      </c>
      <c r="CB32" s="4">
        <v>74.3</v>
      </c>
      <c r="CC32" s="4">
        <v>99.4</v>
      </c>
      <c r="CD32" s="4">
        <v>111.9</v>
      </c>
      <c r="CE32" s="4">
        <v>93.9</v>
      </c>
      <c r="CF32" s="4">
        <v>46.1</v>
      </c>
      <c r="CG32" s="4">
        <v>76.599999999999994</v>
      </c>
      <c r="CH32" s="4">
        <v>125.7</v>
      </c>
      <c r="CI32" s="4">
        <v>32.4</v>
      </c>
      <c r="CJ32" s="4">
        <v>35.1</v>
      </c>
      <c r="CK32" s="4">
        <v>75.3</v>
      </c>
      <c r="CL32" s="4">
        <v>48</v>
      </c>
      <c r="CM32" s="4">
        <v>66.099999999999994</v>
      </c>
      <c r="CN32" s="4">
        <v>4.5999999999999996</v>
      </c>
      <c r="CO32" s="4">
        <v>75.2</v>
      </c>
      <c r="CP32" s="3">
        <v>57.3</v>
      </c>
      <c r="CQ32" s="4">
        <v>61.9</v>
      </c>
      <c r="CR32" s="4">
        <v>61.3</v>
      </c>
      <c r="CS32" s="4">
        <v>80.2</v>
      </c>
      <c r="CT32" s="4">
        <v>109.3</v>
      </c>
      <c r="CU32" s="4">
        <v>43.9</v>
      </c>
      <c r="CV32" s="4">
        <v>97.6</v>
      </c>
      <c r="CW32" s="4">
        <v>44.5</v>
      </c>
      <c r="CX32" s="4">
        <v>63.6</v>
      </c>
      <c r="CY32" s="4">
        <v>10.7</v>
      </c>
      <c r="CZ32" s="4">
        <v>26.5</v>
      </c>
      <c r="DA32" s="3" t="e">
        <v>#N/A</v>
      </c>
      <c r="DB32" s="4">
        <v>58.8</v>
      </c>
      <c r="DC32" s="4">
        <v>65.3</v>
      </c>
      <c r="DD32" s="3" t="s">
        <v>84</v>
      </c>
      <c r="DE32" s="4">
        <v>107.2</v>
      </c>
      <c r="DF32" s="4">
        <v>46.2</v>
      </c>
      <c r="DG32" s="4">
        <v>77.900000000000006</v>
      </c>
      <c r="DH32" s="4">
        <v>38.700000000000003</v>
      </c>
      <c r="DI32" s="4">
        <v>50.5</v>
      </c>
      <c r="DJ32" s="4">
        <v>40.1</v>
      </c>
      <c r="DK32" s="3">
        <v>195.2</v>
      </c>
      <c r="DL32" s="4">
        <v>40.6</v>
      </c>
      <c r="DM32" s="4">
        <v>81.099999999999994</v>
      </c>
      <c r="DN32" s="4">
        <v>67.099999999999994</v>
      </c>
      <c r="DO32" s="4">
        <v>8.8000000000000007</v>
      </c>
      <c r="DP32" s="4">
        <v>78.599999999999994</v>
      </c>
      <c r="DQ32" s="4">
        <v>35.6</v>
      </c>
      <c r="DR32" s="4">
        <v>26.9</v>
      </c>
      <c r="DS32" s="4">
        <v>21.8</v>
      </c>
      <c r="DT32" s="4">
        <v>301.89999999999998</v>
      </c>
      <c r="DU32" s="4">
        <v>25.2</v>
      </c>
      <c r="DV32" s="4">
        <v>34.799999999999997</v>
      </c>
      <c r="DW32" s="4">
        <v>7.3</v>
      </c>
      <c r="DX32" s="4">
        <v>22</v>
      </c>
      <c r="DY32" s="4">
        <v>6</v>
      </c>
      <c r="DZ32" s="4">
        <v>8</v>
      </c>
      <c r="EA32" s="4">
        <v>66.7</v>
      </c>
      <c r="EB32" s="4">
        <v>34.200000000000003</v>
      </c>
      <c r="EC32" s="3">
        <v>5.8</v>
      </c>
      <c r="ED32" s="4">
        <v>5.8</v>
      </c>
      <c r="EE32" s="4">
        <v>50.4</v>
      </c>
      <c r="EF32" s="4">
        <v>79</v>
      </c>
      <c r="EG32" s="4">
        <v>0.7</v>
      </c>
      <c r="EH32" s="4">
        <v>11.6</v>
      </c>
      <c r="EI32" s="3">
        <v>8.1</v>
      </c>
      <c r="EJ32" s="4">
        <v>9.6999999999999993</v>
      </c>
      <c r="EK32" s="4">
        <v>8.6999999999999993</v>
      </c>
      <c r="EL32" s="4">
        <v>70.2</v>
      </c>
      <c r="EM32" s="4">
        <v>6.7</v>
      </c>
      <c r="EN32" s="4">
        <v>6.8</v>
      </c>
      <c r="EO32" s="4">
        <v>77.8</v>
      </c>
      <c r="EP32" s="4">
        <v>16.2</v>
      </c>
      <c r="EQ32" s="4">
        <v>55.6</v>
      </c>
      <c r="ER32" s="3">
        <v>28.3</v>
      </c>
      <c r="ES32" s="4">
        <v>39.4</v>
      </c>
      <c r="ET32" s="3">
        <v>15.4</v>
      </c>
      <c r="EU32" s="3">
        <v>20.8</v>
      </c>
      <c r="EV32" s="3">
        <v>25.5</v>
      </c>
      <c r="EW32" s="3">
        <v>14</v>
      </c>
      <c r="EX32" s="3">
        <v>15.6</v>
      </c>
      <c r="EY32" s="3">
        <v>39.5</v>
      </c>
      <c r="EZ32" s="3">
        <v>26.8</v>
      </c>
      <c r="FA32" s="3">
        <v>9.8000000000000007</v>
      </c>
      <c r="FB32" s="3">
        <v>10.5</v>
      </c>
      <c r="FC32" s="3">
        <v>1.6</v>
      </c>
      <c r="FD32" s="3">
        <v>8.6</v>
      </c>
      <c r="FE32" s="3">
        <v>0</v>
      </c>
      <c r="FF32" s="3">
        <v>6.6</v>
      </c>
      <c r="FG32" s="3">
        <v>20.8</v>
      </c>
      <c r="FH32" s="3">
        <v>16.2</v>
      </c>
      <c r="FI32" s="3">
        <v>21</v>
      </c>
      <c r="FJ32" s="3">
        <v>38.1</v>
      </c>
      <c r="FK32" s="3">
        <v>11.3</v>
      </c>
      <c r="FL32" s="3">
        <v>5.9</v>
      </c>
      <c r="FM32" s="3">
        <v>43.1</v>
      </c>
    </row>
    <row r="33" spans="1:169" x14ac:dyDescent="0.35">
      <c r="A33" s="2">
        <v>1902</v>
      </c>
      <c r="B33" s="4">
        <v>84.7</v>
      </c>
      <c r="C33" s="4">
        <v>83.2</v>
      </c>
      <c r="D33" s="4">
        <v>79.400000000000006</v>
      </c>
      <c r="E33" s="4">
        <v>79.599999999999994</v>
      </c>
      <c r="F33" s="4">
        <v>88.5</v>
      </c>
      <c r="G33" s="4">
        <v>71.400000000000006</v>
      </c>
      <c r="H33" s="4">
        <v>80.3</v>
      </c>
      <c r="I33" s="4">
        <v>83.3</v>
      </c>
      <c r="J33" s="4">
        <v>81.2</v>
      </c>
      <c r="K33" s="4">
        <v>78.099999999999994</v>
      </c>
      <c r="L33" s="4">
        <v>65.900000000000006</v>
      </c>
      <c r="M33" s="3">
        <v>73.8</v>
      </c>
      <c r="N33" s="4">
        <v>77.099999999999994</v>
      </c>
      <c r="O33" s="4">
        <v>107.8</v>
      </c>
      <c r="P33" s="4">
        <v>100.9</v>
      </c>
      <c r="Q33" s="4">
        <v>75.099999999999994</v>
      </c>
      <c r="R33" s="4">
        <v>138.30000000000001</v>
      </c>
      <c r="S33" s="4">
        <v>90.1</v>
      </c>
      <c r="T33" s="4">
        <v>79.3</v>
      </c>
      <c r="U33" s="3" t="e">
        <v>#N/A</v>
      </c>
      <c r="V33" s="3">
        <v>120.8</v>
      </c>
      <c r="W33" s="4">
        <v>96.3</v>
      </c>
      <c r="X33" s="4">
        <v>102.6</v>
      </c>
      <c r="Y33" s="4">
        <v>151.6</v>
      </c>
      <c r="Z33" s="4">
        <v>91.4</v>
      </c>
      <c r="AA33" s="4">
        <v>82.6</v>
      </c>
      <c r="AB33" s="4">
        <v>531</v>
      </c>
      <c r="AC33" s="4">
        <v>107.5</v>
      </c>
      <c r="AD33" s="4">
        <v>1198.5</v>
      </c>
      <c r="AE33" s="3">
        <v>135.4</v>
      </c>
      <c r="AF33" s="3">
        <v>88.9</v>
      </c>
      <c r="AG33" s="4">
        <v>259</v>
      </c>
      <c r="AH33" s="4">
        <v>144.9</v>
      </c>
      <c r="AI33" s="4">
        <v>93.6</v>
      </c>
      <c r="AJ33" s="3">
        <v>80.599999999999994</v>
      </c>
      <c r="AK33" s="4">
        <v>76</v>
      </c>
      <c r="AL33" s="4">
        <v>76.900000000000006</v>
      </c>
      <c r="AM33" s="3">
        <v>86.2</v>
      </c>
      <c r="AN33" s="4">
        <v>50.1</v>
      </c>
      <c r="AO33" s="4">
        <v>59.8</v>
      </c>
      <c r="AP33" s="4">
        <v>26.8</v>
      </c>
      <c r="AQ33" s="4">
        <v>99.7</v>
      </c>
      <c r="AR33" s="4">
        <v>74.3</v>
      </c>
      <c r="AS33" s="4">
        <v>49</v>
      </c>
      <c r="AT33" s="4">
        <v>36.9</v>
      </c>
      <c r="AU33" s="3" t="e">
        <v>#N/A</v>
      </c>
      <c r="AV33" s="4">
        <v>7.9</v>
      </c>
      <c r="AW33" s="3">
        <v>36.4</v>
      </c>
      <c r="AX33" s="3">
        <v>37</v>
      </c>
      <c r="AY33" s="4">
        <v>2.1</v>
      </c>
      <c r="AZ33" s="4">
        <v>59.7</v>
      </c>
      <c r="BA33" s="4">
        <v>51.7</v>
      </c>
      <c r="BB33" s="4">
        <v>70.8</v>
      </c>
      <c r="BC33" s="4">
        <v>72.7</v>
      </c>
      <c r="BD33" s="4">
        <v>55.3</v>
      </c>
      <c r="BE33" s="4">
        <v>101.3</v>
      </c>
      <c r="BF33" s="4">
        <v>121.9</v>
      </c>
      <c r="BG33" s="4">
        <v>78.5</v>
      </c>
      <c r="BH33" s="4">
        <v>85.5</v>
      </c>
      <c r="BI33" s="4">
        <v>79.400000000000006</v>
      </c>
      <c r="BJ33" s="4">
        <v>75.7</v>
      </c>
      <c r="BK33" s="4">
        <v>83.8</v>
      </c>
      <c r="BL33" s="4">
        <v>56.4</v>
      </c>
      <c r="BM33" s="4">
        <v>108.6</v>
      </c>
      <c r="BN33" s="4">
        <v>91.3</v>
      </c>
      <c r="BO33" s="4">
        <v>59.9</v>
      </c>
      <c r="BP33" s="4">
        <v>82.1</v>
      </c>
      <c r="BQ33" s="4">
        <v>105.8</v>
      </c>
      <c r="BR33" s="4">
        <v>97.1</v>
      </c>
      <c r="BS33" s="3">
        <v>87.5</v>
      </c>
      <c r="BT33" s="4">
        <v>80.3</v>
      </c>
      <c r="BU33" s="4">
        <v>90</v>
      </c>
      <c r="BV33" s="4">
        <v>132.69999999999999</v>
      </c>
      <c r="BW33" s="3" t="e">
        <v>#N/A</v>
      </c>
      <c r="BX33" s="4">
        <v>89.8</v>
      </c>
      <c r="BY33" s="3">
        <v>89.8</v>
      </c>
      <c r="BZ33" s="4">
        <v>85.9</v>
      </c>
      <c r="CA33" s="4">
        <v>90.7</v>
      </c>
      <c r="CB33" s="4">
        <v>66.599999999999994</v>
      </c>
      <c r="CC33" s="4">
        <v>88.1</v>
      </c>
      <c r="CD33" s="4">
        <v>107.1</v>
      </c>
      <c r="CE33" s="4">
        <v>91.4</v>
      </c>
      <c r="CF33" s="4">
        <v>52.1</v>
      </c>
      <c r="CG33" s="4">
        <v>122.2</v>
      </c>
      <c r="CH33" s="4">
        <v>110.9</v>
      </c>
      <c r="CI33" s="4">
        <v>36.4</v>
      </c>
      <c r="CJ33" s="4">
        <v>42.4</v>
      </c>
      <c r="CK33" s="4">
        <v>78.599999999999994</v>
      </c>
      <c r="CL33" s="4">
        <v>52.3</v>
      </c>
      <c r="CM33" s="4">
        <v>68.7</v>
      </c>
      <c r="CN33" s="4">
        <v>4.2</v>
      </c>
      <c r="CO33" s="4">
        <v>93.2</v>
      </c>
      <c r="CP33" s="4">
        <v>63.1</v>
      </c>
      <c r="CQ33" s="4">
        <v>71.599999999999994</v>
      </c>
      <c r="CR33" s="4">
        <v>72</v>
      </c>
      <c r="CS33" s="4">
        <v>113.7</v>
      </c>
      <c r="CT33" s="4">
        <v>131.80000000000001</v>
      </c>
      <c r="CU33" s="4">
        <v>49.2</v>
      </c>
      <c r="CV33" s="4">
        <v>113.5</v>
      </c>
      <c r="CW33" s="4">
        <v>47.9</v>
      </c>
      <c r="CX33" s="4">
        <v>76.5</v>
      </c>
      <c r="CY33" s="4">
        <v>20</v>
      </c>
      <c r="CZ33" s="4">
        <v>26.8</v>
      </c>
      <c r="DA33" s="3" t="e">
        <v>#N/A</v>
      </c>
      <c r="DB33" s="4">
        <v>71.900000000000006</v>
      </c>
      <c r="DC33" s="4">
        <v>64</v>
      </c>
      <c r="DD33" s="4">
        <v>111</v>
      </c>
      <c r="DE33" s="4">
        <v>89.4</v>
      </c>
      <c r="DF33" s="4">
        <v>58.1</v>
      </c>
      <c r="DG33" s="4">
        <v>213.3</v>
      </c>
      <c r="DH33" s="4">
        <v>62.1</v>
      </c>
      <c r="DI33" s="4">
        <v>53.3</v>
      </c>
      <c r="DJ33" s="4">
        <v>26.4</v>
      </c>
      <c r="DK33" s="4">
        <v>119</v>
      </c>
      <c r="DL33" s="4">
        <v>36.799999999999997</v>
      </c>
      <c r="DM33" s="4">
        <v>69.099999999999994</v>
      </c>
      <c r="DN33" s="4">
        <v>64.900000000000006</v>
      </c>
      <c r="DO33" s="4">
        <v>4.9000000000000004</v>
      </c>
      <c r="DP33" s="4">
        <v>74</v>
      </c>
      <c r="DQ33" s="4">
        <v>34.799999999999997</v>
      </c>
      <c r="DR33" s="4">
        <v>34.6</v>
      </c>
      <c r="DS33" s="4">
        <v>22.8</v>
      </c>
      <c r="DT33" s="4">
        <v>291.5</v>
      </c>
      <c r="DU33" s="4">
        <v>32.4</v>
      </c>
      <c r="DV33" s="4">
        <v>35.299999999999997</v>
      </c>
      <c r="DW33" s="4">
        <v>7.3</v>
      </c>
      <c r="DX33" s="4">
        <v>18.2</v>
      </c>
      <c r="DY33" s="4">
        <v>6.3</v>
      </c>
      <c r="DZ33" s="4">
        <v>8.4</v>
      </c>
      <c r="EA33" s="4">
        <v>62.3</v>
      </c>
      <c r="EB33" s="4">
        <v>45.3</v>
      </c>
      <c r="EC33" s="4">
        <v>6.3</v>
      </c>
      <c r="ED33" s="4">
        <v>4.0999999999999996</v>
      </c>
      <c r="EE33" s="4">
        <v>42</v>
      </c>
      <c r="EF33" s="4">
        <v>84.4</v>
      </c>
      <c r="EG33" s="4">
        <v>1.1000000000000001</v>
      </c>
      <c r="EH33" s="4">
        <v>11.1</v>
      </c>
      <c r="EI33" s="4">
        <v>8.6</v>
      </c>
      <c r="EJ33" s="4">
        <v>10.8</v>
      </c>
      <c r="EK33" s="4">
        <v>14.6</v>
      </c>
      <c r="EL33" s="4">
        <v>64.2</v>
      </c>
      <c r="EM33" s="4">
        <v>7.3</v>
      </c>
      <c r="EN33" s="3">
        <v>8</v>
      </c>
      <c r="EO33" s="4">
        <v>60.9</v>
      </c>
      <c r="EP33" s="4">
        <v>16.2</v>
      </c>
      <c r="EQ33" s="4">
        <v>57.7</v>
      </c>
      <c r="ER33" s="4">
        <v>25.4</v>
      </c>
      <c r="ES33" s="4">
        <v>46.7</v>
      </c>
      <c r="ET33" s="3">
        <v>14.8</v>
      </c>
      <c r="EU33" s="3">
        <v>30.9</v>
      </c>
      <c r="EV33" s="3">
        <v>29.6</v>
      </c>
      <c r="EW33" s="3">
        <v>19.600000000000001</v>
      </c>
      <c r="EX33" s="3">
        <v>18.8</v>
      </c>
      <c r="EY33" s="3">
        <v>46.7</v>
      </c>
      <c r="EZ33" s="3">
        <v>32.4</v>
      </c>
      <c r="FA33" s="3">
        <v>10.8</v>
      </c>
      <c r="FB33" s="3">
        <v>13.6</v>
      </c>
      <c r="FC33" s="3">
        <v>2.9</v>
      </c>
      <c r="FD33" s="3">
        <v>9.1</v>
      </c>
      <c r="FE33" s="3">
        <v>0</v>
      </c>
      <c r="FF33" s="3">
        <v>8.3000000000000007</v>
      </c>
      <c r="FG33" s="3">
        <v>20.8</v>
      </c>
      <c r="FH33" s="3">
        <v>16.8</v>
      </c>
      <c r="FI33" s="3">
        <v>15.1</v>
      </c>
      <c r="FJ33" s="3">
        <v>42.8</v>
      </c>
      <c r="FK33" s="3">
        <v>27.4</v>
      </c>
      <c r="FL33" s="3">
        <v>9</v>
      </c>
      <c r="FM33" s="3">
        <v>44.3</v>
      </c>
    </row>
    <row r="34" spans="1:169" x14ac:dyDescent="0.35">
      <c r="A34" s="2">
        <v>1903</v>
      </c>
      <c r="B34" s="4">
        <v>74.2</v>
      </c>
      <c r="C34" s="4">
        <v>87.4</v>
      </c>
      <c r="D34" s="4">
        <v>71.900000000000006</v>
      </c>
      <c r="E34" s="4">
        <v>81.5</v>
      </c>
      <c r="F34" s="4">
        <v>81.599999999999994</v>
      </c>
      <c r="G34" s="4">
        <v>69.900000000000006</v>
      </c>
      <c r="H34" s="4">
        <v>82.7</v>
      </c>
      <c r="I34" s="4">
        <v>79.7</v>
      </c>
      <c r="J34" s="4">
        <v>80.2</v>
      </c>
      <c r="K34" s="4">
        <v>81.599999999999994</v>
      </c>
      <c r="L34" s="4">
        <v>80.900000000000006</v>
      </c>
      <c r="M34" s="4">
        <v>76.2</v>
      </c>
      <c r="N34" s="4">
        <v>81.5</v>
      </c>
      <c r="O34" s="4">
        <v>109.2</v>
      </c>
      <c r="P34" s="4">
        <v>103.1</v>
      </c>
      <c r="Q34" s="4">
        <v>82.5</v>
      </c>
      <c r="R34" s="4">
        <v>135.69999999999999</v>
      </c>
      <c r="S34" s="4">
        <v>105.6</v>
      </c>
      <c r="T34" s="4">
        <v>85.7</v>
      </c>
      <c r="U34" s="3" t="e">
        <v>#N/A</v>
      </c>
      <c r="V34" s="4">
        <v>114.6</v>
      </c>
      <c r="W34" s="4">
        <v>102.5</v>
      </c>
      <c r="X34" s="4">
        <v>101.5</v>
      </c>
      <c r="Y34" s="4">
        <v>151.9</v>
      </c>
      <c r="Z34" s="4">
        <v>91.7</v>
      </c>
      <c r="AA34" s="4">
        <v>86.3</v>
      </c>
      <c r="AB34" s="4">
        <v>904.4</v>
      </c>
      <c r="AC34" s="4">
        <v>100.2</v>
      </c>
      <c r="AD34" s="4">
        <v>1340.6</v>
      </c>
      <c r="AE34" s="4">
        <v>119.5</v>
      </c>
      <c r="AF34" s="4">
        <v>100.9</v>
      </c>
      <c r="AG34" s="4">
        <v>266.8</v>
      </c>
      <c r="AH34" s="4">
        <v>154.9</v>
      </c>
      <c r="AI34" s="4">
        <v>83.5</v>
      </c>
      <c r="AJ34" s="4">
        <v>70.099999999999994</v>
      </c>
      <c r="AK34" s="4">
        <v>75.5</v>
      </c>
      <c r="AL34" s="4">
        <v>81.5</v>
      </c>
      <c r="AM34" s="4">
        <v>65.900000000000006</v>
      </c>
      <c r="AN34" s="4">
        <v>60</v>
      </c>
      <c r="AO34" s="4">
        <v>59.8</v>
      </c>
      <c r="AP34" s="4">
        <v>39.1</v>
      </c>
      <c r="AQ34" s="4">
        <v>97.3</v>
      </c>
      <c r="AR34" s="4">
        <v>86.5</v>
      </c>
      <c r="AS34" s="4">
        <v>44.3</v>
      </c>
      <c r="AT34" s="4">
        <v>32.299999999999997</v>
      </c>
      <c r="AU34" s="3" t="e">
        <v>#N/A</v>
      </c>
      <c r="AV34" s="4">
        <v>8.1999999999999993</v>
      </c>
      <c r="AW34" s="4">
        <v>34.200000000000003</v>
      </c>
      <c r="AX34" s="4">
        <v>40.799999999999997</v>
      </c>
      <c r="AY34" s="4">
        <v>3.2</v>
      </c>
      <c r="AZ34" s="4">
        <v>61.6</v>
      </c>
      <c r="BA34" s="4">
        <v>56.8</v>
      </c>
      <c r="BB34" s="4">
        <v>73.099999999999994</v>
      </c>
      <c r="BC34" s="4">
        <v>99.8</v>
      </c>
      <c r="BD34" s="4">
        <v>51.3</v>
      </c>
      <c r="BE34" s="4">
        <v>96.7</v>
      </c>
      <c r="BF34" s="4">
        <v>125</v>
      </c>
      <c r="BG34" s="4">
        <v>89.5</v>
      </c>
      <c r="BH34" s="4">
        <v>87</v>
      </c>
      <c r="BI34" s="4">
        <v>80.400000000000006</v>
      </c>
      <c r="BJ34" s="4">
        <v>94.1</v>
      </c>
      <c r="BK34" s="4">
        <v>87.8</v>
      </c>
      <c r="BL34" s="4">
        <v>57.9</v>
      </c>
      <c r="BM34" s="4">
        <v>99.3</v>
      </c>
      <c r="BN34" s="4">
        <v>91.9</v>
      </c>
      <c r="BO34" s="4">
        <v>74.3</v>
      </c>
      <c r="BP34" s="4">
        <v>82.5</v>
      </c>
      <c r="BQ34" s="4">
        <v>115.3</v>
      </c>
      <c r="BR34" s="4">
        <v>96.3</v>
      </c>
      <c r="BS34" s="4">
        <v>86.2</v>
      </c>
      <c r="BT34" s="4">
        <v>82.2</v>
      </c>
      <c r="BU34" s="4">
        <v>90.2</v>
      </c>
      <c r="BV34" s="4">
        <v>130.80000000000001</v>
      </c>
      <c r="BW34" s="3" t="e">
        <v>#N/A</v>
      </c>
      <c r="BX34" s="4">
        <v>90.7</v>
      </c>
      <c r="BY34" s="4">
        <v>90.7</v>
      </c>
      <c r="BZ34" s="4">
        <v>80.599999999999994</v>
      </c>
      <c r="CA34" s="4">
        <v>84.1</v>
      </c>
      <c r="CB34" s="3">
        <v>69.3</v>
      </c>
      <c r="CC34" s="4">
        <v>90.1</v>
      </c>
      <c r="CD34" s="4">
        <v>101.3</v>
      </c>
      <c r="CE34" s="4">
        <v>94.8</v>
      </c>
      <c r="CF34" s="4">
        <v>56</v>
      </c>
      <c r="CG34" s="4">
        <v>115.8</v>
      </c>
      <c r="CH34" s="4">
        <v>114.3</v>
      </c>
      <c r="CI34" s="4">
        <v>40.200000000000003</v>
      </c>
      <c r="CJ34" s="4">
        <v>45.4</v>
      </c>
      <c r="CK34" s="4">
        <v>69.8</v>
      </c>
      <c r="CL34" s="4">
        <v>54.7</v>
      </c>
      <c r="CM34" s="4">
        <v>62.6</v>
      </c>
      <c r="CN34" s="4">
        <v>47</v>
      </c>
      <c r="CO34" s="4">
        <v>96.1</v>
      </c>
      <c r="CP34" s="4">
        <v>57.3</v>
      </c>
      <c r="CQ34" s="4">
        <v>83.6</v>
      </c>
      <c r="CR34" s="4">
        <v>76.3</v>
      </c>
      <c r="CS34" s="4">
        <v>106.7</v>
      </c>
      <c r="CT34" s="4">
        <v>134.9</v>
      </c>
      <c r="CU34" s="4">
        <v>41.7</v>
      </c>
      <c r="CV34" s="4">
        <v>109.6</v>
      </c>
      <c r="CW34" s="4">
        <v>51.1</v>
      </c>
      <c r="CX34" s="4">
        <v>65.3</v>
      </c>
      <c r="CY34" s="4">
        <v>24.3</v>
      </c>
      <c r="CZ34" s="4">
        <v>30.7</v>
      </c>
      <c r="DA34" s="3" t="e">
        <v>#N/A</v>
      </c>
      <c r="DB34" s="4">
        <v>89.1</v>
      </c>
      <c r="DC34" s="4">
        <v>60.8</v>
      </c>
      <c r="DD34" s="4">
        <v>132.69999999999999</v>
      </c>
      <c r="DE34" s="4">
        <v>51.6</v>
      </c>
      <c r="DF34" s="4">
        <v>63.2</v>
      </c>
      <c r="DG34" s="4">
        <v>199.9</v>
      </c>
      <c r="DH34" s="4">
        <v>72</v>
      </c>
      <c r="DI34" s="4">
        <v>56.7</v>
      </c>
      <c r="DJ34" s="4">
        <v>39.4</v>
      </c>
      <c r="DK34" s="4">
        <v>116.4</v>
      </c>
      <c r="DL34" s="4">
        <v>37.299999999999997</v>
      </c>
      <c r="DM34" s="4">
        <v>62.4</v>
      </c>
      <c r="DN34" s="4">
        <v>67.900000000000006</v>
      </c>
      <c r="DO34" s="4">
        <v>4.9000000000000004</v>
      </c>
      <c r="DP34" s="4">
        <v>81.5</v>
      </c>
      <c r="DQ34" s="4">
        <v>29.7</v>
      </c>
      <c r="DR34" s="4">
        <v>29.8</v>
      </c>
      <c r="DS34" s="4">
        <v>23.7</v>
      </c>
      <c r="DT34" s="4">
        <v>379.6</v>
      </c>
      <c r="DU34" s="4">
        <v>25.6</v>
      </c>
      <c r="DV34" s="4">
        <v>44.6</v>
      </c>
      <c r="DW34" s="4">
        <v>7.3</v>
      </c>
      <c r="DX34" s="4">
        <v>27.2</v>
      </c>
      <c r="DY34" s="4">
        <v>6.8</v>
      </c>
      <c r="DZ34" s="4">
        <v>9.6</v>
      </c>
      <c r="EA34" s="4">
        <v>65.8</v>
      </c>
      <c r="EB34" s="4">
        <v>42.9</v>
      </c>
      <c r="EC34" s="4">
        <v>6.8</v>
      </c>
      <c r="ED34" s="4">
        <v>4</v>
      </c>
      <c r="EE34" s="4">
        <v>42</v>
      </c>
      <c r="EF34" s="4">
        <v>92</v>
      </c>
      <c r="EG34" s="4">
        <v>1.6</v>
      </c>
      <c r="EH34" s="4">
        <v>11.5</v>
      </c>
      <c r="EI34" s="4">
        <v>9.9</v>
      </c>
      <c r="EJ34" s="4">
        <v>12</v>
      </c>
      <c r="EK34" s="4">
        <v>17.100000000000001</v>
      </c>
      <c r="EL34" s="4">
        <v>61.3</v>
      </c>
      <c r="EM34" s="4">
        <v>7.6</v>
      </c>
      <c r="EN34" s="4">
        <v>8.6999999999999993</v>
      </c>
      <c r="EO34" s="4">
        <v>61.5</v>
      </c>
      <c r="EP34" s="4">
        <v>17.3</v>
      </c>
      <c r="EQ34" s="4">
        <v>53.3</v>
      </c>
      <c r="ER34" s="4">
        <v>35.799999999999997</v>
      </c>
      <c r="ES34" s="4">
        <v>50.4</v>
      </c>
      <c r="ET34" s="3">
        <v>13.8</v>
      </c>
      <c r="EU34" s="3">
        <v>32.9</v>
      </c>
      <c r="EV34" s="3">
        <v>31.5</v>
      </c>
      <c r="EW34" s="3">
        <v>22.8</v>
      </c>
      <c r="EX34" s="3">
        <v>19.3</v>
      </c>
      <c r="EY34" s="3">
        <v>43.1</v>
      </c>
      <c r="EZ34" s="3">
        <v>31.1</v>
      </c>
      <c r="FA34" s="3">
        <v>11.4</v>
      </c>
      <c r="FB34" s="3">
        <v>11.9</v>
      </c>
      <c r="FC34" s="3">
        <v>3.5</v>
      </c>
      <c r="FD34" s="3">
        <v>10.3</v>
      </c>
      <c r="FE34" s="3">
        <v>0</v>
      </c>
      <c r="FF34" s="3">
        <v>10.4</v>
      </c>
      <c r="FG34" s="3">
        <v>20</v>
      </c>
      <c r="FH34" s="3">
        <v>18.899999999999999</v>
      </c>
      <c r="FI34" s="3">
        <v>8.1</v>
      </c>
      <c r="FJ34" s="3">
        <v>48.4</v>
      </c>
      <c r="FK34" s="3">
        <v>26.3</v>
      </c>
      <c r="FL34" s="3">
        <v>9.9</v>
      </c>
      <c r="FM34" s="3">
        <v>48.9</v>
      </c>
    </row>
    <row r="35" spans="1:169" x14ac:dyDescent="0.35">
      <c r="A35" s="2">
        <v>1904</v>
      </c>
      <c r="B35" s="4">
        <v>76.3</v>
      </c>
      <c r="C35" s="4">
        <v>89.9</v>
      </c>
      <c r="D35" s="4">
        <v>68.3</v>
      </c>
      <c r="E35" s="4">
        <v>75.5</v>
      </c>
      <c r="F35" s="4">
        <v>69.5</v>
      </c>
      <c r="G35" s="4">
        <v>62.3</v>
      </c>
      <c r="H35" s="4">
        <v>90.1</v>
      </c>
      <c r="I35" s="3">
        <v>74.3</v>
      </c>
      <c r="J35" s="4">
        <v>76.099999999999994</v>
      </c>
      <c r="K35" s="4">
        <v>82.9</v>
      </c>
      <c r="L35" s="4">
        <v>84.8</v>
      </c>
      <c r="M35" s="3">
        <v>84.8</v>
      </c>
      <c r="N35" s="4">
        <v>80.2</v>
      </c>
      <c r="O35" s="4">
        <v>114</v>
      </c>
      <c r="P35" s="4">
        <v>102.2</v>
      </c>
      <c r="Q35" s="4">
        <v>92.5</v>
      </c>
      <c r="R35" s="3">
        <v>136.80000000000001</v>
      </c>
      <c r="S35" s="4">
        <v>106.5</v>
      </c>
      <c r="T35" s="4">
        <v>83.4</v>
      </c>
      <c r="U35" s="3" t="e">
        <v>#N/A</v>
      </c>
      <c r="V35" s="4">
        <v>97.5</v>
      </c>
      <c r="W35" s="4">
        <v>98.4</v>
      </c>
      <c r="X35" s="4">
        <v>101</v>
      </c>
      <c r="Y35" s="4">
        <v>138.5</v>
      </c>
      <c r="Z35" s="4">
        <v>92.4</v>
      </c>
      <c r="AA35" s="3">
        <v>86.4</v>
      </c>
      <c r="AB35" s="4">
        <v>990</v>
      </c>
      <c r="AC35" s="4">
        <v>34.6</v>
      </c>
      <c r="AD35" s="4">
        <v>1222.8</v>
      </c>
      <c r="AE35" s="4">
        <v>123</v>
      </c>
      <c r="AF35" s="4">
        <v>105.1</v>
      </c>
      <c r="AG35" s="4">
        <v>362.5</v>
      </c>
      <c r="AH35" s="4">
        <v>96.5</v>
      </c>
      <c r="AI35" s="4">
        <v>90.1</v>
      </c>
      <c r="AJ35" s="4">
        <v>78.3</v>
      </c>
      <c r="AK35" s="4">
        <v>83.8</v>
      </c>
      <c r="AL35" s="4">
        <v>75.900000000000006</v>
      </c>
      <c r="AM35" s="4">
        <v>74.599999999999994</v>
      </c>
      <c r="AN35" s="4">
        <v>62.4</v>
      </c>
      <c r="AO35" s="4">
        <v>61.5</v>
      </c>
      <c r="AP35" s="4">
        <v>41</v>
      </c>
      <c r="AQ35" s="4">
        <v>81.3</v>
      </c>
      <c r="AR35" s="4">
        <v>74</v>
      </c>
      <c r="AS35" s="4">
        <v>49.5</v>
      </c>
      <c r="AT35" s="4">
        <v>58.6</v>
      </c>
      <c r="AU35" s="3" t="e">
        <v>#N/A</v>
      </c>
      <c r="AV35" s="4">
        <v>31.6</v>
      </c>
      <c r="AW35" s="4">
        <v>46.2</v>
      </c>
      <c r="AX35" s="4">
        <v>43.2</v>
      </c>
      <c r="AY35" s="4">
        <v>4.0999999999999996</v>
      </c>
      <c r="AZ35" s="4">
        <v>63.7</v>
      </c>
      <c r="BA35" s="4">
        <v>60</v>
      </c>
      <c r="BB35" s="4">
        <v>69</v>
      </c>
      <c r="BC35" s="4">
        <v>85.8</v>
      </c>
      <c r="BD35" s="4">
        <v>64</v>
      </c>
      <c r="BE35" s="4">
        <v>95.5</v>
      </c>
      <c r="BF35" s="4">
        <v>114</v>
      </c>
      <c r="BG35" s="4">
        <v>99.6</v>
      </c>
      <c r="BH35" s="4">
        <v>89</v>
      </c>
      <c r="BI35" s="4">
        <v>81.900000000000006</v>
      </c>
      <c r="BJ35" s="4">
        <v>105.7</v>
      </c>
      <c r="BK35" s="3">
        <v>88</v>
      </c>
      <c r="BL35" s="3">
        <v>58.3</v>
      </c>
      <c r="BM35" s="4">
        <v>106.2</v>
      </c>
      <c r="BN35" s="4">
        <v>95.7</v>
      </c>
      <c r="BO35" s="4">
        <v>82.1</v>
      </c>
      <c r="BP35" s="4">
        <v>83.2</v>
      </c>
      <c r="BQ35" s="3">
        <v>103.2</v>
      </c>
      <c r="BR35" s="4">
        <v>95</v>
      </c>
      <c r="BS35" s="4">
        <v>84.9</v>
      </c>
      <c r="BT35" s="4">
        <v>83.7</v>
      </c>
      <c r="BU35" s="4">
        <v>96.8</v>
      </c>
      <c r="BV35" s="4">
        <v>130</v>
      </c>
      <c r="BW35" s="3" t="e">
        <v>#N/A</v>
      </c>
      <c r="BX35" s="4">
        <v>95.1</v>
      </c>
      <c r="BY35" s="4">
        <v>95.1</v>
      </c>
      <c r="BZ35" s="4">
        <v>80.2</v>
      </c>
      <c r="CA35" s="4">
        <v>83.5</v>
      </c>
      <c r="CB35" s="4">
        <v>70.400000000000006</v>
      </c>
      <c r="CC35" s="4">
        <v>86.8</v>
      </c>
      <c r="CD35" s="4">
        <v>98.1</v>
      </c>
      <c r="CE35" s="4">
        <v>95.5</v>
      </c>
      <c r="CF35" s="4">
        <v>62.1</v>
      </c>
      <c r="CG35" s="4">
        <v>120</v>
      </c>
      <c r="CH35" s="4">
        <v>130.5</v>
      </c>
      <c r="CI35" s="4">
        <v>47.3</v>
      </c>
      <c r="CJ35" s="4">
        <v>46.7</v>
      </c>
      <c r="CK35" s="3">
        <v>86.2</v>
      </c>
      <c r="CL35" s="4">
        <v>51.5</v>
      </c>
      <c r="CM35" s="4">
        <v>66.400000000000006</v>
      </c>
      <c r="CN35" s="4">
        <v>51.1</v>
      </c>
      <c r="CO35" s="4">
        <v>85.9</v>
      </c>
      <c r="CP35" s="4">
        <v>58.3</v>
      </c>
      <c r="CQ35" s="4">
        <v>76.599999999999994</v>
      </c>
      <c r="CR35" s="3">
        <v>70.400000000000006</v>
      </c>
      <c r="CS35" s="4">
        <v>124.3</v>
      </c>
      <c r="CT35" s="4">
        <v>111.7</v>
      </c>
      <c r="CU35" s="4">
        <v>59.3</v>
      </c>
      <c r="CV35" s="4">
        <v>100.5</v>
      </c>
      <c r="CW35" s="4">
        <v>52.6</v>
      </c>
      <c r="CX35" s="4">
        <v>65.3</v>
      </c>
      <c r="CY35" s="4">
        <v>26.4</v>
      </c>
      <c r="CZ35" s="4">
        <v>30.8</v>
      </c>
      <c r="DA35" s="3" t="e">
        <v>#N/A</v>
      </c>
      <c r="DB35" s="4">
        <v>88.2</v>
      </c>
      <c r="DC35" s="4">
        <v>53.6</v>
      </c>
      <c r="DD35" s="4">
        <v>124.3</v>
      </c>
      <c r="DE35" s="4">
        <v>46.2</v>
      </c>
      <c r="DF35" s="4">
        <v>63.1</v>
      </c>
      <c r="DG35" s="4">
        <v>77.3</v>
      </c>
      <c r="DH35" s="4">
        <v>54.4</v>
      </c>
      <c r="DI35" s="4">
        <v>55.5</v>
      </c>
      <c r="DJ35" s="4">
        <v>44.3</v>
      </c>
      <c r="DK35" s="4">
        <v>41.3</v>
      </c>
      <c r="DL35" s="3">
        <v>32.299999999999997</v>
      </c>
      <c r="DM35" s="4">
        <v>59.6</v>
      </c>
      <c r="DN35" s="4">
        <v>60.3</v>
      </c>
      <c r="DO35" s="4">
        <v>6</v>
      </c>
      <c r="DP35" s="4">
        <v>55.3</v>
      </c>
      <c r="DQ35" s="4">
        <v>30.6</v>
      </c>
      <c r="DR35" s="4">
        <v>31.5</v>
      </c>
      <c r="DS35" s="3">
        <v>28.7</v>
      </c>
      <c r="DT35" s="4">
        <v>370.4</v>
      </c>
      <c r="DU35" s="4">
        <v>32.200000000000003</v>
      </c>
      <c r="DV35" s="4">
        <v>45.6</v>
      </c>
      <c r="DW35" s="4">
        <v>7.9</v>
      </c>
      <c r="DX35" s="4">
        <v>28.2</v>
      </c>
      <c r="DY35" s="4">
        <v>6.4</v>
      </c>
      <c r="DZ35" s="4">
        <v>8.3000000000000007</v>
      </c>
      <c r="EA35" s="4">
        <v>74.3</v>
      </c>
      <c r="EB35" s="4">
        <v>75.7</v>
      </c>
      <c r="EC35" s="4">
        <v>8.9</v>
      </c>
      <c r="ED35" s="3">
        <v>13.3</v>
      </c>
      <c r="EE35" s="4">
        <v>54.4</v>
      </c>
      <c r="EF35" s="4">
        <v>96.9</v>
      </c>
      <c r="EG35" s="4">
        <v>1.9</v>
      </c>
      <c r="EH35" s="4">
        <v>12</v>
      </c>
      <c r="EI35" s="4">
        <v>10.5</v>
      </c>
      <c r="EJ35" s="4">
        <v>12.5</v>
      </c>
      <c r="EK35" s="4">
        <v>16.899999999999999</v>
      </c>
      <c r="EL35" s="4">
        <v>87.4</v>
      </c>
      <c r="EM35" s="4">
        <v>8.9</v>
      </c>
      <c r="EN35" s="4">
        <v>8.1999999999999993</v>
      </c>
      <c r="EO35" s="4">
        <v>84.7</v>
      </c>
      <c r="EP35" s="4">
        <v>16.7</v>
      </c>
      <c r="EQ35" s="4">
        <v>57.6</v>
      </c>
      <c r="ER35" s="4">
        <v>45.5</v>
      </c>
      <c r="ES35" s="4">
        <v>45.2</v>
      </c>
      <c r="ET35" s="3">
        <v>14.1</v>
      </c>
      <c r="EU35" s="3">
        <v>32.200000000000003</v>
      </c>
      <c r="EV35" s="3">
        <v>30.3</v>
      </c>
      <c r="EW35" s="3">
        <v>29.4</v>
      </c>
      <c r="EX35" s="3">
        <v>16.100000000000001</v>
      </c>
      <c r="EY35" s="3">
        <v>54.9</v>
      </c>
      <c r="EZ35" s="3">
        <v>28.1</v>
      </c>
      <c r="FA35" s="3">
        <v>11.5</v>
      </c>
      <c r="FB35" s="3">
        <v>12.1</v>
      </c>
      <c r="FC35" s="3">
        <v>4.0999999999999996</v>
      </c>
      <c r="FD35" s="3">
        <v>10.3</v>
      </c>
      <c r="FE35" s="3">
        <v>0</v>
      </c>
      <c r="FF35" s="3">
        <v>10.8</v>
      </c>
      <c r="FG35" s="3">
        <v>18.5</v>
      </c>
      <c r="FH35" s="3">
        <v>18.100000000000001</v>
      </c>
      <c r="FI35" s="3">
        <v>9.6</v>
      </c>
      <c r="FJ35" s="3">
        <v>49.6</v>
      </c>
      <c r="FK35" s="3">
        <v>9.8000000000000007</v>
      </c>
      <c r="FL35" s="3">
        <v>7.2</v>
      </c>
      <c r="FM35" s="3">
        <v>48.3</v>
      </c>
    </row>
    <row r="36" spans="1:169" x14ac:dyDescent="0.35">
      <c r="A36" s="2">
        <v>1905</v>
      </c>
      <c r="B36" s="4">
        <v>77.5</v>
      </c>
      <c r="C36" s="4">
        <v>88.6</v>
      </c>
      <c r="D36" s="4">
        <v>69</v>
      </c>
      <c r="E36" s="4">
        <v>72.599999999999994</v>
      </c>
      <c r="F36" s="4">
        <v>69.400000000000006</v>
      </c>
      <c r="G36" s="4">
        <v>70.5</v>
      </c>
      <c r="H36" s="4">
        <v>82.1</v>
      </c>
      <c r="I36" s="4">
        <v>72.400000000000006</v>
      </c>
      <c r="J36" s="4">
        <v>77.8</v>
      </c>
      <c r="K36" s="4">
        <v>86.9</v>
      </c>
      <c r="L36" s="4">
        <v>73.7</v>
      </c>
      <c r="M36" s="3">
        <v>86</v>
      </c>
      <c r="N36" s="4">
        <v>80.3</v>
      </c>
      <c r="O36" s="4">
        <v>113.2</v>
      </c>
      <c r="P36" s="4">
        <v>98.9</v>
      </c>
      <c r="Q36" s="4">
        <v>78.099999999999994</v>
      </c>
      <c r="R36" s="4">
        <v>141.30000000000001</v>
      </c>
      <c r="S36" s="4">
        <v>88.8</v>
      </c>
      <c r="T36" s="4">
        <v>97.2</v>
      </c>
      <c r="U36" s="3" t="e">
        <v>#N/A</v>
      </c>
      <c r="V36" s="3">
        <v>106.3</v>
      </c>
      <c r="W36" s="4">
        <v>98.7</v>
      </c>
      <c r="X36" s="4">
        <v>98.6</v>
      </c>
      <c r="Y36" s="3">
        <v>134.4</v>
      </c>
      <c r="Z36" s="4">
        <v>101</v>
      </c>
      <c r="AA36" s="3">
        <v>88.3</v>
      </c>
      <c r="AB36" s="4">
        <v>966.5</v>
      </c>
      <c r="AC36" s="4">
        <v>80.5</v>
      </c>
      <c r="AD36" s="4">
        <v>1310.2</v>
      </c>
      <c r="AE36" s="4">
        <v>142.4</v>
      </c>
      <c r="AF36" s="3">
        <v>129.80000000000001</v>
      </c>
      <c r="AG36" s="4">
        <v>309.7</v>
      </c>
      <c r="AH36" s="4">
        <v>110.6</v>
      </c>
      <c r="AI36" s="4">
        <v>113.8</v>
      </c>
      <c r="AJ36" s="4">
        <v>65</v>
      </c>
      <c r="AK36" s="4">
        <v>84.9</v>
      </c>
      <c r="AL36" s="4">
        <v>92.7</v>
      </c>
      <c r="AM36" s="4">
        <v>126</v>
      </c>
      <c r="AN36" s="4">
        <v>59</v>
      </c>
      <c r="AO36" s="4">
        <v>69</v>
      </c>
      <c r="AP36" s="4">
        <v>43.5</v>
      </c>
      <c r="AQ36" s="4">
        <v>92.2</v>
      </c>
      <c r="AR36" s="4">
        <v>68.099999999999994</v>
      </c>
      <c r="AS36" s="4">
        <v>58.8</v>
      </c>
      <c r="AT36" s="4">
        <v>56.5</v>
      </c>
      <c r="AU36" s="3" t="e">
        <v>#N/A</v>
      </c>
      <c r="AV36" s="4">
        <v>27.1</v>
      </c>
      <c r="AW36" s="4">
        <v>50.2</v>
      </c>
      <c r="AX36" s="4">
        <v>51.3</v>
      </c>
      <c r="AY36" s="4">
        <v>6</v>
      </c>
      <c r="AZ36" s="4">
        <v>67.400000000000006</v>
      </c>
      <c r="BA36" s="3">
        <v>68.099999999999994</v>
      </c>
      <c r="BB36" s="4">
        <v>66</v>
      </c>
      <c r="BC36" s="4">
        <v>84</v>
      </c>
      <c r="BD36" s="4">
        <v>68.599999999999994</v>
      </c>
      <c r="BE36" s="4">
        <v>89</v>
      </c>
      <c r="BF36" s="4">
        <v>99.5</v>
      </c>
      <c r="BG36" s="4">
        <v>134.5</v>
      </c>
      <c r="BH36" s="4">
        <v>91.6</v>
      </c>
      <c r="BI36" s="3">
        <v>84.7</v>
      </c>
      <c r="BJ36" s="3">
        <v>113</v>
      </c>
      <c r="BK36" s="3">
        <v>88.4</v>
      </c>
      <c r="BL36" s="4">
        <v>64.599999999999994</v>
      </c>
      <c r="BM36" s="4">
        <v>108.5</v>
      </c>
      <c r="BN36" s="4">
        <v>93.3</v>
      </c>
      <c r="BO36" s="4">
        <v>94.7</v>
      </c>
      <c r="BP36" s="4">
        <v>84.7</v>
      </c>
      <c r="BQ36" s="4">
        <v>110.1</v>
      </c>
      <c r="BR36" s="4">
        <v>97.1</v>
      </c>
      <c r="BS36" s="4">
        <v>93.9</v>
      </c>
      <c r="BT36" s="3">
        <v>84.6</v>
      </c>
      <c r="BU36" s="4">
        <v>99.2</v>
      </c>
      <c r="BV36" s="4">
        <v>135.5</v>
      </c>
      <c r="BW36" s="3" t="e">
        <v>#N/A</v>
      </c>
      <c r="BX36" s="4">
        <v>91.9</v>
      </c>
      <c r="BY36" s="4">
        <v>91.9</v>
      </c>
      <c r="BZ36" s="4">
        <v>89.4</v>
      </c>
      <c r="CA36" s="4">
        <v>90.9</v>
      </c>
      <c r="CB36" s="4">
        <v>76.599999999999994</v>
      </c>
      <c r="CC36" s="3">
        <v>89.5</v>
      </c>
      <c r="CD36" s="4">
        <v>101.1</v>
      </c>
      <c r="CE36" s="4">
        <v>95</v>
      </c>
      <c r="CF36" s="4">
        <v>65.2</v>
      </c>
      <c r="CG36" s="4">
        <v>108.7</v>
      </c>
      <c r="CH36" s="4">
        <v>104.9</v>
      </c>
      <c r="CI36" s="4">
        <v>51.2</v>
      </c>
      <c r="CJ36" s="4">
        <v>64.2</v>
      </c>
      <c r="CK36" s="4">
        <v>77.8</v>
      </c>
      <c r="CL36" s="4">
        <v>56.2</v>
      </c>
      <c r="CM36" s="4">
        <v>81.8</v>
      </c>
      <c r="CN36" s="4">
        <v>53.9</v>
      </c>
      <c r="CO36" s="4">
        <v>99.1</v>
      </c>
      <c r="CP36" s="4">
        <v>62.5</v>
      </c>
      <c r="CQ36" s="3">
        <v>83.9</v>
      </c>
      <c r="CR36" s="4">
        <v>80.599999999999994</v>
      </c>
      <c r="CS36" s="4">
        <v>171.9</v>
      </c>
      <c r="CT36" s="4">
        <v>145.4</v>
      </c>
      <c r="CU36" s="4">
        <v>55.5</v>
      </c>
      <c r="CV36" s="4">
        <v>107.1</v>
      </c>
      <c r="CW36" s="3">
        <v>50.8</v>
      </c>
      <c r="CX36" s="4">
        <v>79.900000000000006</v>
      </c>
      <c r="CY36" s="4">
        <v>28.6</v>
      </c>
      <c r="CZ36" s="4">
        <v>35.5</v>
      </c>
      <c r="DA36" s="3" t="e">
        <v>#N/A</v>
      </c>
      <c r="DB36" s="4">
        <v>89.1</v>
      </c>
      <c r="DC36" s="4">
        <v>84.5</v>
      </c>
      <c r="DD36" s="4">
        <v>118</v>
      </c>
      <c r="DE36" s="4">
        <v>56.8</v>
      </c>
      <c r="DF36" s="4">
        <v>70</v>
      </c>
      <c r="DG36" s="4">
        <v>109.6</v>
      </c>
      <c r="DH36" s="4">
        <v>55.4</v>
      </c>
      <c r="DI36" s="4">
        <v>60.3</v>
      </c>
      <c r="DJ36" s="4">
        <v>43.9</v>
      </c>
      <c r="DK36" s="4">
        <v>94.9</v>
      </c>
      <c r="DL36" s="4">
        <v>34.9</v>
      </c>
      <c r="DM36" s="4">
        <v>66.3</v>
      </c>
      <c r="DN36" s="4">
        <v>74.3</v>
      </c>
      <c r="DO36" s="4">
        <v>5.8</v>
      </c>
      <c r="DP36" s="4">
        <v>57.7</v>
      </c>
      <c r="DQ36" s="4">
        <v>37.700000000000003</v>
      </c>
      <c r="DR36" s="4">
        <v>26.8</v>
      </c>
      <c r="DS36" s="4">
        <v>28.4</v>
      </c>
      <c r="DT36" s="4">
        <v>393.3</v>
      </c>
      <c r="DU36" s="4">
        <v>55.2</v>
      </c>
      <c r="DV36" s="4">
        <v>43.2</v>
      </c>
      <c r="DW36" s="4">
        <v>8.8000000000000007</v>
      </c>
      <c r="DX36" s="4">
        <v>29</v>
      </c>
      <c r="DY36" s="4">
        <v>6.1</v>
      </c>
      <c r="DZ36" s="4">
        <v>7.9</v>
      </c>
      <c r="EA36" s="4">
        <v>73.599999999999994</v>
      </c>
      <c r="EB36" s="4">
        <v>85.1</v>
      </c>
      <c r="EC36" s="4">
        <v>10.3</v>
      </c>
      <c r="ED36" s="4">
        <v>12.4</v>
      </c>
      <c r="EE36" s="4">
        <v>59.4</v>
      </c>
      <c r="EF36" s="4">
        <v>112.3</v>
      </c>
      <c r="EG36" s="4">
        <v>2.7</v>
      </c>
      <c r="EH36" s="4">
        <v>13.9</v>
      </c>
      <c r="EI36" s="4">
        <v>12.1</v>
      </c>
      <c r="EJ36" s="4">
        <v>12.6</v>
      </c>
      <c r="EK36" s="4">
        <v>15</v>
      </c>
      <c r="EL36" s="4">
        <v>75.3</v>
      </c>
      <c r="EM36" s="4">
        <v>9</v>
      </c>
      <c r="EN36" s="4">
        <v>9.8000000000000007</v>
      </c>
      <c r="EO36" s="4">
        <v>103.1</v>
      </c>
      <c r="EP36" s="4">
        <v>18.7</v>
      </c>
      <c r="EQ36" s="4">
        <v>73.400000000000006</v>
      </c>
      <c r="ER36" s="4">
        <v>51.2</v>
      </c>
      <c r="ES36" s="4">
        <v>52.4</v>
      </c>
      <c r="ET36" s="3">
        <v>16.8</v>
      </c>
      <c r="EU36" s="3">
        <v>36.1</v>
      </c>
      <c r="EV36" s="3">
        <v>33.799999999999997</v>
      </c>
      <c r="EW36" s="3">
        <v>46.8</v>
      </c>
      <c r="EX36" s="3">
        <v>21.4</v>
      </c>
      <c r="EY36" s="3">
        <v>54.8</v>
      </c>
      <c r="EZ36" s="3">
        <v>30.6</v>
      </c>
      <c r="FA36" s="3">
        <v>12.3</v>
      </c>
      <c r="FB36" s="3">
        <v>15</v>
      </c>
      <c r="FC36" s="3">
        <v>4.5</v>
      </c>
      <c r="FD36" s="3">
        <v>12.4</v>
      </c>
      <c r="FE36" s="3">
        <v>0.1</v>
      </c>
      <c r="FF36" s="3">
        <v>10.6</v>
      </c>
      <c r="FG36" s="3">
        <v>28.2</v>
      </c>
      <c r="FH36" s="3">
        <v>19.2</v>
      </c>
      <c r="FI36" s="3">
        <v>12.9</v>
      </c>
      <c r="FJ36" s="3">
        <v>59.8</v>
      </c>
      <c r="FK36" s="3">
        <v>14.3</v>
      </c>
      <c r="FL36" s="3">
        <v>7.6</v>
      </c>
      <c r="FM36" s="3">
        <v>52.1</v>
      </c>
    </row>
    <row r="37" spans="1:169" x14ac:dyDescent="0.35">
      <c r="A37" s="2">
        <v>1906</v>
      </c>
      <c r="B37" s="4">
        <v>78.900000000000006</v>
      </c>
      <c r="C37" s="4">
        <v>84.4</v>
      </c>
      <c r="D37" s="4">
        <v>69.3</v>
      </c>
      <c r="E37" s="4">
        <v>77.5</v>
      </c>
      <c r="F37" s="4">
        <v>75.400000000000006</v>
      </c>
      <c r="G37" s="3">
        <v>73.3</v>
      </c>
      <c r="H37" s="4">
        <v>86.9</v>
      </c>
      <c r="I37" s="4">
        <v>81.400000000000006</v>
      </c>
      <c r="J37" s="4">
        <v>82.1</v>
      </c>
      <c r="K37" s="4">
        <v>86.5</v>
      </c>
      <c r="L37" s="4">
        <v>83.6</v>
      </c>
      <c r="M37" s="4">
        <v>90.5</v>
      </c>
      <c r="N37" s="4">
        <v>97.4</v>
      </c>
      <c r="O37" s="4">
        <v>104.1</v>
      </c>
      <c r="P37" s="4">
        <v>98.6</v>
      </c>
      <c r="Q37" s="4">
        <v>83.8</v>
      </c>
      <c r="R37" s="4">
        <v>140.80000000000001</v>
      </c>
      <c r="S37" s="4">
        <v>89.6</v>
      </c>
      <c r="T37" s="4">
        <v>119.1</v>
      </c>
      <c r="U37" s="3" t="e">
        <v>#N/A</v>
      </c>
      <c r="V37" s="4">
        <v>109.7</v>
      </c>
      <c r="W37" s="4">
        <v>107.4</v>
      </c>
      <c r="X37" s="4">
        <v>99.1</v>
      </c>
      <c r="Y37" s="4">
        <v>131.4</v>
      </c>
      <c r="Z37" s="4">
        <v>100.6</v>
      </c>
      <c r="AA37" s="4">
        <v>92.1</v>
      </c>
      <c r="AB37" s="4">
        <v>886.8</v>
      </c>
      <c r="AC37" s="4">
        <v>106.7</v>
      </c>
      <c r="AD37" s="4">
        <v>1220.0999999999999</v>
      </c>
      <c r="AE37" s="4">
        <v>151.80000000000001</v>
      </c>
      <c r="AF37" s="4">
        <v>129.6</v>
      </c>
      <c r="AG37" s="4">
        <v>468.3</v>
      </c>
      <c r="AH37" s="4">
        <v>117.3</v>
      </c>
      <c r="AI37" s="4">
        <v>104.2</v>
      </c>
      <c r="AJ37" s="4">
        <v>73.900000000000006</v>
      </c>
      <c r="AK37" s="4">
        <v>99.2</v>
      </c>
      <c r="AL37" s="4">
        <v>85.9</v>
      </c>
      <c r="AM37" s="4">
        <v>88.6</v>
      </c>
      <c r="AN37" s="4">
        <v>67.099999999999994</v>
      </c>
      <c r="AO37" s="4">
        <v>88.2</v>
      </c>
      <c r="AP37" s="4">
        <v>46.2</v>
      </c>
      <c r="AQ37" s="4">
        <v>109.2</v>
      </c>
      <c r="AR37" s="4">
        <v>73.5</v>
      </c>
      <c r="AS37" s="4">
        <v>61.8</v>
      </c>
      <c r="AT37" s="4">
        <v>48.4</v>
      </c>
      <c r="AU37" s="3" t="e">
        <v>#N/A</v>
      </c>
      <c r="AV37" s="3">
        <v>84.9</v>
      </c>
      <c r="AW37" s="4">
        <v>54.9</v>
      </c>
      <c r="AX37" s="4">
        <v>61.7</v>
      </c>
      <c r="AY37" s="4">
        <v>10.1</v>
      </c>
      <c r="AZ37" s="4">
        <v>75.3</v>
      </c>
      <c r="BA37" s="4">
        <v>70.400000000000006</v>
      </c>
      <c r="BB37" s="4">
        <v>79.400000000000006</v>
      </c>
      <c r="BC37" s="3">
        <v>85.2</v>
      </c>
      <c r="BD37" s="4">
        <v>68.7</v>
      </c>
      <c r="BE37" s="4">
        <v>92.7</v>
      </c>
      <c r="BF37" s="4">
        <v>95.5</v>
      </c>
      <c r="BG37" s="4">
        <v>99.7</v>
      </c>
      <c r="BH37" s="4">
        <v>107.4</v>
      </c>
      <c r="BI37" s="4">
        <v>92.6</v>
      </c>
      <c r="BJ37" s="4">
        <v>119.3</v>
      </c>
      <c r="BK37" s="3">
        <v>88.1</v>
      </c>
      <c r="BL37" s="4">
        <v>81.5</v>
      </c>
      <c r="BM37" s="4">
        <v>107.2</v>
      </c>
      <c r="BN37" s="4">
        <v>97.7</v>
      </c>
      <c r="BO37" s="4">
        <v>101.7</v>
      </c>
      <c r="BP37" s="4">
        <v>88.9</v>
      </c>
      <c r="BQ37" s="4">
        <v>119.8</v>
      </c>
      <c r="BR37" s="4">
        <v>95.9</v>
      </c>
      <c r="BS37" s="4">
        <v>94.4</v>
      </c>
      <c r="BT37" s="4">
        <v>91.2</v>
      </c>
      <c r="BU37" s="4">
        <v>100.3</v>
      </c>
      <c r="BV37" s="4">
        <v>129.9</v>
      </c>
      <c r="BW37" s="3" t="e">
        <v>#N/A</v>
      </c>
      <c r="BX37" s="4">
        <v>106.3</v>
      </c>
      <c r="BY37" s="4">
        <v>106.3</v>
      </c>
      <c r="BZ37" s="4">
        <v>88.2</v>
      </c>
      <c r="CA37" s="4">
        <v>104.4</v>
      </c>
      <c r="CB37" s="4">
        <v>96.3</v>
      </c>
      <c r="CC37" s="4">
        <v>111.2</v>
      </c>
      <c r="CD37" s="4">
        <v>99.2</v>
      </c>
      <c r="CE37" s="4">
        <v>99.6</v>
      </c>
      <c r="CF37" s="4">
        <v>65.599999999999994</v>
      </c>
      <c r="CG37" s="4">
        <v>100.5</v>
      </c>
      <c r="CH37" s="4">
        <v>100.5</v>
      </c>
      <c r="CI37" s="4">
        <v>55.8</v>
      </c>
      <c r="CJ37" s="4">
        <v>79.400000000000006</v>
      </c>
      <c r="CK37" s="4">
        <v>80.900000000000006</v>
      </c>
      <c r="CL37" s="4">
        <v>68.3</v>
      </c>
      <c r="CM37" s="4">
        <v>85.5</v>
      </c>
      <c r="CN37" s="4">
        <v>55.9</v>
      </c>
      <c r="CO37" s="4">
        <v>124.9</v>
      </c>
      <c r="CP37" s="4">
        <v>74.5</v>
      </c>
      <c r="CQ37" s="4">
        <v>74</v>
      </c>
      <c r="CR37" s="4">
        <v>91.8</v>
      </c>
      <c r="CS37" s="4">
        <v>131.1</v>
      </c>
      <c r="CT37" s="4">
        <v>146.9</v>
      </c>
      <c r="CU37" s="4">
        <v>60.2</v>
      </c>
      <c r="CV37" s="4">
        <v>110.9</v>
      </c>
      <c r="CW37" s="4">
        <v>63.5</v>
      </c>
      <c r="CX37" s="4">
        <v>97.5</v>
      </c>
      <c r="CY37" s="4">
        <v>31.4</v>
      </c>
      <c r="CZ37" s="4">
        <v>46.5</v>
      </c>
      <c r="DA37" s="3" t="e">
        <v>#N/A</v>
      </c>
      <c r="DB37" s="4">
        <v>87.7</v>
      </c>
      <c r="DC37" s="4">
        <v>88.2</v>
      </c>
      <c r="DD37" s="4">
        <v>135.5</v>
      </c>
      <c r="DE37" s="4">
        <v>52.9</v>
      </c>
      <c r="DF37" s="4">
        <v>79.400000000000006</v>
      </c>
      <c r="DG37" s="4">
        <v>134.4</v>
      </c>
      <c r="DH37" s="4">
        <v>64.2</v>
      </c>
      <c r="DI37" s="4">
        <v>66.7</v>
      </c>
      <c r="DJ37" s="4">
        <v>41</v>
      </c>
      <c r="DK37" s="4">
        <v>119.8</v>
      </c>
      <c r="DL37" s="4">
        <v>32.700000000000003</v>
      </c>
      <c r="DM37" s="4">
        <v>75.400000000000006</v>
      </c>
      <c r="DN37" s="4">
        <v>80.599999999999994</v>
      </c>
      <c r="DO37" s="3">
        <v>9.1</v>
      </c>
      <c r="DP37" s="4">
        <v>64.8</v>
      </c>
      <c r="DQ37" s="4">
        <v>38.799999999999997</v>
      </c>
      <c r="DR37" s="4">
        <v>32.1</v>
      </c>
      <c r="DS37" s="4">
        <v>33</v>
      </c>
      <c r="DT37" s="4">
        <v>413.1</v>
      </c>
      <c r="DU37" s="4">
        <v>40</v>
      </c>
      <c r="DV37" s="4">
        <v>59.6</v>
      </c>
      <c r="DW37" s="4">
        <v>10.3</v>
      </c>
      <c r="DX37" s="4">
        <v>30.7</v>
      </c>
      <c r="DY37" s="4">
        <v>7.7</v>
      </c>
      <c r="DZ37" s="4">
        <v>8.5</v>
      </c>
      <c r="EA37" s="4">
        <v>78</v>
      </c>
      <c r="EB37" s="4">
        <v>89.4</v>
      </c>
      <c r="EC37" s="4">
        <v>12.1</v>
      </c>
      <c r="ED37" s="4">
        <v>16.5</v>
      </c>
      <c r="EE37" s="4">
        <v>70.599999999999994</v>
      </c>
      <c r="EF37" s="4">
        <v>135.80000000000001</v>
      </c>
      <c r="EG37" s="4">
        <v>4.4000000000000004</v>
      </c>
      <c r="EH37" s="4">
        <v>15.5</v>
      </c>
      <c r="EI37" s="3">
        <v>13.1</v>
      </c>
      <c r="EJ37" s="4">
        <v>15.3</v>
      </c>
      <c r="EK37" s="4">
        <v>14</v>
      </c>
      <c r="EL37" s="4">
        <v>72.3</v>
      </c>
      <c r="EM37" s="4">
        <v>10.199999999999999</v>
      </c>
      <c r="EN37" s="4">
        <v>11.7</v>
      </c>
      <c r="EO37" s="4">
        <v>79.5</v>
      </c>
      <c r="EP37" s="4">
        <v>26.6</v>
      </c>
      <c r="EQ37" s="3">
        <v>83.9</v>
      </c>
      <c r="ER37" s="4">
        <v>56</v>
      </c>
      <c r="ES37" s="4">
        <v>65.8</v>
      </c>
      <c r="ET37" s="3">
        <v>25.3</v>
      </c>
      <c r="EU37" s="3">
        <v>31.5</v>
      </c>
      <c r="EV37" s="3">
        <v>40.299999999999997</v>
      </c>
      <c r="EW37" s="3">
        <v>38.4</v>
      </c>
      <c r="EX37" s="3">
        <v>22.7</v>
      </c>
      <c r="EY37" s="3">
        <v>64.7</v>
      </c>
      <c r="EZ37" s="3">
        <v>31.3</v>
      </c>
      <c r="FA37" s="3">
        <v>15.5</v>
      </c>
      <c r="FB37" s="3">
        <v>19.7</v>
      </c>
      <c r="FC37" s="3">
        <v>5</v>
      </c>
      <c r="FD37" s="3">
        <v>15.5</v>
      </c>
      <c r="FE37" s="3">
        <v>0.1</v>
      </c>
      <c r="FF37" s="3">
        <v>12</v>
      </c>
      <c r="FG37" s="3">
        <v>34</v>
      </c>
      <c r="FH37" s="3">
        <v>21.8</v>
      </c>
      <c r="FI37" s="3">
        <v>13.8</v>
      </c>
      <c r="FJ37" s="3">
        <v>85.1</v>
      </c>
      <c r="FK37" s="3">
        <v>21.9</v>
      </c>
      <c r="FL37" s="3">
        <v>8.6</v>
      </c>
      <c r="FM37" s="3">
        <v>60.5</v>
      </c>
    </row>
    <row r="38" spans="1:169" x14ac:dyDescent="0.35">
      <c r="A38" s="2">
        <v>1907</v>
      </c>
      <c r="B38" s="4">
        <v>81.2</v>
      </c>
      <c r="C38" s="4">
        <v>98.9</v>
      </c>
      <c r="D38" s="4">
        <v>74.5</v>
      </c>
      <c r="E38" s="4">
        <v>82.7</v>
      </c>
      <c r="F38" s="4">
        <v>83.1</v>
      </c>
      <c r="G38" s="4">
        <v>81.900000000000006</v>
      </c>
      <c r="H38" s="4">
        <v>90.9</v>
      </c>
      <c r="I38" s="4">
        <v>88</v>
      </c>
      <c r="J38" s="4">
        <v>87.5</v>
      </c>
      <c r="K38" s="4">
        <v>93.7</v>
      </c>
      <c r="L38" s="3">
        <v>87.3</v>
      </c>
      <c r="M38" s="4">
        <v>99.9</v>
      </c>
      <c r="N38" s="4">
        <v>102.4</v>
      </c>
      <c r="O38" s="4">
        <v>109</v>
      </c>
      <c r="P38" s="3">
        <v>98.9</v>
      </c>
      <c r="Q38" s="4">
        <v>83.4</v>
      </c>
      <c r="R38" s="4">
        <v>142</v>
      </c>
      <c r="S38" s="4">
        <v>94.6</v>
      </c>
      <c r="T38" s="3">
        <v>119.3</v>
      </c>
      <c r="U38" s="3" t="e">
        <v>#N/A</v>
      </c>
      <c r="V38" s="4">
        <v>121.9</v>
      </c>
      <c r="W38" s="4">
        <v>116</v>
      </c>
      <c r="X38" s="4">
        <v>101.2</v>
      </c>
      <c r="Y38" s="4">
        <v>129</v>
      </c>
      <c r="Z38" s="4">
        <v>101.6</v>
      </c>
      <c r="AA38" s="4">
        <v>93</v>
      </c>
      <c r="AB38" s="4">
        <v>773.8</v>
      </c>
      <c r="AC38" s="4">
        <v>105.6</v>
      </c>
      <c r="AD38" s="4">
        <v>1105.3</v>
      </c>
      <c r="AE38" s="4">
        <v>128.9</v>
      </c>
      <c r="AF38" s="4">
        <v>118.2</v>
      </c>
      <c r="AG38" s="4">
        <v>216.2</v>
      </c>
      <c r="AH38" s="4">
        <v>123.1</v>
      </c>
      <c r="AI38" s="4">
        <v>104.2</v>
      </c>
      <c r="AJ38" s="4">
        <v>70.900000000000006</v>
      </c>
      <c r="AK38" s="4">
        <v>78.400000000000006</v>
      </c>
      <c r="AL38" s="4">
        <v>93.5</v>
      </c>
      <c r="AM38" s="4">
        <v>46.7</v>
      </c>
      <c r="AN38" s="4">
        <v>72.5</v>
      </c>
      <c r="AO38" s="4">
        <v>70.8</v>
      </c>
      <c r="AP38" s="4">
        <v>60.3</v>
      </c>
      <c r="AQ38" s="4">
        <v>89.9</v>
      </c>
      <c r="AR38" s="4">
        <v>87.9</v>
      </c>
      <c r="AS38" s="3">
        <v>63.8</v>
      </c>
      <c r="AT38" s="3">
        <v>53.2</v>
      </c>
      <c r="AU38" s="3" t="e">
        <v>#N/A</v>
      </c>
      <c r="AV38" s="4">
        <v>32.5</v>
      </c>
      <c r="AW38" s="4">
        <v>59.1</v>
      </c>
      <c r="AX38" s="4">
        <v>67.400000000000006</v>
      </c>
      <c r="AY38" s="4">
        <v>13.4</v>
      </c>
      <c r="AZ38" s="4">
        <v>80.099999999999994</v>
      </c>
      <c r="BA38" s="3">
        <v>78.900000000000006</v>
      </c>
      <c r="BB38" s="4">
        <v>87.8</v>
      </c>
      <c r="BC38" s="4">
        <v>91.2</v>
      </c>
      <c r="BD38" s="4">
        <v>62.2</v>
      </c>
      <c r="BE38" s="3">
        <v>138.69999999999999</v>
      </c>
      <c r="BF38" s="4">
        <v>91.6</v>
      </c>
      <c r="BG38" s="4">
        <v>105.5</v>
      </c>
      <c r="BH38" s="4">
        <v>116.2</v>
      </c>
      <c r="BI38" s="4">
        <v>96.4</v>
      </c>
      <c r="BJ38" s="4">
        <v>113.2</v>
      </c>
      <c r="BK38" s="4">
        <v>90.5</v>
      </c>
      <c r="BL38" s="4">
        <v>92.4</v>
      </c>
      <c r="BM38" s="4">
        <v>106.7</v>
      </c>
      <c r="BN38" s="4">
        <v>104.4</v>
      </c>
      <c r="BO38" s="4">
        <v>106.6</v>
      </c>
      <c r="BP38" s="4">
        <v>91.3</v>
      </c>
      <c r="BQ38" s="4">
        <v>142.6</v>
      </c>
      <c r="BR38" s="4">
        <v>100.7</v>
      </c>
      <c r="BS38" s="3">
        <v>84.3</v>
      </c>
      <c r="BT38" s="4">
        <v>103.5</v>
      </c>
      <c r="BU38" s="4">
        <v>101.7</v>
      </c>
      <c r="BV38" s="4">
        <v>127.4</v>
      </c>
      <c r="BW38" s="3" t="e">
        <v>#N/A</v>
      </c>
      <c r="BX38" s="4">
        <v>93</v>
      </c>
      <c r="BY38" s="4">
        <v>93</v>
      </c>
      <c r="BZ38" s="4">
        <v>87.5</v>
      </c>
      <c r="CA38" s="4">
        <v>113.3</v>
      </c>
      <c r="CB38" s="4">
        <v>109</v>
      </c>
      <c r="CC38" s="4">
        <v>114.3</v>
      </c>
      <c r="CD38" s="4">
        <v>99.3</v>
      </c>
      <c r="CE38" s="4">
        <v>104</v>
      </c>
      <c r="CF38" s="4">
        <v>88.1</v>
      </c>
      <c r="CG38" s="4">
        <v>111.3</v>
      </c>
      <c r="CH38" s="4">
        <v>110.3</v>
      </c>
      <c r="CI38" s="4">
        <v>55.5</v>
      </c>
      <c r="CJ38" s="4">
        <v>84.2</v>
      </c>
      <c r="CK38" s="4">
        <v>80.599999999999994</v>
      </c>
      <c r="CL38" s="4">
        <v>57.5</v>
      </c>
      <c r="CM38" s="4">
        <v>76.099999999999994</v>
      </c>
      <c r="CN38" s="4">
        <v>56.9</v>
      </c>
      <c r="CO38" s="4">
        <v>138.6</v>
      </c>
      <c r="CP38" s="4">
        <v>75.099999999999994</v>
      </c>
      <c r="CQ38" s="4">
        <v>77.900000000000006</v>
      </c>
      <c r="CR38" s="4">
        <v>95</v>
      </c>
      <c r="CS38" s="4">
        <v>129.4</v>
      </c>
      <c r="CT38" s="4">
        <v>147.80000000000001</v>
      </c>
      <c r="CU38" s="4">
        <v>56.1</v>
      </c>
      <c r="CV38" s="4">
        <v>122.9</v>
      </c>
      <c r="CW38" s="4">
        <v>84.2</v>
      </c>
      <c r="CX38" s="4">
        <v>91.3</v>
      </c>
      <c r="CY38" s="4">
        <v>49.5</v>
      </c>
      <c r="CZ38" s="4">
        <v>62.8</v>
      </c>
      <c r="DA38" s="3" t="e">
        <v>#N/A</v>
      </c>
      <c r="DB38" s="4">
        <v>75.5</v>
      </c>
      <c r="DC38" s="4">
        <v>75.599999999999994</v>
      </c>
      <c r="DD38" s="4">
        <v>142.30000000000001</v>
      </c>
      <c r="DE38" s="4">
        <v>58.5</v>
      </c>
      <c r="DF38" s="4">
        <v>71</v>
      </c>
      <c r="DG38" s="4">
        <v>145.5</v>
      </c>
      <c r="DH38" s="4">
        <v>74</v>
      </c>
      <c r="DI38" s="4">
        <v>69.5</v>
      </c>
      <c r="DJ38" s="4">
        <v>36.9</v>
      </c>
      <c r="DK38" s="4">
        <v>138.80000000000001</v>
      </c>
      <c r="DL38" s="4">
        <v>31.8</v>
      </c>
      <c r="DM38" s="4">
        <v>68.3</v>
      </c>
      <c r="DN38" s="4">
        <v>81.099999999999994</v>
      </c>
      <c r="DO38" s="4">
        <v>4.7</v>
      </c>
      <c r="DP38" s="4">
        <v>71.2</v>
      </c>
      <c r="DQ38" s="4">
        <v>41.9</v>
      </c>
      <c r="DR38" s="4">
        <v>32.799999999999997</v>
      </c>
      <c r="DS38" s="4">
        <v>28.2</v>
      </c>
      <c r="DT38" s="4">
        <v>469.8</v>
      </c>
      <c r="DU38" s="4">
        <v>23.7</v>
      </c>
      <c r="DV38" s="4">
        <v>67.7</v>
      </c>
      <c r="DW38" s="4">
        <v>8.6999999999999993</v>
      </c>
      <c r="DX38" s="4">
        <v>40.200000000000003</v>
      </c>
      <c r="DY38" s="4">
        <v>6.3</v>
      </c>
      <c r="DZ38" s="4">
        <v>10.199999999999999</v>
      </c>
      <c r="EA38" s="4">
        <v>85</v>
      </c>
      <c r="EB38" s="4">
        <v>98.3</v>
      </c>
      <c r="EC38" s="4">
        <v>13.7</v>
      </c>
      <c r="ED38" s="4">
        <v>17.100000000000001</v>
      </c>
      <c r="EE38" s="4">
        <v>82.2</v>
      </c>
      <c r="EF38" s="4">
        <v>151.4</v>
      </c>
      <c r="EG38" s="4">
        <v>5.8</v>
      </c>
      <c r="EH38" s="4">
        <v>16.600000000000001</v>
      </c>
      <c r="EI38" s="4">
        <v>14.8</v>
      </c>
      <c r="EJ38" s="4">
        <v>22.7</v>
      </c>
      <c r="EK38" s="4">
        <v>16.7</v>
      </c>
      <c r="EL38" s="4">
        <v>71.8</v>
      </c>
      <c r="EM38" s="4">
        <v>15.2</v>
      </c>
      <c r="EN38" s="4">
        <v>11.9</v>
      </c>
      <c r="EO38" s="4">
        <v>83.8</v>
      </c>
      <c r="EP38" s="4">
        <v>24.3</v>
      </c>
      <c r="EQ38" s="4">
        <v>77.7</v>
      </c>
      <c r="ER38" s="4">
        <v>54.2</v>
      </c>
      <c r="ES38" s="4">
        <v>75</v>
      </c>
      <c r="ET38" s="3">
        <v>28.8</v>
      </c>
      <c r="EU38" s="3">
        <v>33</v>
      </c>
      <c r="EV38" s="3">
        <v>44.6</v>
      </c>
      <c r="EW38" s="3">
        <v>39.700000000000003</v>
      </c>
      <c r="EX38" s="3">
        <v>23.4</v>
      </c>
      <c r="EY38" s="3">
        <v>71.8</v>
      </c>
      <c r="EZ38" s="3">
        <v>36.5</v>
      </c>
      <c r="FA38" s="3">
        <v>18.3</v>
      </c>
      <c r="FB38" s="3">
        <v>20.9</v>
      </c>
      <c r="FC38" s="3">
        <v>8</v>
      </c>
      <c r="FD38" s="3">
        <v>20.6</v>
      </c>
      <c r="FE38" s="3">
        <v>0.4</v>
      </c>
      <c r="FF38" s="3">
        <v>9.1</v>
      </c>
      <c r="FG38" s="3">
        <v>25.5</v>
      </c>
      <c r="FH38" s="3">
        <v>22.7</v>
      </c>
      <c r="FI38" s="3">
        <v>16.600000000000001</v>
      </c>
      <c r="FJ38" s="3">
        <v>86.4</v>
      </c>
      <c r="FK38" s="3">
        <v>24.2</v>
      </c>
      <c r="FL38" s="3">
        <v>10</v>
      </c>
      <c r="FM38" s="3">
        <v>64.099999999999994</v>
      </c>
    </row>
    <row r="39" spans="1:169" x14ac:dyDescent="0.35">
      <c r="A39" s="2">
        <v>1908</v>
      </c>
      <c r="B39" s="4">
        <v>80.900000000000006</v>
      </c>
      <c r="C39" s="4">
        <v>107.2</v>
      </c>
      <c r="D39" s="4">
        <v>81.2</v>
      </c>
      <c r="E39" s="4">
        <v>79.099999999999994</v>
      </c>
      <c r="F39" s="4">
        <v>83.2</v>
      </c>
      <c r="G39" s="4">
        <v>81.099999999999994</v>
      </c>
      <c r="H39" s="4">
        <v>100.9</v>
      </c>
      <c r="I39" s="4">
        <v>86.7</v>
      </c>
      <c r="J39" s="4">
        <v>90.4</v>
      </c>
      <c r="K39" s="4">
        <v>87.6</v>
      </c>
      <c r="L39" s="4">
        <v>78.099999999999994</v>
      </c>
      <c r="M39" s="4">
        <v>89.6</v>
      </c>
      <c r="N39" s="4">
        <v>96.3</v>
      </c>
      <c r="O39" s="4">
        <v>108.9</v>
      </c>
      <c r="P39" s="4">
        <v>98.5</v>
      </c>
      <c r="Q39" s="4">
        <v>82</v>
      </c>
      <c r="R39" s="4">
        <v>141.1</v>
      </c>
      <c r="S39" s="4">
        <v>96.4</v>
      </c>
      <c r="T39" s="4">
        <v>86</v>
      </c>
      <c r="U39" s="3" t="e">
        <v>#N/A</v>
      </c>
      <c r="V39" s="4">
        <v>118.3</v>
      </c>
      <c r="W39" s="4">
        <v>111.9</v>
      </c>
      <c r="X39" s="4">
        <v>102.6</v>
      </c>
      <c r="Y39" s="4">
        <v>134.6</v>
      </c>
      <c r="Z39" s="3">
        <v>87.4</v>
      </c>
      <c r="AA39" s="4">
        <v>93.5</v>
      </c>
      <c r="AB39" s="4">
        <v>559.1</v>
      </c>
      <c r="AC39" s="4">
        <v>87.9</v>
      </c>
      <c r="AD39" s="4">
        <v>674.9</v>
      </c>
      <c r="AE39" s="4">
        <v>133.69999999999999</v>
      </c>
      <c r="AF39" s="4">
        <v>115.4</v>
      </c>
      <c r="AG39" s="4">
        <v>240.6</v>
      </c>
      <c r="AH39" s="4">
        <v>103.4</v>
      </c>
      <c r="AI39" s="4">
        <v>114.4</v>
      </c>
      <c r="AJ39" s="4">
        <v>68.2</v>
      </c>
      <c r="AK39" s="4">
        <v>84.2</v>
      </c>
      <c r="AL39" s="4">
        <v>97.6</v>
      </c>
      <c r="AM39" s="4">
        <v>53.2</v>
      </c>
      <c r="AN39" s="4">
        <v>62.2</v>
      </c>
      <c r="AO39" s="4">
        <v>59.3</v>
      </c>
      <c r="AP39" s="4">
        <v>55.5</v>
      </c>
      <c r="AQ39" s="4">
        <v>94.1</v>
      </c>
      <c r="AR39" s="4">
        <v>60</v>
      </c>
      <c r="AS39" s="4">
        <v>75.3</v>
      </c>
      <c r="AT39" s="4">
        <v>68.5</v>
      </c>
      <c r="AU39" s="3" t="e">
        <v>#N/A</v>
      </c>
      <c r="AV39" s="4">
        <v>27.3</v>
      </c>
      <c r="AW39" s="4">
        <v>46</v>
      </c>
      <c r="AX39" s="4">
        <v>53.6</v>
      </c>
      <c r="AY39" s="4">
        <v>11</v>
      </c>
      <c r="AZ39" s="4">
        <v>77.099999999999994</v>
      </c>
      <c r="BA39" s="4">
        <v>74.099999999999994</v>
      </c>
      <c r="BB39" s="4">
        <v>74.900000000000006</v>
      </c>
      <c r="BC39" s="4">
        <v>88.9</v>
      </c>
      <c r="BD39" s="4">
        <v>62.3</v>
      </c>
      <c r="BE39" s="4">
        <v>105.6</v>
      </c>
      <c r="BF39" s="4">
        <v>89.3</v>
      </c>
      <c r="BG39" s="4">
        <v>116.9</v>
      </c>
      <c r="BH39" s="4">
        <v>113.4</v>
      </c>
      <c r="BI39" s="4">
        <v>79.400000000000006</v>
      </c>
      <c r="BJ39" s="4">
        <v>92.4</v>
      </c>
      <c r="BK39" s="4">
        <v>87</v>
      </c>
      <c r="BL39" s="4">
        <v>70.2</v>
      </c>
      <c r="BM39" s="4">
        <v>83.5</v>
      </c>
      <c r="BN39" s="4">
        <v>100.9</v>
      </c>
      <c r="BO39" s="4">
        <v>79.599999999999994</v>
      </c>
      <c r="BP39" s="4">
        <v>89.2</v>
      </c>
      <c r="BQ39" s="4">
        <v>106.9</v>
      </c>
      <c r="BR39" s="4">
        <v>97</v>
      </c>
      <c r="BS39" s="3">
        <v>85</v>
      </c>
      <c r="BT39" s="4">
        <v>104.2</v>
      </c>
      <c r="BU39" s="4">
        <v>102.8</v>
      </c>
      <c r="BV39" s="4">
        <v>118.4</v>
      </c>
      <c r="BW39" s="3" t="e">
        <v>#N/A</v>
      </c>
      <c r="BX39" s="4">
        <v>44.8</v>
      </c>
      <c r="BY39" s="4">
        <v>44.8</v>
      </c>
      <c r="BZ39" s="4">
        <v>87.1</v>
      </c>
      <c r="CA39" s="4">
        <v>97.1</v>
      </c>
      <c r="CB39" s="4">
        <v>77.3</v>
      </c>
      <c r="CC39" s="4">
        <v>92.9</v>
      </c>
      <c r="CD39" s="4">
        <v>102.6</v>
      </c>
      <c r="CE39" s="4">
        <v>98.2</v>
      </c>
      <c r="CF39" s="4">
        <v>71.8</v>
      </c>
      <c r="CG39" s="4">
        <v>102.1</v>
      </c>
      <c r="CH39" s="4">
        <v>110.1</v>
      </c>
      <c r="CI39" s="4">
        <v>62.5</v>
      </c>
      <c r="CJ39" s="4">
        <v>77.599999999999994</v>
      </c>
      <c r="CK39" s="4">
        <v>77.599999999999994</v>
      </c>
      <c r="CL39" s="4">
        <v>59.5</v>
      </c>
      <c r="CM39" s="4">
        <v>68.599999999999994</v>
      </c>
      <c r="CN39" s="4">
        <v>59.4</v>
      </c>
      <c r="CO39" s="4">
        <v>103.3</v>
      </c>
      <c r="CP39" s="4">
        <v>65.099999999999994</v>
      </c>
      <c r="CQ39" s="4">
        <v>73</v>
      </c>
      <c r="CR39" s="4">
        <v>74.7</v>
      </c>
      <c r="CS39" s="4">
        <v>101.8</v>
      </c>
      <c r="CT39" s="4">
        <v>100.4</v>
      </c>
      <c r="CU39" s="4">
        <v>66.900000000000006</v>
      </c>
      <c r="CV39" s="4">
        <v>84.8</v>
      </c>
      <c r="CW39" s="4">
        <v>63</v>
      </c>
      <c r="CX39" s="4">
        <v>74.599999999999994</v>
      </c>
      <c r="CY39" s="4">
        <v>42.6</v>
      </c>
      <c r="CZ39" s="4">
        <v>54.3</v>
      </c>
      <c r="DA39" s="3" t="e">
        <v>#N/A</v>
      </c>
      <c r="DB39" s="4">
        <v>44</v>
      </c>
      <c r="DC39" s="4">
        <v>81.3</v>
      </c>
      <c r="DD39" s="4">
        <v>100.3</v>
      </c>
      <c r="DE39" s="4">
        <v>63.4</v>
      </c>
      <c r="DF39" s="4">
        <v>63.9</v>
      </c>
      <c r="DG39" s="4">
        <v>72.400000000000006</v>
      </c>
      <c r="DH39" s="4">
        <v>49.7</v>
      </c>
      <c r="DI39" s="4">
        <v>57.9</v>
      </c>
      <c r="DJ39" s="4">
        <v>26.5</v>
      </c>
      <c r="DK39" s="4">
        <v>125.3</v>
      </c>
      <c r="DL39" s="4">
        <v>21.2</v>
      </c>
      <c r="DM39" s="4">
        <v>67.8</v>
      </c>
      <c r="DN39" s="4">
        <v>79.099999999999994</v>
      </c>
      <c r="DO39" s="4">
        <v>5.2</v>
      </c>
      <c r="DP39" s="4">
        <v>66.3</v>
      </c>
      <c r="DQ39" s="4">
        <v>45.3</v>
      </c>
      <c r="DR39" s="4">
        <v>32.6</v>
      </c>
      <c r="DS39" s="4">
        <v>28.4</v>
      </c>
      <c r="DT39" s="4">
        <v>438.8</v>
      </c>
      <c r="DU39" s="4">
        <v>24.3</v>
      </c>
      <c r="DV39" s="4">
        <v>54.6</v>
      </c>
      <c r="DW39" s="4">
        <v>7.3</v>
      </c>
      <c r="DX39" s="4">
        <v>36.9</v>
      </c>
      <c r="DY39" s="4">
        <v>6.5</v>
      </c>
      <c r="DZ39" s="4">
        <v>6.9</v>
      </c>
      <c r="EA39" s="4">
        <v>102.3</v>
      </c>
      <c r="EB39" s="4">
        <v>91.4</v>
      </c>
      <c r="EC39" s="4">
        <v>9.4</v>
      </c>
      <c r="ED39" s="4">
        <v>13.9</v>
      </c>
      <c r="EE39" s="4">
        <v>61.7</v>
      </c>
      <c r="EF39" s="4">
        <v>121.9</v>
      </c>
      <c r="EG39" s="4">
        <v>4.9000000000000004</v>
      </c>
      <c r="EH39" s="3">
        <v>13.8</v>
      </c>
      <c r="EI39" s="4">
        <v>15</v>
      </c>
      <c r="EJ39" s="4">
        <v>15.8</v>
      </c>
      <c r="EK39" s="4">
        <v>14.9</v>
      </c>
      <c r="EL39" s="4">
        <v>71.8</v>
      </c>
      <c r="EM39" s="4">
        <v>13</v>
      </c>
      <c r="EN39" s="4">
        <v>10.7</v>
      </c>
      <c r="EO39" s="4">
        <v>89.4</v>
      </c>
      <c r="EP39" s="4">
        <v>24.5</v>
      </c>
      <c r="EQ39" s="4">
        <v>57.7</v>
      </c>
      <c r="ER39" s="4">
        <v>46.2</v>
      </c>
      <c r="ES39" s="4">
        <v>53.8</v>
      </c>
      <c r="ET39" s="3">
        <v>19</v>
      </c>
      <c r="EU39" s="3">
        <v>24.2</v>
      </c>
      <c r="EV39" s="3">
        <v>33.9</v>
      </c>
      <c r="EW39" s="3">
        <v>23.3</v>
      </c>
      <c r="EX39" s="3">
        <v>15.6</v>
      </c>
      <c r="EY39" s="3">
        <v>64.2</v>
      </c>
      <c r="EZ39" s="3">
        <v>24.2</v>
      </c>
      <c r="FA39" s="3">
        <v>13.8</v>
      </c>
      <c r="FB39" s="3">
        <v>17.2</v>
      </c>
      <c r="FC39" s="3">
        <v>7</v>
      </c>
      <c r="FD39" s="3">
        <v>16.600000000000001</v>
      </c>
      <c r="FE39" s="3">
        <v>0.4</v>
      </c>
      <c r="FF39" s="3">
        <v>2.5</v>
      </c>
      <c r="FG39" s="3">
        <v>13.2</v>
      </c>
      <c r="FH39" s="3">
        <v>15.9</v>
      </c>
      <c r="FI39" s="3">
        <v>15.7</v>
      </c>
      <c r="FJ39" s="3">
        <v>55.1</v>
      </c>
      <c r="FK39" s="3">
        <v>9.8000000000000007</v>
      </c>
      <c r="FL39" s="3">
        <v>6.9</v>
      </c>
      <c r="FM39" s="3">
        <v>50.5</v>
      </c>
    </row>
    <row r="40" spans="1:169" x14ac:dyDescent="0.35">
      <c r="A40" s="2">
        <v>1909</v>
      </c>
      <c r="B40" s="4">
        <v>89.9</v>
      </c>
      <c r="C40" s="4">
        <v>112.5</v>
      </c>
      <c r="D40" s="4">
        <v>81.099999999999994</v>
      </c>
      <c r="E40" s="4">
        <v>82.1</v>
      </c>
      <c r="F40" s="4">
        <v>94.4</v>
      </c>
      <c r="G40" s="4">
        <v>91.3</v>
      </c>
      <c r="H40" s="4">
        <v>109.3</v>
      </c>
      <c r="I40" s="4">
        <v>90.6</v>
      </c>
      <c r="J40" s="4">
        <v>88.2</v>
      </c>
      <c r="K40" s="4">
        <v>93.6</v>
      </c>
      <c r="L40" s="4">
        <v>92.3</v>
      </c>
      <c r="M40" s="4">
        <v>87.8</v>
      </c>
      <c r="N40" s="4">
        <v>92.6</v>
      </c>
      <c r="O40" s="4">
        <v>93.6</v>
      </c>
      <c r="P40" s="4">
        <v>97.4</v>
      </c>
      <c r="Q40" s="4">
        <v>77.3</v>
      </c>
      <c r="R40" s="4">
        <v>121.1</v>
      </c>
      <c r="S40" s="4">
        <v>90.5</v>
      </c>
      <c r="T40" s="4">
        <v>85.4</v>
      </c>
      <c r="U40" s="3" t="e">
        <v>#N/A</v>
      </c>
      <c r="V40" s="4">
        <v>102.9</v>
      </c>
      <c r="W40" s="4">
        <v>104.2</v>
      </c>
      <c r="X40" s="3">
        <v>103.2</v>
      </c>
      <c r="Y40" s="4">
        <v>130.69999999999999</v>
      </c>
      <c r="Z40" s="3">
        <v>85.6</v>
      </c>
      <c r="AA40" s="4">
        <v>93.1</v>
      </c>
      <c r="AB40" s="4">
        <v>343.1</v>
      </c>
      <c r="AC40" s="4">
        <v>53.8</v>
      </c>
      <c r="AD40" s="4">
        <v>470.3</v>
      </c>
      <c r="AE40" s="4">
        <v>106.1</v>
      </c>
      <c r="AF40" s="4">
        <v>93.3</v>
      </c>
      <c r="AG40" s="4">
        <v>91.3</v>
      </c>
      <c r="AH40" s="4">
        <v>79.3</v>
      </c>
      <c r="AI40" s="4">
        <v>96.1</v>
      </c>
      <c r="AJ40" s="4">
        <v>78.900000000000006</v>
      </c>
      <c r="AK40" s="4">
        <v>92.3</v>
      </c>
      <c r="AL40" s="3">
        <v>86.9</v>
      </c>
      <c r="AM40" s="4">
        <v>72</v>
      </c>
      <c r="AN40" s="4">
        <v>66.8</v>
      </c>
      <c r="AO40" s="4">
        <v>83.2</v>
      </c>
      <c r="AP40" s="4">
        <v>58.5</v>
      </c>
      <c r="AQ40" s="4">
        <v>92.3</v>
      </c>
      <c r="AR40" s="4">
        <v>76.8</v>
      </c>
      <c r="AS40" s="4">
        <v>76.8</v>
      </c>
      <c r="AT40" s="4">
        <v>71.400000000000006</v>
      </c>
      <c r="AU40" s="3" t="e">
        <v>#N/A</v>
      </c>
      <c r="AV40" s="4">
        <v>40.299999999999997</v>
      </c>
      <c r="AW40" s="4">
        <v>54.1</v>
      </c>
      <c r="AX40" s="4">
        <v>51.4</v>
      </c>
      <c r="AY40" s="4">
        <v>17.899999999999999</v>
      </c>
      <c r="AZ40" s="4">
        <v>88.2</v>
      </c>
      <c r="BA40" s="4">
        <v>77.099999999999994</v>
      </c>
      <c r="BB40" s="3">
        <v>72.2</v>
      </c>
      <c r="BC40" s="4">
        <v>86</v>
      </c>
      <c r="BD40" s="4">
        <v>61.8</v>
      </c>
      <c r="BE40" s="3">
        <v>87.1</v>
      </c>
      <c r="BF40" s="4">
        <v>89.9</v>
      </c>
      <c r="BG40" s="4">
        <v>116.1</v>
      </c>
      <c r="BH40" s="4">
        <v>103.7</v>
      </c>
      <c r="BI40" s="3">
        <v>83.8</v>
      </c>
      <c r="BJ40" s="4">
        <v>137.5</v>
      </c>
      <c r="BK40" s="4">
        <v>84</v>
      </c>
      <c r="BL40" s="4">
        <v>61</v>
      </c>
      <c r="BM40" s="4">
        <v>75.3</v>
      </c>
      <c r="BN40" s="4">
        <v>91.3</v>
      </c>
      <c r="BO40" s="4">
        <v>87.1</v>
      </c>
      <c r="BP40" s="4">
        <v>87.3</v>
      </c>
      <c r="BQ40" s="4">
        <v>103.8</v>
      </c>
      <c r="BR40" s="4">
        <v>96.6</v>
      </c>
      <c r="BS40" s="3">
        <v>92</v>
      </c>
      <c r="BT40" s="4">
        <v>101.5</v>
      </c>
      <c r="BU40" s="4">
        <v>99.2</v>
      </c>
      <c r="BV40" s="3">
        <v>102.6</v>
      </c>
      <c r="BW40" s="3" t="e">
        <v>#N/A</v>
      </c>
      <c r="BX40" s="4">
        <v>58.1</v>
      </c>
      <c r="BY40" s="4">
        <v>58.1</v>
      </c>
      <c r="BZ40" s="4">
        <v>87.2</v>
      </c>
      <c r="CA40" s="4">
        <v>92.9</v>
      </c>
      <c r="CB40" s="4">
        <v>73.400000000000006</v>
      </c>
      <c r="CC40" s="3">
        <v>88.9</v>
      </c>
      <c r="CD40" s="4">
        <v>97.9</v>
      </c>
      <c r="CE40" s="4">
        <v>91.4</v>
      </c>
      <c r="CF40" s="4">
        <v>89.6</v>
      </c>
      <c r="CG40" s="4">
        <v>117.4</v>
      </c>
      <c r="CH40" s="4">
        <v>133.69999999999999</v>
      </c>
      <c r="CI40" s="4">
        <v>77.900000000000006</v>
      </c>
      <c r="CJ40" s="4">
        <v>85.9</v>
      </c>
      <c r="CK40" s="4">
        <v>79.8</v>
      </c>
      <c r="CL40" s="4">
        <v>68.8</v>
      </c>
      <c r="CM40" s="4">
        <v>116.8</v>
      </c>
      <c r="CN40" s="4">
        <v>71.7</v>
      </c>
      <c r="CO40" s="4">
        <v>128</v>
      </c>
      <c r="CP40" s="4">
        <v>80.8</v>
      </c>
      <c r="CQ40" s="4">
        <v>90</v>
      </c>
      <c r="CR40" s="4">
        <v>100</v>
      </c>
      <c r="CS40" s="4">
        <v>221.6</v>
      </c>
      <c r="CT40" s="4">
        <v>145.6</v>
      </c>
      <c r="CU40" s="4">
        <v>79.400000000000006</v>
      </c>
      <c r="CV40" s="4">
        <v>100.7</v>
      </c>
      <c r="CW40" s="4">
        <v>76</v>
      </c>
      <c r="CX40" s="4">
        <v>96.2</v>
      </c>
      <c r="CY40" s="4">
        <v>65.3</v>
      </c>
      <c r="CZ40" s="4">
        <v>72.7</v>
      </c>
      <c r="DA40" s="3" t="e">
        <v>#N/A</v>
      </c>
      <c r="DB40" s="4">
        <v>123.6</v>
      </c>
      <c r="DC40" s="4">
        <v>174.6</v>
      </c>
      <c r="DD40" s="4">
        <v>106.6</v>
      </c>
      <c r="DE40" s="4">
        <v>79.900000000000006</v>
      </c>
      <c r="DF40" s="4">
        <v>86.9</v>
      </c>
      <c r="DG40" s="4">
        <v>109.9</v>
      </c>
      <c r="DH40" s="4">
        <v>69.900000000000006</v>
      </c>
      <c r="DI40" s="4">
        <v>79.599999999999994</v>
      </c>
      <c r="DJ40" s="4">
        <v>18.100000000000001</v>
      </c>
      <c r="DK40" s="4">
        <v>80.5</v>
      </c>
      <c r="DL40" s="3">
        <v>14.7</v>
      </c>
      <c r="DM40" s="4">
        <v>55.9</v>
      </c>
      <c r="DN40" s="4">
        <v>72.7</v>
      </c>
      <c r="DO40" s="3">
        <v>2.2000000000000002</v>
      </c>
      <c r="DP40" s="4">
        <v>55.2</v>
      </c>
      <c r="DQ40" s="3">
        <v>39.799999999999997</v>
      </c>
      <c r="DR40" s="4">
        <v>36.799999999999997</v>
      </c>
      <c r="DS40" s="4">
        <v>33.200000000000003</v>
      </c>
      <c r="DT40" s="4">
        <v>461.9</v>
      </c>
      <c r="DU40" s="4">
        <v>32.200000000000003</v>
      </c>
      <c r="DV40" s="4">
        <v>56.4</v>
      </c>
      <c r="DW40" s="4">
        <v>8.8000000000000007</v>
      </c>
      <c r="DX40" s="4">
        <v>38.4</v>
      </c>
      <c r="DY40" s="4">
        <v>6</v>
      </c>
      <c r="DZ40" s="4">
        <v>7.6</v>
      </c>
      <c r="EA40" s="4">
        <v>97.8</v>
      </c>
      <c r="EB40" s="4">
        <v>94.6</v>
      </c>
      <c r="EC40" s="4">
        <v>10</v>
      </c>
      <c r="ED40" s="4">
        <v>17.899999999999999</v>
      </c>
      <c r="EE40" s="4">
        <v>67.599999999999994</v>
      </c>
      <c r="EF40" s="4">
        <v>117.6</v>
      </c>
      <c r="EG40" s="4">
        <v>7.8</v>
      </c>
      <c r="EH40" s="4">
        <v>15.4</v>
      </c>
      <c r="EI40" s="4">
        <v>15.6</v>
      </c>
      <c r="EJ40" s="4">
        <v>18.899999999999999</v>
      </c>
      <c r="EK40" s="4">
        <v>16.600000000000001</v>
      </c>
      <c r="EL40" s="4">
        <v>86.5</v>
      </c>
      <c r="EM40" s="4">
        <v>13.4</v>
      </c>
      <c r="EN40" s="4">
        <v>11.9</v>
      </c>
      <c r="EO40" s="4">
        <v>91.3</v>
      </c>
      <c r="EP40" s="4">
        <v>25.9</v>
      </c>
      <c r="EQ40" s="4">
        <v>103.7</v>
      </c>
      <c r="ER40" s="3">
        <v>83.7</v>
      </c>
      <c r="ES40" s="4">
        <v>64.3</v>
      </c>
      <c r="ET40" s="3">
        <v>20.5</v>
      </c>
      <c r="EU40" s="3">
        <v>26.9</v>
      </c>
      <c r="EV40" s="3">
        <v>41</v>
      </c>
      <c r="EW40" s="3">
        <v>55.5</v>
      </c>
      <c r="EX40" s="3">
        <v>22.1</v>
      </c>
      <c r="EY40" s="3">
        <v>74.099999999999994</v>
      </c>
      <c r="EZ40" s="3">
        <v>28.6</v>
      </c>
      <c r="FA40" s="3">
        <v>18</v>
      </c>
      <c r="FB40" s="3">
        <v>21.6</v>
      </c>
      <c r="FC40" s="3">
        <v>10.3</v>
      </c>
      <c r="FD40" s="3">
        <v>19.2</v>
      </c>
      <c r="FE40" s="3">
        <v>0.2</v>
      </c>
      <c r="FF40" s="3">
        <v>9.3000000000000007</v>
      </c>
      <c r="FG40" s="3">
        <v>36.799999999999997</v>
      </c>
      <c r="FH40" s="3">
        <v>16.899999999999999</v>
      </c>
      <c r="FI40" s="3">
        <v>19.399999999999999</v>
      </c>
      <c r="FJ40" s="3">
        <v>71.2</v>
      </c>
      <c r="FK40" s="3">
        <v>14.2</v>
      </c>
      <c r="FL40" s="3">
        <v>9.3000000000000007</v>
      </c>
      <c r="FM40" s="3">
        <v>64.599999999999994</v>
      </c>
    </row>
    <row r="41" spans="1:169" x14ac:dyDescent="0.35">
      <c r="A41" s="2">
        <v>1910</v>
      </c>
      <c r="B41" s="4">
        <v>91.7</v>
      </c>
      <c r="C41" s="4">
        <v>104.4</v>
      </c>
      <c r="D41" s="4">
        <v>88.3</v>
      </c>
      <c r="E41" s="4">
        <v>101.5</v>
      </c>
      <c r="F41" s="4">
        <v>108.3</v>
      </c>
      <c r="G41" s="4">
        <v>95</v>
      </c>
      <c r="H41" s="4">
        <v>106.5</v>
      </c>
      <c r="I41" s="4">
        <v>103.7</v>
      </c>
      <c r="J41" s="4">
        <v>92.5</v>
      </c>
      <c r="K41" s="4">
        <v>92.1</v>
      </c>
      <c r="L41" s="4">
        <v>113.4</v>
      </c>
      <c r="M41" s="4">
        <v>99.9</v>
      </c>
      <c r="N41" s="4">
        <v>94</v>
      </c>
      <c r="O41" s="4">
        <v>92.9</v>
      </c>
      <c r="P41" s="4">
        <v>96.1</v>
      </c>
      <c r="Q41" s="4">
        <v>70.7</v>
      </c>
      <c r="R41" s="4">
        <v>105.8</v>
      </c>
      <c r="S41" s="4">
        <v>84.7</v>
      </c>
      <c r="T41" s="4">
        <v>83</v>
      </c>
      <c r="U41" s="3" t="e">
        <v>#N/A</v>
      </c>
      <c r="V41" s="3">
        <v>102.8</v>
      </c>
      <c r="W41" s="4">
        <v>106.2</v>
      </c>
      <c r="X41" s="4">
        <v>103.4</v>
      </c>
      <c r="Y41" s="4">
        <v>146</v>
      </c>
      <c r="Z41" s="4">
        <v>93.5</v>
      </c>
      <c r="AA41" s="3">
        <v>98.5</v>
      </c>
      <c r="AB41" s="4">
        <v>209.9</v>
      </c>
      <c r="AC41" s="4">
        <v>41.1</v>
      </c>
      <c r="AD41" s="4">
        <v>302.3</v>
      </c>
      <c r="AE41" s="4">
        <v>71</v>
      </c>
      <c r="AF41" s="4">
        <v>74.599999999999994</v>
      </c>
      <c r="AG41" s="3">
        <v>88.5</v>
      </c>
      <c r="AH41" s="4">
        <v>71.2</v>
      </c>
      <c r="AI41" s="4">
        <v>71.599999999999994</v>
      </c>
      <c r="AJ41" s="4">
        <v>73.7</v>
      </c>
      <c r="AK41" s="4">
        <v>105.8</v>
      </c>
      <c r="AL41" s="3">
        <v>81.3</v>
      </c>
      <c r="AM41" s="4">
        <v>62.8</v>
      </c>
      <c r="AN41" s="4">
        <v>77.8</v>
      </c>
      <c r="AO41" s="4">
        <v>90.8</v>
      </c>
      <c r="AP41" s="4">
        <v>64</v>
      </c>
      <c r="AQ41" s="4">
        <v>90.5</v>
      </c>
      <c r="AR41" s="4">
        <v>84.7</v>
      </c>
      <c r="AS41" s="4">
        <v>74.3</v>
      </c>
      <c r="AT41" s="4">
        <v>75</v>
      </c>
      <c r="AU41" s="3" t="e">
        <v>#N/A</v>
      </c>
      <c r="AV41" s="4">
        <v>54.5</v>
      </c>
      <c r="AW41" s="4">
        <v>65.7</v>
      </c>
      <c r="AX41" s="4">
        <v>65.2</v>
      </c>
      <c r="AY41" s="4">
        <v>27.1</v>
      </c>
      <c r="AZ41" s="4">
        <v>88.6</v>
      </c>
      <c r="BA41" s="4">
        <v>83.3</v>
      </c>
      <c r="BB41" s="4">
        <v>84.9</v>
      </c>
      <c r="BC41" s="4">
        <v>92</v>
      </c>
      <c r="BD41" s="4">
        <v>74.7</v>
      </c>
      <c r="BE41" s="4">
        <v>82.4</v>
      </c>
      <c r="BF41" s="4">
        <v>92.6</v>
      </c>
      <c r="BG41" s="4">
        <v>113.2</v>
      </c>
      <c r="BH41" s="4">
        <v>102.9</v>
      </c>
      <c r="BI41" s="4">
        <v>87.2</v>
      </c>
      <c r="BJ41" s="4">
        <v>169.2</v>
      </c>
      <c r="BK41" s="4">
        <v>86.8</v>
      </c>
      <c r="BL41" s="4">
        <v>54.5</v>
      </c>
      <c r="BM41" s="4">
        <v>76.2</v>
      </c>
      <c r="BN41" s="4">
        <v>94.7</v>
      </c>
      <c r="BO41" s="3">
        <v>97.8</v>
      </c>
      <c r="BP41" s="4">
        <v>86.6</v>
      </c>
      <c r="BQ41" s="4">
        <v>98.4</v>
      </c>
      <c r="BR41" s="3">
        <v>97.3</v>
      </c>
      <c r="BS41" s="3">
        <v>95.8</v>
      </c>
      <c r="BT41" s="4">
        <v>102.9</v>
      </c>
      <c r="BU41" s="4">
        <v>95.8</v>
      </c>
      <c r="BV41" s="3">
        <v>98.2</v>
      </c>
      <c r="BW41" s="3" t="e">
        <v>#N/A</v>
      </c>
      <c r="BX41" s="4">
        <v>68.7</v>
      </c>
      <c r="BY41" s="4">
        <v>68.7</v>
      </c>
      <c r="BZ41" s="4">
        <v>85.6</v>
      </c>
      <c r="CA41" s="4">
        <v>91.5</v>
      </c>
      <c r="CB41" s="3">
        <v>76.400000000000006</v>
      </c>
      <c r="CC41" s="4">
        <v>90.9</v>
      </c>
      <c r="CD41" s="4">
        <v>94.5</v>
      </c>
      <c r="CE41" s="4">
        <v>90</v>
      </c>
      <c r="CF41" s="4">
        <v>92</v>
      </c>
      <c r="CG41" s="4">
        <v>110.2</v>
      </c>
      <c r="CH41" s="4">
        <v>94.4</v>
      </c>
      <c r="CI41" s="4">
        <v>74.400000000000006</v>
      </c>
      <c r="CJ41" s="4">
        <v>87.3</v>
      </c>
      <c r="CK41" s="4">
        <v>87.5</v>
      </c>
      <c r="CL41" s="4">
        <v>66.099999999999994</v>
      </c>
      <c r="CM41" s="4">
        <v>93.3</v>
      </c>
      <c r="CN41" s="4">
        <v>76.900000000000006</v>
      </c>
      <c r="CO41" s="4">
        <v>116.8</v>
      </c>
      <c r="CP41" s="4">
        <v>94.1</v>
      </c>
      <c r="CQ41" s="4">
        <v>84.5</v>
      </c>
      <c r="CR41" s="4">
        <v>99.1</v>
      </c>
      <c r="CS41" s="4">
        <v>128.30000000000001</v>
      </c>
      <c r="CT41" s="4">
        <v>143.6</v>
      </c>
      <c r="CU41" s="4">
        <v>77.099999999999994</v>
      </c>
      <c r="CV41" s="4">
        <v>99.3</v>
      </c>
      <c r="CW41" s="4">
        <v>84.7</v>
      </c>
      <c r="CX41" s="4">
        <v>100.6</v>
      </c>
      <c r="CY41" s="4">
        <v>87.1</v>
      </c>
      <c r="CZ41" s="4">
        <v>78.599999999999994</v>
      </c>
      <c r="DA41" s="3" t="e">
        <v>#N/A</v>
      </c>
      <c r="DB41" s="4">
        <v>107</v>
      </c>
      <c r="DC41" s="4">
        <v>147.80000000000001</v>
      </c>
      <c r="DD41" s="4">
        <v>121</v>
      </c>
      <c r="DE41" s="4">
        <v>92.9</v>
      </c>
      <c r="DF41" s="4">
        <v>94.8</v>
      </c>
      <c r="DG41" s="4">
        <v>144.19999999999999</v>
      </c>
      <c r="DH41" s="4">
        <v>90.9</v>
      </c>
      <c r="DI41" s="4">
        <v>89.8</v>
      </c>
      <c r="DJ41" s="4">
        <v>11.3</v>
      </c>
      <c r="DK41" s="3">
        <v>57.1</v>
      </c>
      <c r="DL41" s="4">
        <v>10.3</v>
      </c>
      <c r="DM41" s="4">
        <v>46.2</v>
      </c>
      <c r="DN41" s="4">
        <v>66.599999999999994</v>
      </c>
      <c r="DO41" s="4">
        <v>2.2000000000000002</v>
      </c>
      <c r="DP41" s="4">
        <v>48.2</v>
      </c>
      <c r="DQ41" s="4">
        <v>33.9</v>
      </c>
      <c r="DR41" s="4">
        <v>36.1</v>
      </c>
      <c r="DS41" s="4">
        <v>37.5</v>
      </c>
      <c r="DT41" s="4">
        <v>530.79999999999995</v>
      </c>
      <c r="DU41" s="4">
        <v>32</v>
      </c>
      <c r="DV41" s="4">
        <v>66.7</v>
      </c>
      <c r="DW41" s="4">
        <v>9.5</v>
      </c>
      <c r="DX41" s="4">
        <v>41.5</v>
      </c>
      <c r="DY41" s="4">
        <v>5.4</v>
      </c>
      <c r="DZ41" s="4">
        <v>7.3</v>
      </c>
      <c r="EA41" s="4">
        <v>88.7</v>
      </c>
      <c r="EB41" s="4">
        <v>96.5</v>
      </c>
      <c r="EC41" s="4">
        <v>13.2</v>
      </c>
      <c r="ED41" s="4">
        <v>24.2</v>
      </c>
      <c r="EE41" s="4">
        <v>83.7</v>
      </c>
      <c r="EF41" s="4">
        <v>149.5</v>
      </c>
      <c r="EG41" s="4">
        <v>13.2</v>
      </c>
      <c r="EH41" s="4">
        <v>16.899999999999999</v>
      </c>
      <c r="EI41" s="4">
        <v>17.8</v>
      </c>
      <c r="EJ41" s="4">
        <v>22.9</v>
      </c>
      <c r="EK41" s="4">
        <v>16.600000000000001</v>
      </c>
      <c r="EL41" s="4">
        <v>73.7</v>
      </c>
      <c r="EM41" s="4">
        <v>12.1</v>
      </c>
      <c r="EN41" s="4">
        <v>12.4</v>
      </c>
      <c r="EO41" s="4">
        <v>114.9</v>
      </c>
      <c r="EP41" s="4">
        <v>24.7</v>
      </c>
      <c r="EQ41" s="4">
        <v>86.1</v>
      </c>
      <c r="ER41" s="4">
        <v>110.4</v>
      </c>
      <c r="ES41" s="4">
        <v>60.6</v>
      </c>
      <c r="ET41" s="3">
        <v>21.3</v>
      </c>
      <c r="EU41" s="3">
        <v>25.5</v>
      </c>
      <c r="EV41" s="3">
        <v>42.2</v>
      </c>
      <c r="EW41" s="3">
        <v>36.1</v>
      </c>
      <c r="EX41" s="3">
        <v>21.6</v>
      </c>
      <c r="EY41" s="3">
        <v>68.099999999999994</v>
      </c>
      <c r="EZ41" s="3">
        <v>28.2</v>
      </c>
      <c r="FA41" s="3">
        <v>20.9</v>
      </c>
      <c r="FB41" s="3">
        <v>22.9</v>
      </c>
      <c r="FC41" s="3">
        <v>13.3</v>
      </c>
      <c r="FD41" s="3">
        <v>19.899999999999999</v>
      </c>
      <c r="FE41" s="3">
        <v>1.4</v>
      </c>
      <c r="FF41" s="3">
        <v>9.4</v>
      </c>
      <c r="FG41" s="3">
        <v>36.799999999999997</v>
      </c>
      <c r="FH41" s="3">
        <v>19</v>
      </c>
      <c r="FI41" s="3">
        <v>22.2</v>
      </c>
      <c r="FJ41" s="3">
        <v>80.900000000000006</v>
      </c>
      <c r="FK41" s="3">
        <v>19.100000000000001</v>
      </c>
      <c r="FL41" s="3">
        <v>11.7</v>
      </c>
      <c r="FM41" s="3">
        <v>72.2</v>
      </c>
    </row>
    <row r="42" spans="1:169" x14ac:dyDescent="0.35">
      <c r="A42" s="2">
        <v>1911</v>
      </c>
      <c r="B42" s="4">
        <v>84.4</v>
      </c>
      <c r="C42" s="4">
        <v>99.4</v>
      </c>
      <c r="D42" s="4">
        <v>80.3</v>
      </c>
      <c r="E42" s="3">
        <v>89.8</v>
      </c>
      <c r="F42" s="4">
        <v>87.8</v>
      </c>
      <c r="G42" s="4">
        <v>83.2</v>
      </c>
      <c r="H42" s="4">
        <v>92.4</v>
      </c>
      <c r="I42" s="4">
        <v>98.8</v>
      </c>
      <c r="J42" s="4">
        <v>95.9</v>
      </c>
      <c r="K42" s="4">
        <v>97.4</v>
      </c>
      <c r="L42" s="4">
        <v>90.3</v>
      </c>
      <c r="M42" s="4">
        <v>99.8</v>
      </c>
      <c r="N42" s="4">
        <v>93.3</v>
      </c>
      <c r="O42" s="4">
        <v>92.9</v>
      </c>
      <c r="P42" s="4">
        <v>97.7</v>
      </c>
      <c r="Q42" s="4">
        <v>70.8</v>
      </c>
      <c r="R42" s="4">
        <v>95.1</v>
      </c>
      <c r="S42" s="4">
        <v>80.5</v>
      </c>
      <c r="T42" s="4">
        <v>81.900000000000006</v>
      </c>
      <c r="U42" s="3" t="e">
        <v>#N/A</v>
      </c>
      <c r="V42" s="3">
        <v>98.3</v>
      </c>
      <c r="W42" s="4">
        <v>99.2</v>
      </c>
      <c r="X42" s="4">
        <v>101.4</v>
      </c>
      <c r="Y42" s="3">
        <v>120.4</v>
      </c>
      <c r="Z42" s="4">
        <v>94.2</v>
      </c>
      <c r="AA42" s="4">
        <v>101.6</v>
      </c>
      <c r="AB42" s="4">
        <v>364.6</v>
      </c>
      <c r="AC42" s="4">
        <v>52.9</v>
      </c>
      <c r="AD42" s="4">
        <v>238.3</v>
      </c>
      <c r="AE42" s="4">
        <v>103.6</v>
      </c>
      <c r="AF42" s="4">
        <v>113.3</v>
      </c>
      <c r="AG42" s="4">
        <v>198.3</v>
      </c>
      <c r="AH42" s="4">
        <v>101.5</v>
      </c>
      <c r="AI42" s="4">
        <v>98</v>
      </c>
      <c r="AJ42" s="4">
        <v>83</v>
      </c>
      <c r="AK42" s="4">
        <v>104.9</v>
      </c>
      <c r="AL42" s="4">
        <v>99.5</v>
      </c>
      <c r="AM42" s="3">
        <v>83.3</v>
      </c>
      <c r="AN42" s="3">
        <v>88</v>
      </c>
      <c r="AO42" s="4">
        <v>98.8</v>
      </c>
      <c r="AP42" s="4">
        <v>79.900000000000006</v>
      </c>
      <c r="AQ42" s="4">
        <v>103</v>
      </c>
      <c r="AR42" s="4">
        <v>90.7</v>
      </c>
      <c r="AS42" s="4">
        <v>88</v>
      </c>
      <c r="AT42" s="4">
        <v>85.4</v>
      </c>
      <c r="AU42" s="3" t="e">
        <v>#N/A</v>
      </c>
      <c r="AV42" s="4">
        <v>86.6</v>
      </c>
      <c r="AW42" s="4">
        <v>83.4</v>
      </c>
      <c r="AX42" s="4">
        <v>79.900000000000006</v>
      </c>
      <c r="AY42" s="4">
        <v>47.8</v>
      </c>
      <c r="AZ42" s="4">
        <v>105.3</v>
      </c>
      <c r="BA42" s="4">
        <v>89.4</v>
      </c>
      <c r="BB42" s="4">
        <v>91.6</v>
      </c>
      <c r="BC42" s="4">
        <v>95.4</v>
      </c>
      <c r="BD42" s="4">
        <v>98.9</v>
      </c>
      <c r="BE42" s="4">
        <v>85.9</v>
      </c>
      <c r="BF42" s="4">
        <v>97.1</v>
      </c>
      <c r="BG42" s="4">
        <v>119.2</v>
      </c>
      <c r="BH42" s="4">
        <v>109.4</v>
      </c>
      <c r="BI42" s="4">
        <v>85.7</v>
      </c>
      <c r="BJ42" s="3">
        <v>132.80000000000001</v>
      </c>
      <c r="BK42" s="4">
        <v>90.2</v>
      </c>
      <c r="BL42" s="4">
        <v>65.3</v>
      </c>
      <c r="BM42" s="4">
        <v>77.2</v>
      </c>
      <c r="BN42" s="4">
        <v>97.8</v>
      </c>
      <c r="BO42" s="3">
        <v>89.8</v>
      </c>
      <c r="BP42" s="4">
        <v>95.3</v>
      </c>
      <c r="BQ42" s="4">
        <v>99.8</v>
      </c>
      <c r="BR42" s="4">
        <v>97</v>
      </c>
      <c r="BS42" s="4">
        <v>95.3</v>
      </c>
      <c r="BT42" s="4">
        <v>97.6</v>
      </c>
      <c r="BU42" s="4">
        <v>94.5</v>
      </c>
      <c r="BV42" s="4">
        <v>101.4</v>
      </c>
      <c r="BW42" s="3" t="e">
        <v>#N/A</v>
      </c>
      <c r="BX42" s="4">
        <v>79.599999999999994</v>
      </c>
      <c r="BY42" s="4">
        <v>79.599999999999994</v>
      </c>
      <c r="BZ42" s="4">
        <v>88.5</v>
      </c>
      <c r="CA42" s="4">
        <v>91.8</v>
      </c>
      <c r="CB42" s="4">
        <v>86</v>
      </c>
      <c r="CC42" s="4">
        <v>91.7</v>
      </c>
      <c r="CD42" s="4">
        <v>94.5</v>
      </c>
      <c r="CE42" s="4">
        <v>94</v>
      </c>
      <c r="CF42" s="4">
        <v>93.1</v>
      </c>
      <c r="CG42" s="4">
        <v>117</v>
      </c>
      <c r="CH42" s="4">
        <v>93.9</v>
      </c>
      <c r="CI42" s="4">
        <v>86.3</v>
      </c>
      <c r="CJ42" s="3">
        <v>98.6</v>
      </c>
      <c r="CK42" s="4">
        <v>86.2</v>
      </c>
      <c r="CL42" s="4">
        <v>80.8</v>
      </c>
      <c r="CM42" s="4">
        <v>89.8</v>
      </c>
      <c r="CN42" s="4">
        <v>78</v>
      </c>
      <c r="CO42" s="4">
        <v>109.4</v>
      </c>
      <c r="CP42" s="4">
        <v>81.5</v>
      </c>
      <c r="CQ42" s="4">
        <v>82</v>
      </c>
      <c r="CR42" s="4">
        <v>91.7</v>
      </c>
      <c r="CS42" s="4">
        <v>98.6</v>
      </c>
      <c r="CT42" s="4">
        <v>98.1</v>
      </c>
      <c r="CU42" s="4">
        <v>74.7</v>
      </c>
      <c r="CV42" s="4">
        <v>82.4</v>
      </c>
      <c r="CW42" s="4">
        <v>79.2</v>
      </c>
      <c r="CX42" s="4">
        <v>93.6</v>
      </c>
      <c r="CY42" s="4">
        <v>95.5</v>
      </c>
      <c r="CZ42" s="4">
        <v>75.099999999999994</v>
      </c>
      <c r="DA42" s="3" t="e">
        <v>#N/A</v>
      </c>
      <c r="DB42" s="4">
        <v>97.6</v>
      </c>
      <c r="DC42" s="4">
        <v>122.3</v>
      </c>
      <c r="DD42" s="4">
        <v>109.6</v>
      </c>
      <c r="DE42" s="4">
        <v>69.5</v>
      </c>
      <c r="DF42" s="4">
        <v>93</v>
      </c>
      <c r="DG42" s="4">
        <v>79.5</v>
      </c>
      <c r="DH42" s="4">
        <v>85.7</v>
      </c>
      <c r="DI42" s="4">
        <v>91.8</v>
      </c>
      <c r="DJ42" s="3">
        <v>18</v>
      </c>
      <c r="DK42" s="4">
        <v>69.900000000000006</v>
      </c>
      <c r="DL42" s="4">
        <v>7.4</v>
      </c>
      <c r="DM42" s="4">
        <v>59.7</v>
      </c>
      <c r="DN42" s="4">
        <v>82.1</v>
      </c>
      <c r="DO42" s="4">
        <v>4.4000000000000004</v>
      </c>
      <c r="DP42" s="4">
        <v>59.6</v>
      </c>
      <c r="DQ42" s="4">
        <v>44.3</v>
      </c>
      <c r="DR42" s="4">
        <v>42.2</v>
      </c>
      <c r="DS42" s="4">
        <v>39.299999999999997</v>
      </c>
      <c r="DT42" s="4">
        <v>517.1</v>
      </c>
      <c r="DU42" s="4">
        <v>42.3</v>
      </c>
      <c r="DV42" s="4">
        <v>74.900000000000006</v>
      </c>
      <c r="DW42" s="4">
        <v>10.3</v>
      </c>
      <c r="DX42" s="4">
        <v>52.6</v>
      </c>
      <c r="DY42" s="4">
        <v>6.2</v>
      </c>
      <c r="DZ42" s="3">
        <v>7</v>
      </c>
      <c r="EA42" s="3">
        <v>99.8</v>
      </c>
      <c r="EB42" s="4">
        <v>108.4</v>
      </c>
      <c r="EC42" s="4">
        <v>16</v>
      </c>
      <c r="ED42" s="4">
        <v>36.799999999999997</v>
      </c>
      <c r="EE42" s="3">
        <v>99.2</v>
      </c>
      <c r="EF42" s="4">
        <v>179.7</v>
      </c>
      <c r="EG42" s="4">
        <v>19.2</v>
      </c>
      <c r="EH42" s="3">
        <v>20.3</v>
      </c>
      <c r="EI42" s="4">
        <v>19.7</v>
      </c>
      <c r="EJ42" s="4">
        <v>25</v>
      </c>
      <c r="EK42" s="4">
        <v>18.3</v>
      </c>
      <c r="EL42" s="4">
        <v>97.2</v>
      </c>
      <c r="EM42" s="4">
        <v>14.6</v>
      </c>
      <c r="EN42" s="4">
        <v>14.7</v>
      </c>
      <c r="EO42" s="4">
        <v>101.3</v>
      </c>
      <c r="EP42" s="4">
        <v>32.1</v>
      </c>
      <c r="EQ42" s="4">
        <v>81.5</v>
      </c>
      <c r="ER42" s="4">
        <v>87.9</v>
      </c>
      <c r="ES42" s="4">
        <v>59</v>
      </c>
      <c r="ET42" s="3">
        <v>22.1</v>
      </c>
      <c r="EU42" s="3">
        <v>25.1</v>
      </c>
      <c r="EV42" s="3">
        <v>40.299999999999997</v>
      </c>
      <c r="EW42" s="3">
        <v>25.5</v>
      </c>
      <c r="EX42" s="3">
        <v>16.2</v>
      </c>
      <c r="EY42" s="3">
        <v>67</v>
      </c>
      <c r="EZ42" s="3">
        <v>23.3</v>
      </c>
      <c r="FA42" s="3">
        <v>19.5</v>
      </c>
      <c r="FB42" s="3">
        <v>20.2</v>
      </c>
      <c r="FC42" s="3">
        <v>14.4</v>
      </c>
      <c r="FD42" s="3">
        <v>19.600000000000001</v>
      </c>
      <c r="FE42" s="3">
        <v>2.4</v>
      </c>
      <c r="FF42" s="3">
        <v>10</v>
      </c>
      <c r="FG42" s="3">
        <v>35.299999999999997</v>
      </c>
      <c r="FH42" s="3">
        <v>17.7</v>
      </c>
      <c r="FI42" s="3">
        <v>16.7</v>
      </c>
      <c r="FJ42" s="3">
        <v>89.2</v>
      </c>
      <c r="FK42" s="3">
        <v>10.6</v>
      </c>
      <c r="FL42" s="3">
        <v>11</v>
      </c>
      <c r="FM42" s="3">
        <v>78.8</v>
      </c>
    </row>
    <row r="43" spans="1:169" x14ac:dyDescent="0.35">
      <c r="A43" s="2">
        <v>1912</v>
      </c>
      <c r="B43" s="4">
        <v>99</v>
      </c>
      <c r="C43" s="4">
        <v>106.1</v>
      </c>
      <c r="D43" s="4">
        <v>89.7</v>
      </c>
      <c r="E43" s="4">
        <v>91.4</v>
      </c>
      <c r="F43" s="4">
        <v>95.1</v>
      </c>
      <c r="G43" s="4">
        <v>99.1</v>
      </c>
      <c r="H43" s="4">
        <v>98.3</v>
      </c>
      <c r="I43" s="4">
        <v>98.2</v>
      </c>
      <c r="J43" s="4">
        <v>96.1</v>
      </c>
      <c r="K43" s="4">
        <v>99.3</v>
      </c>
      <c r="L43" s="4">
        <v>87</v>
      </c>
      <c r="M43" s="4">
        <v>96.2</v>
      </c>
      <c r="N43" s="4">
        <v>95.9</v>
      </c>
      <c r="O43" s="4">
        <v>97</v>
      </c>
      <c r="P43" s="4">
        <v>100.4</v>
      </c>
      <c r="Q43" s="4">
        <v>84.4</v>
      </c>
      <c r="R43" s="4">
        <v>94.1</v>
      </c>
      <c r="S43" s="4">
        <v>89</v>
      </c>
      <c r="T43" s="4">
        <v>102.4</v>
      </c>
      <c r="U43" s="3" t="e">
        <v>#N/A</v>
      </c>
      <c r="V43" s="4">
        <v>97.6</v>
      </c>
      <c r="W43" s="4">
        <v>97.7</v>
      </c>
      <c r="X43" s="4">
        <v>102.6</v>
      </c>
      <c r="Y43" s="4">
        <v>105.3</v>
      </c>
      <c r="Z43" s="4">
        <v>97.7</v>
      </c>
      <c r="AA43" s="4">
        <v>99.5</v>
      </c>
      <c r="AB43" s="4">
        <v>149.4</v>
      </c>
      <c r="AC43" s="4">
        <v>71</v>
      </c>
      <c r="AD43" s="4">
        <v>130.69999999999999</v>
      </c>
      <c r="AE43" s="4">
        <v>98.1</v>
      </c>
      <c r="AF43" s="4">
        <v>97.2</v>
      </c>
      <c r="AG43" s="4">
        <v>128.30000000000001</v>
      </c>
      <c r="AH43" s="3">
        <v>87.3</v>
      </c>
      <c r="AI43" s="4">
        <v>112.9</v>
      </c>
      <c r="AJ43" s="4">
        <v>92.3</v>
      </c>
      <c r="AK43" s="4">
        <v>114.8</v>
      </c>
      <c r="AL43" s="4">
        <v>124.4</v>
      </c>
      <c r="AM43" s="4">
        <v>98.9</v>
      </c>
      <c r="AN43" s="4">
        <v>94.8</v>
      </c>
      <c r="AO43" s="4">
        <v>105.5</v>
      </c>
      <c r="AP43" s="4">
        <v>83.1</v>
      </c>
      <c r="AQ43" s="4">
        <v>95</v>
      </c>
      <c r="AR43" s="4">
        <v>124.8</v>
      </c>
      <c r="AS43" s="4">
        <v>93.7</v>
      </c>
      <c r="AT43" s="4">
        <v>84.3</v>
      </c>
      <c r="AU43" s="3" t="e">
        <v>#N/A</v>
      </c>
      <c r="AV43" s="4">
        <v>130.1</v>
      </c>
      <c r="AW43" s="4">
        <v>94.6</v>
      </c>
      <c r="AX43" s="4">
        <v>91.5</v>
      </c>
      <c r="AY43" s="4">
        <v>80.7</v>
      </c>
      <c r="AZ43" s="4">
        <v>103.7</v>
      </c>
      <c r="BA43" s="4">
        <v>99.7</v>
      </c>
      <c r="BB43" s="4">
        <v>91.1</v>
      </c>
      <c r="BC43" s="4">
        <v>98.7</v>
      </c>
      <c r="BD43" s="4">
        <v>112.8</v>
      </c>
      <c r="BE43" s="4">
        <v>87.5</v>
      </c>
      <c r="BF43" s="4">
        <v>101.4</v>
      </c>
      <c r="BG43" s="3">
        <v>134.80000000000001</v>
      </c>
      <c r="BH43" s="4">
        <v>105.4</v>
      </c>
      <c r="BI43" s="4">
        <v>90.7</v>
      </c>
      <c r="BJ43" s="4">
        <v>125.2</v>
      </c>
      <c r="BK43" s="4">
        <v>92.1</v>
      </c>
      <c r="BL43" s="4">
        <v>87.4</v>
      </c>
      <c r="BM43" s="4">
        <v>82.7</v>
      </c>
      <c r="BN43" s="4">
        <v>98.1</v>
      </c>
      <c r="BO43" s="4">
        <v>91.2</v>
      </c>
      <c r="BP43" s="4">
        <v>99.1</v>
      </c>
      <c r="BQ43" s="4">
        <v>97.4</v>
      </c>
      <c r="BR43" s="4">
        <v>97.4</v>
      </c>
      <c r="BS43" s="3">
        <v>96.8</v>
      </c>
      <c r="BT43" s="4">
        <v>95.9</v>
      </c>
      <c r="BU43" s="4">
        <v>95.5</v>
      </c>
      <c r="BV43" s="4">
        <v>100.8</v>
      </c>
      <c r="BW43" s="3" t="e">
        <v>#N/A</v>
      </c>
      <c r="BX43" s="4">
        <v>93.2</v>
      </c>
      <c r="BY43" s="4">
        <v>93.2</v>
      </c>
      <c r="BZ43" s="4">
        <v>92.5</v>
      </c>
      <c r="CA43" s="4">
        <v>102.5</v>
      </c>
      <c r="CB43" s="4">
        <v>96.8</v>
      </c>
      <c r="CC43" s="4">
        <v>99.2</v>
      </c>
      <c r="CD43" s="4">
        <v>99.5</v>
      </c>
      <c r="CE43" s="4">
        <v>98.9</v>
      </c>
      <c r="CF43" s="4">
        <v>92</v>
      </c>
      <c r="CG43" s="4">
        <v>110.9</v>
      </c>
      <c r="CH43" s="4">
        <v>110.6</v>
      </c>
      <c r="CI43" s="4">
        <v>98.3</v>
      </c>
      <c r="CJ43" s="4">
        <v>90.9</v>
      </c>
      <c r="CK43" s="4">
        <v>90</v>
      </c>
      <c r="CL43" s="4">
        <v>86.5</v>
      </c>
      <c r="CM43" s="4">
        <v>126.2</v>
      </c>
      <c r="CN43" s="4">
        <v>104.6</v>
      </c>
      <c r="CO43" s="4">
        <v>112.3</v>
      </c>
      <c r="CP43" s="4">
        <v>86.1</v>
      </c>
      <c r="CQ43" s="4">
        <v>111.8</v>
      </c>
      <c r="CR43" s="4">
        <v>101.2</v>
      </c>
      <c r="CS43" s="4">
        <v>160.9</v>
      </c>
      <c r="CT43" s="4">
        <v>92.2</v>
      </c>
      <c r="CU43" s="4">
        <v>88.6</v>
      </c>
      <c r="CV43" s="4">
        <v>78.3</v>
      </c>
      <c r="CW43" s="4">
        <v>93.9</v>
      </c>
      <c r="CX43" s="4">
        <v>104</v>
      </c>
      <c r="CY43" s="4">
        <v>97.9</v>
      </c>
      <c r="CZ43" s="4">
        <v>77.599999999999994</v>
      </c>
      <c r="DA43" s="3" t="e">
        <v>#N/A</v>
      </c>
      <c r="DB43" s="4">
        <v>83.5</v>
      </c>
      <c r="DC43" s="4">
        <v>103.7</v>
      </c>
      <c r="DD43" s="4">
        <v>97.3</v>
      </c>
      <c r="DE43" s="4">
        <v>93.6</v>
      </c>
      <c r="DF43" s="4">
        <v>103.5</v>
      </c>
      <c r="DG43" s="4">
        <v>72.2</v>
      </c>
      <c r="DH43" s="4">
        <v>85.5</v>
      </c>
      <c r="DI43" s="4">
        <v>88.1</v>
      </c>
      <c r="DJ43" s="4">
        <v>9.4</v>
      </c>
      <c r="DK43" s="4">
        <v>100.1</v>
      </c>
      <c r="DL43" s="4">
        <v>4.5</v>
      </c>
      <c r="DM43" s="4">
        <v>57.5</v>
      </c>
      <c r="DN43" s="4">
        <v>76.3</v>
      </c>
      <c r="DO43" s="4">
        <v>3.4</v>
      </c>
      <c r="DP43" s="4">
        <v>54.6</v>
      </c>
      <c r="DQ43" s="4">
        <v>50.7</v>
      </c>
      <c r="DR43" s="4">
        <v>46.9</v>
      </c>
      <c r="DS43" s="4">
        <v>43.8</v>
      </c>
      <c r="DT43" s="4">
        <v>623.1</v>
      </c>
      <c r="DU43" s="4">
        <v>48.5</v>
      </c>
      <c r="DV43" s="4">
        <v>82.9</v>
      </c>
      <c r="DW43" s="4">
        <v>11.5</v>
      </c>
      <c r="DX43" s="4">
        <v>56.2</v>
      </c>
      <c r="DY43" s="4">
        <v>6.8</v>
      </c>
      <c r="DZ43" s="4">
        <v>9.6</v>
      </c>
      <c r="EA43" s="4">
        <v>117.4</v>
      </c>
      <c r="EB43" s="4">
        <v>133.69999999999999</v>
      </c>
      <c r="EC43" s="4">
        <v>16.899999999999999</v>
      </c>
      <c r="ED43" s="4">
        <v>54.9</v>
      </c>
      <c r="EE43" s="4">
        <v>110.8</v>
      </c>
      <c r="EF43" s="3">
        <v>208.2</v>
      </c>
      <c r="EG43" s="4">
        <v>28.3</v>
      </c>
      <c r="EH43" s="4">
        <v>20.7</v>
      </c>
      <c r="EI43" s="4">
        <v>21.5</v>
      </c>
      <c r="EJ43" s="4">
        <v>24.5</v>
      </c>
      <c r="EK43" s="4">
        <v>17.899999999999999</v>
      </c>
      <c r="EL43" s="4">
        <v>130.5</v>
      </c>
      <c r="EM43" s="4">
        <v>16.899999999999999</v>
      </c>
      <c r="EN43" s="4">
        <v>14.2</v>
      </c>
      <c r="EO43" s="4">
        <v>119.6</v>
      </c>
      <c r="EP43" s="3">
        <v>33.1</v>
      </c>
      <c r="EQ43" s="4">
        <v>121.2</v>
      </c>
      <c r="ER43" s="4">
        <v>111.2</v>
      </c>
      <c r="ES43" s="4">
        <v>61.8</v>
      </c>
      <c r="ET43" s="3">
        <v>31.3</v>
      </c>
      <c r="EU43" s="3">
        <v>36.700000000000003</v>
      </c>
      <c r="EV43" s="3">
        <v>44.9</v>
      </c>
      <c r="EW43" s="3">
        <v>42.2</v>
      </c>
      <c r="EX43" s="3">
        <v>15.8</v>
      </c>
      <c r="EY43" s="3">
        <v>77.5</v>
      </c>
      <c r="EZ43" s="3">
        <v>22.5</v>
      </c>
      <c r="FA43" s="3">
        <v>23.4</v>
      </c>
      <c r="FB43" s="3">
        <v>22.1</v>
      </c>
      <c r="FC43" s="3">
        <v>14.9</v>
      </c>
      <c r="FD43" s="3">
        <v>20.100000000000001</v>
      </c>
      <c r="FE43" s="3">
        <v>6</v>
      </c>
      <c r="FF43" s="3">
        <v>10</v>
      </c>
      <c r="FG43" s="3">
        <v>35</v>
      </c>
      <c r="FH43" s="3">
        <v>16.8</v>
      </c>
      <c r="FI43" s="3">
        <v>25.3</v>
      </c>
      <c r="FJ43" s="3">
        <v>111.8</v>
      </c>
      <c r="FK43" s="3">
        <v>10.4</v>
      </c>
      <c r="FL43" s="3">
        <v>11.5</v>
      </c>
      <c r="FM43" s="3">
        <v>77.2</v>
      </c>
    </row>
    <row r="44" spans="1:169" x14ac:dyDescent="0.35">
      <c r="A44" s="2">
        <v>1913</v>
      </c>
      <c r="B44" s="4">
        <v>100</v>
      </c>
      <c r="C44" s="4">
        <v>100</v>
      </c>
      <c r="D44" s="4">
        <v>100</v>
      </c>
      <c r="E44" s="4">
        <v>100</v>
      </c>
      <c r="F44" s="4">
        <v>100</v>
      </c>
      <c r="G44" s="4">
        <v>100</v>
      </c>
      <c r="H44" s="4">
        <v>100</v>
      </c>
      <c r="I44" s="4">
        <v>100</v>
      </c>
      <c r="J44" s="4">
        <v>100</v>
      </c>
      <c r="K44" s="4">
        <v>100</v>
      </c>
      <c r="L44" s="4">
        <v>100</v>
      </c>
      <c r="M44" s="4">
        <v>100</v>
      </c>
      <c r="N44" s="4">
        <v>100</v>
      </c>
      <c r="O44" s="4">
        <v>100</v>
      </c>
      <c r="P44" s="4">
        <v>100</v>
      </c>
      <c r="Q44" s="4">
        <v>100</v>
      </c>
      <c r="R44" s="4">
        <v>100</v>
      </c>
      <c r="S44" s="4">
        <v>100</v>
      </c>
      <c r="T44" s="4">
        <v>100</v>
      </c>
      <c r="U44" s="4">
        <v>100</v>
      </c>
      <c r="V44" s="4">
        <v>100</v>
      </c>
      <c r="W44" s="4">
        <v>100</v>
      </c>
      <c r="X44" s="4">
        <v>100</v>
      </c>
      <c r="Y44" s="4">
        <v>100</v>
      </c>
      <c r="Z44" s="4">
        <v>100</v>
      </c>
      <c r="AA44" s="4">
        <v>100</v>
      </c>
      <c r="AB44" s="4">
        <v>100</v>
      </c>
      <c r="AC44" s="4">
        <v>100</v>
      </c>
      <c r="AD44" s="4">
        <v>100</v>
      </c>
      <c r="AE44" s="4">
        <v>100</v>
      </c>
      <c r="AF44" s="4">
        <v>100</v>
      </c>
      <c r="AG44" s="4">
        <v>100</v>
      </c>
      <c r="AH44" s="4">
        <v>100</v>
      </c>
      <c r="AI44" s="4">
        <v>100</v>
      </c>
      <c r="AJ44" s="4">
        <v>100</v>
      </c>
      <c r="AK44" s="4">
        <v>100</v>
      </c>
      <c r="AL44" s="3">
        <v>100</v>
      </c>
      <c r="AM44" s="4">
        <v>100</v>
      </c>
      <c r="AN44" s="4">
        <v>100</v>
      </c>
      <c r="AO44" s="4">
        <v>100</v>
      </c>
      <c r="AP44" s="4">
        <v>100</v>
      </c>
      <c r="AQ44" s="4">
        <v>100</v>
      </c>
      <c r="AR44" s="3">
        <v>100</v>
      </c>
      <c r="AS44" s="4">
        <v>100</v>
      </c>
      <c r="AT44" s="4">
        <v>100</v>
      </c>
      <c r="AU44" s="4">
        <v>100</v>
      </c>
      <c r="AV44" s="4">
        <v>100</v>
      </c>
      <c r="AW44" s="4">
        <v>100</v>
      </c>
      <c r="AX44" s="4">
        <v>100</v>
      </c>
      <c r="AY44" s="4">
        <v>100</v>
      </c>
      <c r="AZ44" s="4">
        <v>100</v>
      </c>
      <c r="BA44" s="4">
        <v>100</v>
      </c>
      <c r="BB44" s="4">
        <v>100</v>
      </c>
      <c r="BC44" s="4">
        <v>100</v>
      </c>
      <c r="BD44" s="4">
        <v>100</v>
      </c>
      <c r="BE44" s="4">
        <v>100</v>
      </c>
      <c r="BF44" s="4">
        <v>100</v>
      </c>
      <c r="BG44" s="4">
        <v>100</v>
      </c>
      <c r="BH44" s="4">
        <v>100</v>
      </c>
      <c r="BI44" s="4">
        <v>100</v>
      </c>
      <c r="BJ44" s="4">
        <v>100</v>
      </c>
      <c r="BK44" s="4">
        <v>100</v>
      </c>
      <c r="BL44" s="4">
        <v>100</v>
      </c>
      <c r="BM44" s="4">
        <v>100</v>
      </c>
      <c r="BN44" s="4">
        <v>100</v>
      </c>
      <c r="BO44" s="4">
        <v>100</v>
      </c>
      <c r="BP44" s="4">
        <v>100</v>
      </c>
      <c r="BQ44" s="4">
        <v>100</v>
      </c>
      <c r="BR44" s="4">
        <v>100</v>
      </c>
      <c r="BS44" s="4">
        <v>100</v>
      </c>
      <c r="BT44" s="4">
        <v>100</v>
      </c>
      <c r="BU44" s="4">
        <v>100</v>
      </c>
      <c r="BV44" s="4">
        <v>100</v>
      </c>
      <c r="BW44" s="4">
        <v>100</v>
      </c>
      <c r="BX44" s="4">
        <v>100</v>
      </c>
      <c r="BY44" s="4">
        <v>100</v>
      </c>
      <c r="BZ44" s="4">
        <v>100</v>
      </c>
      <c r="CA44" s="4">
        <v>100</v>
      </c>
      <c r="CB44" s="4">
        <v>100</v>
      </c>
      <c r="CC44" s="4">
        <v>100</v>
      </c>
      <c r="CD44" s="4">
        <v>100</v>
      </c>
      <c r="CE44" s="4">
        <v>100</v>
      </c>
      <c r="CF44" s="4">
        <v>100</v>
      </c>
      <c r="CG44" s="4">
        <v>100</v>
      </c>
      <c r="CH44" s="4">
        <v>100</v>
      </c>
      <c r="CI44" s="4">
        <v>100</v>
      </c>
      <c r="CJ44" s="4">
        <v>100</v>
      </c>
      <c r="CK44" s="4">
        <v>100</v>
      </c>
      <c r="CL44" s="4">
        <v>100</v>
      </c>
      <c r="CM44" s="4">
        <v>100</v>
      </c>
      <c r="CN44" s="4">
        <v>100</v>
      </c>
      <c r="CO44" s="4">
        <v>100</v>
      </c>
      <c r="CP44" s="4">
        <v>100</v>
      </c>
      <c r="CQ44" s="4">
        <v>100</v>
      </c>
      <c r="CR44" s="4">
        <v>100</v>
      </c>
      <c r="CS44" s="4">
        <v>100</v>
      </c>
      <c r="CT44" s="4">
        <v>100</v>
      </c>
      <c r="CU44" s="4">
        <v>100</v>
      </c>
      <c r="CV44" s="4">
        <v>100</v>
      </c>
      <c r="CW44" s="4">
        <v>100</v>
      </c>
      <c r="CX44" s="4">
        <v>100</v>
      </c>
      <c r="CY44" s="4">
        <v>100</v>
      </c>
      <c r="CZ44" s="4">
        <v>100</v>
      </c>
      <c r="DA44" s="4">
        <v>100</v>
      </c>
      <c r="DB44" s="4">
        <v>100</v>
      </c>
      <c r="DC44" s="4">
        <v>100</v>
      </c>
      <c r="DD44" s="4">
        <v>100</v>
      </c>
      <c r="DE44" s="4">
        <v>100</v>
      </c>
      <c r="DF44" s="4">
        <v>100</v>
      </c>
      <c r="DG44" s="4">
        <v>100</v>
      </c>
      <c r="DH44" s="4">
        <v>100</v>
      </c>
      <c r="DI44" s="4">
        <v>100</v>
      </c>
      <c r="DJ44" s="4">
        <v>6.3</v>
      </c>
      <c r="DK44" s="4">
        <v>133</v>
      </c>
      <c r="DL44" s="4">
        <v>3.9</v>
      </c>
      <c r="DM44" s="4">
        <v>64.099999999999994</v>
      </c>
      <c r="DN44" s="4">
        <v>82.5</v>
      </c>
      <c r="DO44" s="4">
        <v>2.6</v>
      </c>
      <c r="DP44" s="4">
        <v>64.5</v>
      </c>
      <c r="DQ44" s="4">
        <v>45.8</v>
      </c>
      <c r="DR44" s="4">
        <v>52.9</v>
      </c>
      <c r="DS44" s="4">
        <v>37.4</v>
      </c>
      <c r="DT44" s="4">
        <v>575.5</v>
      </c>
      <c r="DU44" s="4">
        <v>49.4</v>
      </c>
      <c r="DV44" s="3">
        <v>88.6</v>
      </c>
      <c r="DW44" s="4">
        <v>11.2</v>
      </c>
      <c r="DX44" s="4">
        <v>67.400000000000006</v>
      </c>
      <c r="DY44" s="4">
        <v>8.4</v>
      </c>
      <c r="DZ44" s="4">
        <v>18.2</v>
      </c>
      <c r="EA44" s="4">
        <v>134</v>
      </c>
      <c r="EB44" s="4">
        <v>159.4</v>
      </c>
      <c r="EC44" s="4">
        <v>9.5</v>
      </c>
      <c r="ED44" s="4">
        <v>44</v>
      </c>
      <c r="EE44" s="4">
        <v>119.1</v>
      </c>
      <c r="EF44" s="4">
        <v>217.6</v>
      </c>
      <c r="EG44" s="4">
        <v>33.299999999999997</v>
      </c>
      <c r="EH44" s="4">
        <v>20.9</v>
      </c>
      <c r="EI44" s="4">
        <v>21.2</v>
      </c>
      <c r="EJ44" s="4">
        <v>27.1</v>
      </c>
      <c r="EK44" s="4">
        <v>16.399999999999999</v>
      </c>
      <c r="EL44" s="4">
        <v>104.7</v>
      </c>
      <c r="EM44" s="4">
        <v>19.7</v>
      </c>
      <c r="EN44" s="4">
        <v>15.4</v>
      </c>
      <c r="EO44" s="4">
        <v>98.8</v>
      </c>
      <c r="EP44" s="4">
        <v>36.299999999999997</v>
      </c>
      <c r="EQ44" s="4">
        <v>105.9</v>
      </c>
      <c r="ER44" s="4">
        <v>84.9</v>
      </c>
      <c r="ES44" s="4">
        <v>59.8</v>
      </c>
      <c r="ET44" s="3">
        <v>41.6</v>
      </c>
      <c r="EU44" s="3">
        <v>39.700000000000003</v>
      </c>
      <c r="EV44" s="3">
        <v>46</v>
      </c>
      <c r="EW44" s="3">
        <v>28.8</v>
      </c>
      <c r="EX44" s="3">
        <v>17.3</v>
      </c>
      <c r="EY44" s="3">
        <v>89.8</v>
      </c>
      <c r="EZ44" s="3">
        <v>25.9</v>
      </c>
      <c r="FA44" s="3">
        <v>25.8</v>
      </c>
      <c r="FB44" s="3">
        <v>22.7</v>
      </c>
      <c r="FC44" s="3">
        <v>15.9</v>
      </c>
      <c r="FD44" s="3">
        <v>25.2</v>
      </c>
      <c r="FE44" s="3">
        <v>11.5</v>
      </c>
      <c r="FF44" s="3">
        <v>12.8</v>
      </c>
      <c r="FG44" s="3">
        <v>33.9</v>
      </c>
      <c r="FH44" s="3">
        <v>18.7</v>
      </c>
      <c r="FI44" s="3">
        <v>28.3</v>
      </c>
      <c r="FJ44" s="3">
        <v>107.9</v>
      </c>
      <c r="FK44" s="3">
        <v>14.6</v>
      </c>
      <c r="FL44" s="3">
        <v>12.9</v>
      </c>
      <c r="FM44" s="3">
        <v>85.4</v>
      </c>
    </row>
    <row r="45" spans="1:169" x14ac:dyDescent="0.35">
      <c r="A45" s="2">
        <v>1914</v>
      </c>
      <c r="B45" s="4">
        <v>112.4</v>
      </c>
      <c r="C45" s="4">
        <v>119.3</v>
      </c>
      <c r="D45" s="4">
        <v>94.7</v>
      </c>
      <c r="E45" s="4">
        <v>105</v>
      </c>
      <c r="F45" s="4">
        <v>97.4</v>
      </c>
      <c r="G45" s="4">
        <v>98.4</v>
      </c>
      <c r="H45" s="4">
        <v>107.5</v>
      </c>
      <c r="I45" s="3">
        <v>99.8</v>
      </c>
      <c r="J45" s="4">
        <v>105.8</v>
      </c>
      <c r="K45" s="4">
        <v>104.8</v>
      </c>
      <c r="L45" s="4">
        <v>81.5</v>
      </c>
      <c r="M45" s="4">
        <v>103.8</v>
      </c>
      <c r="N45" s="4">
        <v>94.1</v>
      </c>
      <c r="O45" s="4">
        <v>95</v>
      </c>
      <c r="P45" s="4">
        <v>98.6</v>
      </c>
      <c r="Q45" s="4">
        <v>87.8</v>
      </c>
      <c r="R45" s="4">
        <v>100.7</v>
      </c>
      <c r="S45" s="4">
        <v>91.2</v>
      </c>
      <c r="T45" s="4">
        <v>89.5</v>
      </c>
      <c r="U45" s="4">
        <v>80.8</v>
      </c>
      <c r="V45" s="4">
        <v>95.6</v>
      </c>
      <c r="W45" s="4">
        <v>92.1</v>
      </c>
      <c r="X45" s="4">
        <v>99</v>
      </c>
      <c r="Y45" s="4">
        <v>84.6</v>
      </c>
      <c r="Z45" s="4">
        <v>101.7</v>
      </c>
      <c r="AA45" s="3">
        <v>98.9</v>
      </c>
      <c r="AB45" s="4">
        <v>94.2</v>
      </c>
      <c r="AC45" s="4">
        <v>149.80000000000001</v>
      </c>
      <c r="AD45" s="4">
        <v>305.10000000000002</v>
      </c>
      <c r="AE45" s="4">
        <v>82.8</v>
      </c>
      <c r="AF45" s="4">
        <v>82</v>
      </c>
      <c r="AG45" s="4">
        <v>133.1</v>
      </c>
      <c r="AH45" s="4">
        <v>101.8</v>
      </c>
      <c r="AI45" s="4">
        <v>80.400000000000006</v>
      </c>
      <c r="AJ45" s="4">
        <v>78.400000000000006</v>
      </c>
      <c r="AK45" s="4">
        <v>112.9</v>
      </c>
      <c r="AL45" s="3">
        <v>73.3</v>
      </c>
      <c r="AM45" s="4">
        <v>87.6</v>
      </c>
      <c r="AN45" s="3">
        <v>68.3</v>
      </c>
      <c r="AO45" s="4">
        <v>104.7</v>
      </c>
      <c r="AP45" s="4">
        <v>81.7</v>
      </c>
      <c r="AQ45" s="4">
        <v>66.8</v>
      </c>
      <c r="AR45" s="4">
        <v>133.6</v>
      </c>
      <c r="AS45" s="4">
        <v>97.9</v>
      </c>
      <c r="AT45" s="4">
        <v>101.5</v>
      </c>
      <c r="AU45" s="4">
        <v>100.5</v>
      </c>
      <c r="AV45" s="4">
        <v>64.2</v>
      </c>
      <c r="AW45" s="4">
        <v>69.900000000000006</v>
      </c>
      <c r="AX45" s="4">
        <v>67.900000000000006</v>
      </c>
      <c r="AY45" s="4">
        <v>121.3</v>
      </c>
      <c r="AZ45" s="4">
        <v>106.8</v>
      </c>
      <c r="BA45" s="4">
        <v>98.5</v>
      </c>
      <c r="BB45" s="4">
        <v>94.3</v>
      </c>
      <c r="BC45" s="4">
        <v>101.2</v>
      </c>
      <c r="BD45" s="4">
        <v>84.4</v>
      </c>
      <c r="BE45" s="3">
        <v>85.3</v>
      </c>
      <c r="BF45" s="4">
        <v>99.8</v>
      </c>
      <c r="BG45" s="4">
        <v>115.2</v>
      </c>
      <c r="BH45" s="3">
        <v>98.3</v>
      </c>
      <c r="BI45" s="4">
        <v>102.4</v>
      </c>
      <c r="BJ45" s="4">
        <v>76</v>
      </c>
      <c r="BK45" s="3">
        <v>91.3</v>
      </c>
      <c r="BL45" s="4">
        <v>90.3</v>
      </c>
      <c r="BM45" s="4">
        <v>92.2</v>
      </c>
      <c r="BN45" s="4">
        <v>93.7</v>
      </c>
      <c r="BO45" s="4">
        <v>100.8</v>
      </c>
      <c r="BP45" s="4">
        <v>86.2</v>
      </c>
      <c r="BQ45" s="4">
        <v>109.1</v>
      </c>
      <c r="BR45" s="3">
        <v>87.6</v>
      </c>
      <c r="BS45" s="3">
        <v>98.8</v>
      </c>
      <c r="BT45" s="4">
        <v>105.5</v>
      </c>
      <c r="BU45" s="4">
        <v>101.3</v>
      </c>
      <c r="BV45" s="4">
        <v>98.9</v>
      </c>
      <c r="BW45" s="4">
        <v>91.9</v>
      </c>
      <c r="BX45" s="3">
        <v>78.099999999999994</v>
      </c>
      <c r="BY45" s="4">
        <v>86.9</v>
      </c>
      <c r="BZ45" s="4">
        <v>94.2</v>
      </c>
      <c r="CA45" s="4">
        <v>103.2</v>
      </c>
      <c r="CB45" s="3">
        <v>86.6</v>
      </c>
      <c r="CC45" s="3">
        <v>91.7</v>
      </c>
      <c r="CD45" s="4">
        <v>106.8</v>
      </c>
      <c r="CE45" s="4">
        <v>94.2</v>
      </c>
      <c r="CF45" s="4">
        <v>103.9</v>
      </c>
      <c r="CG45" s="4">
        <v>107</v>
      </c>
      <c r="CH45" s="4">
        <v>118.6</v>
      </c>
      <c r="CI45" s="4">
        <v>113.9</v>
      </c>
      <c r="CJ45" s="4">
        <v>103.3</v>
      </c>
      <c r="CK45" s="4">
        <v>113.3</v>
      </c>
      <c r="CL45" s="4">
        <v>97.4</v>
      </c>
      <c r="CM45" s="4">
        <v>103.6</v>
      </c>
      <c r="CN45" s="4">
        <v>115.7</v>
      </c>
      <c r="CO45" s="4">
        <v>101.4</v>
      </c>
      <c r="CP45" s="4">
        <v>95.3</v>
      </c>
      <c r="CQ45" s="4">
        <v>113.3</v>
      </c>
      <c r="CR45" s="4">
        <v>105.9</v>
      </c>
      <c r="CS45" s="4">
        <v>200.9</v>
      </c>
      <c r="CT45" s="4">
        <v>326.39999999999998</v>
      </c>
      <c r="CU45" s="4">
        <v>91.7</v>
      </c>
      <c r="CV45" s="4">
        <v>108.7</v>
      </c>
      <c r="CW45" s="4">
        <v>90.7</v>
      </c>
      <c r="CX45" s="4">
        <v>92</v>
      </c>
      <c r="CY45" s="4">
        <v>126.4</v>
      </c>
      <c r="CZ45" s="4">
        <v>114.5</v>
      </c>
      <c r="DA45" s="4">
        <v>98</v>
      </c>
      <c r="DB45" s="4">
        <v>33.9</v>
      </c>
      <c r="DC45" s="4">
        <v>56.8</v>
      </c>
      <c r="DD45" s="4">
        <v>98</v>
      </c>
      <c r="DE45" s="4">
        <v>80.2</v>
      </c>
      <c r="DF45" s="4">
        <v>77.099999999999994</v>
      </c>
      <c r="DG45" s="4">
        <v>78.3</v>
      </c>
      <c r="DH45" s="4">
        <v>86.9</v>
      </c>
      <c r="DI45" s="4">
        <v>91.6</v>
      </c>
      <c r="DJ45" s="4">
        <v>6.7</v>
      </c>
      <c r="DK45" s="4">
        <v>237.6</v>
      </c>
      <c r="DL45" s="4">
        <v>11.2</v>
      </c>
      <c r="DM45" s="4">
        <v>55.7</v>
      </c>
      <c r="DN45" s="4">
        <v>65.900000000000006</v>
      </c>
      <c r="DO45" s="4">
        <v>3.5</v>
      </c>
      <c r="DP45" s="4">
        <v>70.599999999999994</v>
      </c>
      <c r="DQ45" s="4">
        <v>36.700000000000003</v>
      </c>
      <c r="DR45" s="4">
        <v>43.9</v>
      </c>
      <c r="DS45" s="4">
        <v>44.2</v>
      </c>
      <c r="DT45" s="4">
        <v>343.9</v>
      </c>
      <c r="DU45" s="4">
        <v>44.9</v>
      </c>
      <c r="DV45" s="4">
        <v>57</v>
      </c>
      <c r="DW45" s="4">
        <v>11.2</v>
      </c>
      <c r="DX45" s="4">
        <v>54.3</v>
      </c>
      <c r="DY45" s="4">
        <v>5</v>
      </c>
      <c r="DZ45" s="4">
        <v>24.5</v>
      </c>
      <c r="EA45" s="4">
        <v>119.6</v>
      </c>
      <c r="EB45" s="4">
        <v>144.80000000000001</v>
      </c>
      <c r="EC45" s="4">
        <v>7.7</v>
      </c>
      <c r="ED45" s="4">
        <v>27</v>
      </c>
      <c r="EE45" s="4">
        <v>76.599999999999994</v>
      </c>
      <c r="EF45" s="4">
        <v>146.30000000000001</v>
      </c>
      <c r="EG45" s="4">
        <v>34.200000000000003</v>
      </c>
      <c r="EH45" s="4">
        <v>22.7</v>
      </c>
      <c r="EI45" s="4">
        <v>20.7</v>
      </c>
      <c r="EJ45" s="4">
        <v>26.5</v>
      </c>
      <c r="EK45" s="4">
        <v>17.8</v>
      </c>
      <c r="EL45" s="4">
        <v>104.8</v>
      </c>
      <c r="EM45" s="4">
        <v>19.100000000000001</v>
      </c>
      <c r="EN45" s="4">
        <v>15.9</v>
      </c>
      <c r="EO45" s="4">
        <v>129</v>
      </c>
      <c r="EP45" s="4">
        <v>34.799999999999997</v>
      </c>
      <c r="EQ45" s="4">
        <v>112.3</v>
      </c>
      <c r="ER45" s="4">
        <v>74.7</v>
      </c>
      <c r="ES45" s="4">
        <v>55.3</v>
      </c>
      <c r="ET45" s="3">
        <v>35.799999999999997</v>
      </c>
      <c r="EU45" s="3">
        <v>41.4</v>
      </c>
      <c r="EV45" s="3">
        <v>45.8</v>
      </c>
      <c r="EW45" s="3">
        <v>58.3</v>
      </c>
      <c r="EX45" s="3">
        <v>39.700000000000003</v>
      </c>
      <c r="EY45" s="3">
        <v>89.8</v>
      </c>
      <c r="EZ45" s="3">
        <v>24.7</v>
      </c>
      <c r="FA45" s="3">
        <v>23.1</v>
      </c>
      <c r="FB45" s="3">
        <v>22</v>
      </c>
      <c r="FC45" s="3">
        <v>20.399999999999999</v>
      </c>
      <c r="FD45" s="3">
        <v>28.5</v>
      </c>
      <c r="FE45" s="3">
        <v>10.4</v>
      </c>
      <c r="FF45" s="3">
        <v>3</v>
      </c>
      <c r="FG45" s="3">
        <v>16.8</v>
      </c>
      <c r="FH45" s="3">
        <v>17.3</v>
      </c>
      <c r="FI45" s="3">
        <v>23.4</v>
      </c>
      <c r="FJ45" s="3">
        <v>72</v>
      </c>
      <c r="FK45" s="3">
        <v>10.5</v>
      </c>
      <c r="FL45" s="3">
        <v>12</v>
      </c>
      <c r="FM45" s="3">
        <v>73.599999999999994</v>
      </c>
    </row>
    <row r="46" spans="1:169" x14ac:dyDescent="0.35">
      <c r="A46" s="2">
        <v>1915</v>
      </c>
      <c r="B46" s="3">
        <v>108.5</v>
      </c>
      <c r="C46" s="4">
        <v>144.1</v>
      </c>
      <c r="D46" s="4">
        <v>101.2</v>
      </c>
      <c r="E46" s="4">
        <v>100.9</v>
      </c>
      <c r="F46" s="4">
        <v>96.3</v>
      </c>
      <c r="G46" s="4">
        <v>92.4</v>
      </c>
      <c r="H46" s="4">
        <v>131.4</v>
      </c>
      <c r="I46" s="4">
        <v>107.8</v>
      </c>
      <c r="J46" s="4">
        <v>101.6</v>
      </c>
      <c r="K46" s="4">
        <v>118.3</v>
      </c>
      <c r="L46" s="4">
        <v>74.400000000000006</v>
      </c>
      <c r="M46" s="4">
        <v>107.8</v>
      </c>
      <c r="N46" s="4">
        <v>92.5</v>
      </c>
      <c r="O46" s="4">
        <v>94.6</v>
      </c>
      <c r="P46" s="4">
        <v>100.2</v>
      </c>
      <c r="Q46" s="4">
        <v>66.3</v>
      </c>
      <c r="R46" s="4">
        <v>96.9</v>
      </c>
      <c r="S46" s="4">
        <v>88.5</v>
      </c>
      <c r="T46" s="4">
        <v>115.6</v>
      </c>
      <c r="U46" s="4">
        <v>131.30000000000001</v>
      </c>
      <c r="V46" s="4">
        <v>98</v>
      </c>
      <c r="W46" s="4">
        <v>99.7</v>
      </c>
      <c r="X46" s="4">
        <v>97.9</v>
      </c>
      <c r="Y46" s="4">
        <v>77.7</v>
      </c>
      <c r="Z46" s="3">
        <v>163.80000000000001</v>
      </c>
      <c r="AA46" s="4">
        <v>161.69999999999999</v>
      </c>
      <c r="AB46" s="4">
        <v>125.6</v>
      </c>
      <c r="AC46" s="4">
        <v>216.8</v>
      </c>
      <c r="AD46" s="4">
        <v>1258.4000000000001</v>
      </c>
      <c r="AE46" s="4">
        <v>192.1</v>
      </c>
      <c r="AF46" s="4">
        <v>90.2</v>
      </c>
      <c r="AG46" s="4">
        <v>825.1</v>
      </c>
      <c r="AH46" s="4">
        <v>131.30000000000001</v>
      </c>
      <c r="AI46" s="4">
        <v>114.7</v>
      </c>
      <c r="AJ46" s="4">
        <v>97.5</v>
      </c>
      <c r="AK46" s="4">
        <v>177.5</v>
      </c>
      <c r="AL46" s="4">
        <v>97.3</v>
      </c>
      <c r="AM46" s="4">
        <v>167</v>
      </c>
      <c r="AN46" s="4">
        <v>48.8</v>
      </c>
      <c r="AO46" s="4">
        <v>133.4</v>
      </c>
      <c r="AP46" s="4">
        <v>90.7</v>
      </c>
      <c r="AQ46" s="4">
        <v>76.400000000000006</v>
      </c>
      <c r="AR46" s="4">
        <v>195.9</v>
      </c>
      <c r="AS46" s="4">
        <v>102.1</v>
      </c>
      <c r="AT46" s="4">
        <v>101.5</v>
      </c>
      <c r="AU46" s="4">
        <v>437.8</v>
      </c>
      <c r="AV46" s="4">
        <v>169.1</v>
      </c>
      <c r="AW46" s="4">
        <v>142.80000000000001</v>
      </c>
      <c r="AX46" s="4">
        <v>97.5</v>
      </c>
      <c r="AY46" s="4">
        <v>431.1</v>
      </c>
      <c r="AZ46" s="4">
        <v>213</v>
      </c>
      <c r="BA46" s="4">
        <v>539.5</v>
      </c>
      <c r="BB46" s="4">
        <v>89.8</v>
      </c>
      <c r="BC46" s="4">
        <v>108.9</v>
      </c>
      <c r="BD46" s="4">
        <v>75.400000000000006</v>
      </c>
      <c r="BE46" s="4">
        <v>107.5</v>
      </c>
      <c r="BF46" s="4">
        <v>97</v>
      </c>
      <c r="BG46" s="4">
        <v>166.3</v>
      </c>
      <c r="BH46" s="4">
        <v>89.2</v>
      </c>
      <c r="BI46" s="4">
        <v>99.9</v>
      </c>
      <c r="BJ46" s="4">
        <v>77.5</v>
      </c>
      <c r="BK46" s="4">
        <v>82.5</v>
      </c>
      <c r="BL46" s="4">
        <v>80.7</v>
      </c>
      <c r="BM46" s="4">
        <v>87.2</v>
      </c>
      <c r="BN46" s="4">
        <v>111.1</v>
      </c>
      <c r="BO46" s="4">
        <v>105</v>
      </c>
      <c r="BP46" s="3">
        <v>81.3</v>
      </c>
      <c r="BQ46" s="4">
        <v>92.2</v>
      </c>
      <c r="BR46" s="4">
        <v>92</v>
      </c>
      <c r="BS46" s="4">
        <v>95.4</v>
      </c>
      <c r="BT46" s="4">
        <v>103.5</v>
      </c>
      <c r="BU46" s="4">
        <v>101.7</v>
      </c>
      <c r="BV46" s="4">
        <v>96.2</v>
      </c>
      <c r="BW46" s="4">
        <v>88.8</v>
      </c>
      <c r="BX46" s="4">
        <v>105.6</v>
      </c>
      <c r="BY46" s="4">
        <v>121.3</v>
      </c>
      <c r="BZ46" s="4">
        <v>115.8</v>
      </c>
      <c r="CA46" s="4">
        <v>114.2</v>
      </c>
      <c r="CB46" s="4">
        <v>93.4</v>
      </c>
      <c r="CC46" s="4">
        <v>113.7</v>
      </c>
      <c r="CD46" s="4">
        <v>109.3</v>
      </c>
      <c r="CE46" s="4">
        <v>101.3</v>
      </c>
      <c r="CF46" s="4">
        <v>84.5</v>
      </c>
      <c r="CG46" s="4">
        <v>109.6</v>
      </c>
      <c r="CH46" s="4">
        <v>144.1</v>
      </c>
      <c r="CI46" s="4">
        <v>148</v>
      </c>
      <c r="CJ46" s="4">
        <v>85</v>
      </c>
      <c r="CK46" s="4">
        <v>110.3</v>
      </c>
      <c r="CL46" s="4">
        <v>64.900000000000006</v>
      </c>
      <c r="CM46" s="4">
        <v>120.4</v>
      </c>
      <c r="CN46" s="4">
        <v>175.6</v>
      </c>
      <c r="CO46" s="4">
        <v>77.400000000000006</v>
      </c>
      <c r="CP46" s="4">
        <v>88.4</v>
      </c>
      <c r="CQ46" s="4">
        <v>111.5</v>
      </c>
      <c r="CR46" s="4">
        <v>66</v>
      </c>
      <c r="CS46" s="4">
        <v>314.5</v>
      </c>
      <c r="CT46" s="4">
        <v>138.4</v>
      </c>
      <c r="CU46" s="4">
        <v>110.9</v>
      </c>
      <c r="CV46" s="4">
        <v>87.7</v>
      </c>
      <c r="CW46" s="4">
        <v>71.400000000000006</v>
      </c>
      <c r="CX46" s="4">
        <v>98.7</v>
      </c>
      <c r="CY46" s="4">
        <v>104.4</v>
      </c>
      <c r="CZ46" s="4">
        <v>105.2</v>
      </c>
      <c r="DA46" s="4">
        <v>102.8</v>
      </c>
      <c r="DB46" s="4">
        <v>59.3</v>
      </c>
      <c r="DC46" s="4">
        <v>47.1</v>
      </c>
      <c r="DD46" s="4">
        <v>47.3</v>
      </c>
      <c r="DE46" s="4">
        <v>108.4</v>
      </c>
      <c r="DF46" s="4">
        <v>79.2</v>
      </c>
      <c r="DG46" s="4">
        <v>48.1</v>
      </c>
      <c r="DH46" s="4">
        <v>62</v>
      </c>
      <c r="DI46" s="4">
        <v>80.099999999999994</v>
      </c>
      <c r="DJ46" s="3">
        <v>8.6</v>
      </c>
      <c r="DK46" s="4">
        <v>415.4</v>
      </c>
      <c r="DL46" s="4">
        <v>49.2</v>
      </c>
      <c r="DM46" s="4">
        <v>124.3</v>
      </c>
      <c r="DN46" s="4">
        <v>71.7</v>
      </c>
      <c r="DO46" s="3">
        <v>20.100000000000001</v>
      </c>
      <c r="DP46" s="4">
        <v>111.2</v>
      </c>
      <c r="DQ46" s="4">
        <v>56.6</v>
      </c>
      <c r="DR46" s="4">
        <v>52.5</v>
      </c>
      <c r="DS46" s="4">
        <v>78.400000000000006</v>
      </c>
      <c r="DT46" s="4">
        <v>417</v>
      </c>
      <c r="DU46" s="4">
        <v>88.9</v>
      </c>
      <c r="DV46" s="4">
        <v>40</v>
      </c>
      <c r="DW46" s="4">
        <v>14.2</v>
      </c>
      <c r="DX46" s="4">
        <v>61.2</v>
      </c>
      <c r="DY46" s="4">
        <v>4.3</v>
      </c>
      <c r="DZ46" s="4">
        <v>34.5</v>
      </c>
      <c r="EA46" s="4">
        <v>121</v>
      </c>
      <c r="EB46" s="4">
        <v>187.5</v>
      </c>
      <c r="EC46" s="4">
        <v>54.9</v>
      </c>
      <c r="ED46" s="4">
        <v>72.900000000000006</v>
      </c>
      <c r="EE46" s="4">
        <v>169.6</v>
      </c>
      <c r="EF46" s="4">
        <v>207.8</v>
      </c>
      <c r="EG46" s="3">
        <v>111.6</v>
      </c>
      <c r="EH46" s="4">
        <v>73</v>
      </c>
      <c r="EI46" s="3">
        <v>185</v>
      </c>
      <c r="EJ46" s="3">
        <v>20.5</v>
      </c>
      <c r="EK46" s="4">
        <v>19.600000000000001</v>
      </c>
      <c r="EL46" s="4">
        <v>113.8</v>
      </c>
      <c r="EM46" s="4">
        <v>31.3</v>
      </c>
      <c r="EN46" s="4">
        <v>12.7</v>
      </c>
      <c r="EO46" s="4">
        <v>181.4</v>
      </c>
      <c r="EP46" s="4">
        <v>21</v>
      </c>
      <c r="EQ46" s="4">
        <v>127.4</v>
      </c>
      <c r="ER46" s="4">
        <v>115.5</v>
      </c>
      <c r="ES46" s="4">
        <v>38.200000000000003</v>
      </c>
      <c r="ET46" s="3">
        <v>29.7</v>
      </c>
      <c r="EU46" s="3">
        <v>38.6</v>
      </c>
      <c r="EV46" s="3">
        <v>33.9</v>
      </c>
      <c r="EW46" s="3">
        <v>95</v>
      </c>
      <c r="EX46" s="3">
        <v>15.9</v>
      </c>
      <c r="EY46" s="3">
        <v>91.7</v>
      </c>
      <c r="EZ46" s="3">
        <v>20.9</v>
      </c>
      <c r="FA46" s="3">
        <v>17.600000000000001</v>
      </c>
      <c r="FB46" s="3">
        <v>23.2</v>
      </c>
      <c r="FC46" s="3">
        <v>16.899999999999999</v>
      </c>
      <c r="FD46" s="3">
        <v>25.5</v>
      </c>
      <c r="FE46" s="3">
        <v>10.5</v>
      </c>
      <c r="FF46" s="3">
        <v>7.1</v>
      </c>
      <c r="FG46" s="3">
        <v>19.399999999999999</v>
      </c>
      <c r="FH46" s="3">
        <v>10.199999999999999</v>
      </c>
      <c r="FI46" s="3">
        <v>35.1</v>
      </c>
      <c r="FJ46" s="3">
        <v>79.8</v>
      </c>
      <c r="FK46" s="3">
        <v>8</v>
      </c>
      <c r="FL46" s="3">
        <v>8.6999999999999993</v>
      </c>
      <c r="FM46" s="3">
        <v>69.3</v>
      </c>
    </row>
    <row r="47" spans="1:169" x14ac:dyDescent="0.35">
      <c r="A47" s="2">
        <v>1916</v>
      </c>
      <c r="B47" s="4">
        <v>122.4</v>
      </c>
      <c r="C47" s="4">
        <v>153.19999999999999</v>
      </c>
      <c r="D47" s="4">
        <v>106</v>
      </c>
      <c r="E47" s="4">
        <v>112.5</v>
      </c>
      <c r="F47" s="4">
        <v>117.5</v>
      </c>
      <c r="G47" s="4">
        <v>101.9</v>
      </c>
      <c r="H47" s="4">
        <v>129.4</v>
      </c>
      <c r="I47" s="4">
        <v>129.4</v>
      </c>
      <c r="J47" s="4">
        <v>109.5</v>
      </c>
      <c r="K47" s="4">
        <v>147.80000000000001</v>
      </c>
      <c r="L47" s="4">
        <v>116.5</v>
      </c>
      <c r="M47" s="4">
        <v>133.4</v>
      </c>
      <c r="N47" s="3">
        <v>93.9</v>
      </c>
      <c r="O47" s="4">
        <v>124.9</v>
      </c>
      <c r="P47" s="4">
        <v>97.6</v>
      </c>
      <c r="Q47" s="4">
        <v>102.3</v>
      </c>
      <c r="R47" s="4">
        <v>104.6</v>
      </c>
      <c r="S47" s="4">
        <v>119.5</v>
      </c>
      <c r="T47" s="4">
        <v>174.3</v>
      </c>
      <c r="U47" s="4">
        <v>228.3</v>
      </c>
      <c r="V47" s="4">
        <v>152.30000000000001</v>
      </c>
      <c r="W47" s="4">
        <v>138.9</v>
      </c>
      <c r="X47" s="4">
        <v>110.4</v>
      </c>
      <c r="Y47" s="4">
        <v>72.5</v>
      </c>
      <c r="Z47" s="4">
        <v>239.6</v>
      </c>
      <c r="AA47" s="4">
        <v>199.2</v>
      </c>
      <c r="AB47" s="4">
        <v>122.3</v>
      </c>
      <c r="AC47" s="4">
        <v>179.4</v>
      </c>
      <c r="AD47" s="4">
        <v>931.4</v>
      </c>
      <c r="AE47" s="4">
        <v>210.5</v>
      </c>
      <c r="AF47" s="4">
        <v>80.400000000000006</v>
      </c>
      <c r="AG47" s="4">
        <v>1339.5</v>
      </c>
      <c r="AH47" s="4">
        <v>128.9</v>
      </c>
      <c r="AI47" s="4">
        <v>89.1</v>
      </c>
      <c r="AJ47" s="4">
        <v>108.4</v>
      </c>
      <c r="AK47" s="4">
        <v>176.8</v>
      </c>
      <c r="AL47" s="4">
        <v>81.3</v>
      </c>
      <c r="AM47" s="4">
        <v>180</v>
      </c>
      <c r="AN47" s="4">
        <v>49.8</v>
      </c>
      <c r="AO47" s="3">
        <v>205.1</v>
      </c>
      <c r="AP47" s="4">
        <v>103.8</v>
      </c>
      <c r="AQ47" s="4">
        <v>81.400000000000006</v>
      </c>
      <c r="AR47" s="4">
        <v>220.1</v>
      </c>
      <c r="AS47" s="4">
        <v>107.6</v>
      </c>
      <c r="AT47" s="4">
        <v>134.1</v>
      </c>
      <c r="AU47" s="3">
        <v>1171</v>
      </c>
      <c r="AV47" s="3">
        <v>340.5</v>
      </c>
      <c r="AW47" s="4">
        <v>224.9</v>
      </c>
      <c r="AX47" s="4">
        <v>139.69999999999999</v>
      </c>
      <c r="AY47" s="4">
        <v>499.7</v>
      </c>
      <c r="AZ47" s="4">
        <v>349</v>
      </c>
      <c r="BA47" s="4">
        <v>1615.6</v>
      </c>
      <c r="BB47" s="4">
        <v>99.7</v>
      </c>
      <c r="BC47" s="4">
        <v>108.6</v>
      </c>
      <c r="BD47" s="4">
        <v>82.9</v>
      </c>
      <c r="BE47" s="4">
        <v>110.7</v>
      </c>
      <c r="BF47" s="4">
        <v>99.2</v>
      </c>
      <c r="BG47" s="4">
        <v>201.7</v>
      </c>
      <c r="BH47" s="4">
        <v>102.6</v>
      </c>
      <c r="BI47" s="4">
        <v>116.8</v>
      </c>
      <c r="BJ47" s="4">
        <v>91.5</v>
      </c>
      <c r="BK47" s="4">
        <v>97.6</v>
      </c>
      <c r="BL47" s="4">
        <v>112.7</v>
      </c>
      <c r="BM47" s="4">
        <v>97.7</v>
      </c>
      <c r="BN47" s="4">
        <v>142.4</v>
      </c>
      <c r="BO47" s="4">
        <v>122.6</v>
      </c>
      <c r="BP47" s="4">
        <v>104.4</v>
      </c>
      <c r="BQ47" s="4">
        <v>139</v>
      </c>
      <c r="BR47" s="4">
        <v>109.8</v>
      </c>
      <c r="BS47" s="4">
        <v>105.3</v>
      </c>
      <c r="BT47" s="4">
        <v>107.7</v>
      </c>
      <c r="BU47" s="3">
        <v>143.6</v>
      </c>
      <c r="BV47" s="4">
        <v>103</v>
      </c>
      <c r="BW47" s="4">
        <v>93.8</v>
      </c>
      <c r="BX47" s="4">
        <v>82.7</v>
      </c>
      <c r="BY47" s="4">
        <v>97.3</v>
      </c>
      <c r="BZ47" s="4">
        <v>142.19999999999999</v>
      </c>
      <c r="CA47" s="4">
        <v>160.30000000000001</v>
      </c>
      <c r="CB47" s="4">
        <v>125.8</v>
      </c>
      <c r="CC47" s="4">
        <v>160.5</v>
      </c>
      <c r="CD47" s="4">
        <v>132.4</v>
      </c>
      <c r="CE47" s="4">
        <v>149.69999999999999</v>
      </c>
      <c r="CF47" s="4">
        <v>103.8</v>
      </c>
      <c r="CG47" s="4">
        <v>109.1</v>
      </c>
      <c r="CH47" s="4">
        <v>136.9</v>
      </c>
      <c r="CI47" s="4">
        <v>155.69999999999999</v>
      </c>
      <c r="CJ47" s="4">
        <v>79.8</v>
      </c>
      <c r="CK47" s="4">
        <v>118</v>
      </c>
      <c r="CL47" s="4">
        <v>72.099999999999994</v>
      </c>
      <c r="CM47" s="4">
        <v>139.5</v>
      </c>
      <c r="CN47" s="4">
        <v>211.9</v>
      </c>
      <c r="CO47" s="4">
        <v>76.900000000000006</v>
      </c>
      <c r="CP47" s="4">
        <v>83.5</v>
      </c>
      <c r="CQ47" s="4">
        <v>145</v>
      </c>
      <c r="CR47" s="4">
        <v>58.1</v>
      </c>
      <c r="CS47" s="4">
        <v>355.9</v>
      </c>
      <c r="CT47" s="4">
        <v>107.5</v>
      </c>
      <c r="CU47" s="4">
        <v>116</v>
      </c>
      <c r="CV47" s="4">
        <v>100.5</v>
      </c>
      <c r="CW47" s="4">
        <v>76</v>
      </c>
      <c r="CX47" s="4">
        <v>117.4</v>
      </c>
      <c r="CY47" s="4">
        <v>118</v>
      </c>
      <c r="CZ47" s="4">
        <v>117.6</v>
      </c>
      <c r="DA47" s="4">
        <v>126.8</v>
      </c>
      <c r="DB47" s="4">
        <v>113.9</v>
      </c>
      <c r="DC47" s="4">
        <v>118.8</v>
      </c>
      <c r="DD47" s="4">
        <v>34.6</v>
      </c>
      <c r="DE47" s="4">
        <v>162.30000000000001</v>
      </c>
      <c r="DF47" s="4">
        <v>100.4</v>
      </c>
      <c r="DG47" s="4">
        <v>69.900000000000006</v>
      </c>
      <c r="DH47" s="4">
        <v>44.6</v>
      </c>
      <c r="DI47" s="4">
        <v>78.2</v>
      </c>
      <c r="DJ47" s="4">
        <v>9.5</v>
      </c>
      <c r="DK47" s="4">
        <v>365.6</v>
      </c>
      <c r="DL47" s="4">
        <v>38.200000000000003</v>
      </c>
      <c r="DM47" s="4">
        <v>151.80000000000001</v>
      </c>
      <c r="DN47" s="4">
        <v>78</v>
      </c>
      <c r="DO47" s="4">
        <v>36.1</v>
      </c>
      <c r="DP47" s="4">
        <v>110.5</v>
      </c>
      <c r="DQ47" s="4">
        <v>52.8</v>
      </c>
      <c r="DR47" s="4">
        <v>62.8</v>
      </c>
      <c r="DS47" s="4">
        <v>97.7</v>
      </c>
      <c r="DT47" s="4">
        <v>545.20000000000005</v>
      </c>
      <c r="DU47" s="4">
        <v>118.6</v>
      </c>
      <c r="DV47" s="4">
        <v>41.5</v>
      </c>
      <c r="DW47" s="4">
        <v>29.5</v>
      </c>
      <c r="DX47" s="4">
        <v>68.3</v>
      </c>
      <c r="DY47" s="4">
        <v>7</v>
      </c>
      <c r="DZ47" s="4">
        <v>41.8</v>
      </c>
      <c r="EA47" s="4">
        <v>172.9</v>
      </c>
      <c r="EB47" s="4">
        <v>389.3</v>
      </c>
      <c r="EC47" s="4">
        <v>276.8</v>
      </c>
      <c r="ED47" s="3">
        <v>228</v>
      </c>
      <c r="EE47" s="4">
        <v>372.2</v>
      </c>
      <c r="EF47" s="4">
        <v>335.6</v>
      </c>
      <c r="EG47" s="4">
        <v>120.7</v>
      </c>
      <c r="EH47" s="4">
        <v>179.4</v>
      </c>
      <c r="EI47" s="4">
        <v>686.4</v>
      </c>
      <c r="EJ47" s="4">
        <v>28</v>
      </c>
      <c r="EK47" s="4">
        <v>19.399999999999999</v>
      </c>
      <c r="EL47" s="4">
        <v>118.8</v>
      </c>
      <c r="EM47" s="4">
        <v>33.9</v>
      </c>
      <c r="EN47" s="4">
        <v>12.2</v>
      </c>
      <c r="EO47" s="4">
        <v>235.3</v>
      </c>
      <c r="EP47" s="4">
        <v>26.9</v>
      </c>
      <c r="EQ47" s="4">
        <v>172.6</v>
      </c>
      <c r="ER47" s="4">
        <v>164.5</v>
      </c>
      <c r="ES47" s="4">
        <v>44.9</v>
      </c>
      <c r="ET47" s="3">
        <v>39.1</v>
      </c>
      <c r="EU47" s="3">
        <v>56.2</v>
      </c>
      <c r="EV47" s="3">
        <v>38.200000000000003</v>
      </c>
      <c r="EW47" s="3">
        <v>125.5</v>
      </c>
      <c r="EX47" s="3">
        <v>15.1</v>
      </c>
      <c r="EY47" s="3">
        <v>144.80000000000001</v>
      </c>
      <c r="EZ47" s="3">
        <v>28.6</v>
      </c>
      <c r="FA47" s="3">
        <v>20.6</v>
      </c>
      <c r="FB47" s="3">
        <v>28.7</v>
      </c>
      <c r="FC47" s="3">
        <v>27</v>
      </c>
      <c r="FD47" s="3">
        <v>30.5</v>
      </c>
      <c r="FE47" s="3">
        <v>13.7</v>
      </c>
      <c r="FF47" s="3">
        <v>12.4</v>
      </c>
      <c r="FG47" s="3">
        <v>39.200000000000003</v>
      </c>
      <c r="FH47" s="3">
        <v>9.3000000000000007</v>
      </c>
      <c r="FI47" s="3">
        <v>80</v>
      </c>
      <c r="FJ47" s="3">
        <v>137.80000000000001</v>
      </c>
      <c r="FK47" s="3">
        <v>16.3</v>
      </c>
      <c r="FL47" s="3">
        <v>7.6</v>
      </c>
      <c r="FM47" s="3">
        <v>100</v>
      </c>
    </row>
    <row r="48" spans="1:169" x14ac:dyDescent="0.35">
      <c r="A48" s="2">
        <v>1917</v>
      </c>
      <c r="B48" s="4">
        <v>170.4</v>
      </c>
      <c r="C48" s="4">
        <v>237.6</v>
      </c>
      <c r="D48" s="4">
        <v>126</v>
      </c>
      <c r="E48" s="4">
        <v>162.4</v>
      </c>
      <c r="F48" s="4">
        <v>179.1</v>
      </c>
      <c r="G48" s="4">
        <v>143.5</v>
      </c>
      <c r="H48" s="4">
        <v>207.4</v>
      </c>
      <c r="I48" s="4">
        <v>169.5</v>
      </c>
      <c r="J48" s="4">
        <v>151.19999999999999</v>
      </c>
      <c r="K48" s="4">
        <v>210.7</v>
      </c>
      <c r="L48" s="4">
        <v>180.9</v>
      </c>
      <c r="M48" s="4">
        <v>176.9</v>
      </c>
      <c r="N48" s="4">
        <v>117.8</v>
      </c>
      <c r="O48" s="4">
        <v>169.4</v>
      </c>
      <c r="P48" s="3">
        <v>134.69999999999999</v>
      </c>
      <c r="Q48" s="4">
        <v>110.7</v>
      </c>
      <c r="R48" s="4">
        <v>150.1</v>
      </c>
      <c r="S48" s="4">
        <v>142.19999999999999</v>
      </c>
      <c r="T48" s="4">
        <v>192.1</v>
      </c>
      <c r="U48" s="4">
        <v>237.7</v>
      </c>
      <c r="V48" s="4">
        <v>257.39999999999998</v>
      </c>
      <c r="W48" s="4">
        <v>192.4</v>
      </c>
      <c r="X48" s="4">
        <v>129.5</v>
      </c>
      <c r="Y48" s="4">
        <v>74.7</v>
      </c>
      <c r="Z48" s="4">
        <v>252</v>
      </c>
      <c r="AA48" s="3">
        <v>208</v>
      </c>
      <c r="AB48" s="4">
        <v>90.4</v>
      </c>
      <c r="AC48" s="4">
        <v>140</v>
      </c>
      <c r="AD48" s="4">
        <v>1190.7</v>
      </c>
      <c r="AE48" s="4">
        <v>195.8</v>
      </c>
      <c r="AF48" s="4">
        <v>63.2</v>
      </c>
      <c r="AG48" s="4">
        <v>1775</v>
      </c>
      <c r="AH48" s="4">
        <v>142</v>
      </c>
      <c r="AI48" s="4">
        <v>42.9</v>
      </c>
      <c r="AJ48" s="4">
        <v>56.9</v>
      </c>
      <c r="AK48" s="4">
        <v>98.8</v>
      </c>
      <c r="AL48" s="4">
        <v>55.2</v>
      </c>
      <c r="AM48" s="4">
        <v>163.6</v>
      </c>
      <c r="AN48" s="4">
        <v>46.9</v>
      </c>
      <c r="AO48" s="4">
        <v>181.1</v>
      </c>
      <c r="AP48" s="4">
        <v>121.6</v>
      </c>
      <c r="AQ48" s="4">
        <v>82</v>
      </c>
      <c r="AR48" s="3">
        <v>232.5</v>
      </c>
      <c r="AS48" s="4">
        <v>107.1</v>
      </c>
      <c r="AT48" s="4">
        <v>168.5</v>
      </c>
      <c r="AU48" s="4">
        <v>677.8</v>
      </c>
      <c r="AV48" s="4">
        <v>374.1</v>
      </c>
      <c r="AW48" s="4">
        <v>188</v>
      </c>
      <c r="AX48" s="4">
        <v>152.30000000000001</v>
      </c>
      <c r="AY48" s="4">
        <v>483.6</v>
      </c>
      <c r="AZ48" s="4">
        <v>373</v>
      </c>
      <c r="BA48" s="4">
        <v>1416</v>
      </c>
      <c r="BB48" s="4">
        <v>105.4</v>
      </c>
      <c r="BC48" s="4">
        <v>121</v>
      </c>
      <c r="BD48" s="4">
        <v>77.599999999999994</v>
      </c>
      <c r="BE48" s="4">
        <v>84</v>
      </c>
      <c r="BF48" s="4">
        <v>109.9</v>
      </c>
      <c r="BG48" s="4">
        <v>220.5</v>
      </c>
      <c r="BH48" s="4">
        <v>124</v>
      </c>
      <c r="BI48" s="4">
        <v>168.8</v>
      </c>
      <c r="BJ48" s="3">
        <v>89.2</v>
      </c>
      <c r="BK48" s="4">
        <v>131.69999999999999</v>
      </c>
      <c r="BL48" s="4">
        <v>122.4</v>
      </c>
      <c r="BM48" s="4">
        <v>179.2</v>
      </c>
      <c r="BN48" s="4">
        <v>177.1</v>
      </c>
      <c r="BO48" s="4">
        <v>184.6</v>
      </c>
      <c r="BP48" s="4">
        <v>120.2</v>
      </c>
      <c r="BQ48" s="4">
        <v>157.30000000000001</v>
      </c>
      <c r="BR48" s="4">
        <v>117.6</v>
      </c>
      <c r="BS48" s="3">
        <v>123.4</v>
      </c>
      <c r="BT48" s="4">
        <v>127</v>
      </c>
      <c r="BU48" s="4">
        <v>234.7</v>
      </c>
      <c r="BV48" s="4">
        <v>145.30000000000001</v>
      </c>
      <c r="BW48" s="3">
        <v>83.7</v>
      </c>
      <c r="BX48" s="4">
        <v>97.2</v>
      </c>
      <c r="BY48" s="4">
        <v>109</v>
      </c>
      <c r="BZ48" s="4">
        <v>164.6</v>
      </c>
      <c r="CA48" s="3">
        <v>168.1</v>
      </c>
      <c r="CB48" s="4">
        <v>148.5</v>
      </c>
      <c r="CC48" s="4">
        <v>232.8</v>
      </c>
      <c r="CD48" s="4">
        <v>174.5</v>
      </c>
      <c r="CE48" s="4">
        <v>160</v>
      </c>
      <c r="CF48" s="4">
        <v>98.9</v>
      </c>
      <c r="CG48" s="4">
        <v>129.80000000000001</v>
      </c>
      <c r="CH48" s="4">
        <v>150.9</v>
      </c>
      <c r="CI48" s="4">
        <v>250.4</v>
      </c>
      <c r="CJ48" s="4">
        <v>82.5</v>
      </c>
      <c r="CK48" s="4">
        <v>106.8</v>
      </c>
      <c r="CL48" s="4">
        <v>74.3</v>
      </c>
      <c r="CM48" s="4">
        <v>117.3</v>
      </c>
      <c r="CN48" s="4">
        <v>316.2</v>
      </c>
      <c r="CO48" s="4">
        <v>54.1</v>
      </c>
      <c r="CP48" s="4">
        <v>105.5</v>
      </c>
      <c r="CQ48" s="4">
        <v>123.1</v>
      </c>
      <c r="CR48" s="4">
        <v>43.8</v>
      </c>
      <c r="CS48" s="4">
        <v>323</v>
      </c>
      <c r="CT48" s="4">
        <v>128.5</v>
      </c>
      <c r="CU48" s="4">
        <v>130.5</v>
      </c>
      <c r="CV48" s="4">
        <v>93.6</v>
      </c>
      <c r="CW48" s="4">
        <v>72.400000000000006</v>
      </c>
      <c r="CX48" s="4">
        <v>113.4</v>
      </c>
      <c r="CY48" s="4">
        <v>112.2</v>
      </c>
      <c r="CZ48" s="4">
        <v>130.1</v>
      </c>
      <c r="DA48" s="4">
        <v>199</v>
      </c>
      <c r="DB48" s="4">
        <v>115</v>
      </c>
      <c r="DC48" s="4">
        <v>70.900000000000006</v>
      </c>
      <c r="DD48" s="4">
        <v>30.7</v>
      </c>
      <c r="DE48" s="4">
        <v>158.69999999999999</v>
      </c>
      <c r="DF48" s="4">
        <v>114.6</v>
      </c>
      <c r="DG48" s="4">
        <v>44.9</v>
      </c>
      <c r="DH48" s="4">
        <v>34</v>
      </c>
      <c r="DI48" s="4">
        <v>82</v>
      </c>
      <c r="DJ48" s="4">
        <v>9.8000000000000007</v>
      </c>
      <c r="DK48" s="4">
        <v>442.4</v>
      </c>
      <c r="DL48" s="4">
        <v>58</v>
      </c>
      <c r="DM48" s="4">
        <v>203.8</v>
      </c>
      <c r="DN48" s="4">
        <v>93.4</v>
      </c>
      <c r="DO48" s="4">
        <v>67.3</v>
      </c>
      <c r="DP48" s="4">
        <v>195.1</v>
      </c>
      <c r="DQ48" s="4">
        <v>33.299999999999997</v>
      </c>
      <c r="DR48" s="4">
        <v>45.6</v>
      </c>
      <c r="DS48" s="4">
        <v>77.8</v>
      </c>
      <c r="DT48" s="4">
        <v>575.29999999999995</v>
      </c>
      <c r="DU48" s="4">
        <v>143</v>
      </c>
      <c r="DV48" s="4">
        <v>49</v>
      </c>
      <c r="DW48" s="4">
        <v>35.299999999999997</v>
      </c>
      <c r="DX48" s="4">
        <v>110.4</v>
      </c>
      <c r="DY48" s="4">
        <v>7.7</v>
      </c>
      <c r="DZ48" s="4">
        <v>63.5</v>
      </c>
      <c r="EA48" s="4">
        <v>204</v>
      </c>
      <c r="EB48" s="4">
        <v>539.1</v>
      </c>
      <c r="EC48" s="4">
        <v>166.8</v>
      </c>
      <c r="ED48" s="4">
        <v>423.4</v>
      </c>
      <c r="EE48" s="4">
        <v>490.8</v>
      </c>
      <c r="EF48" s="4">
        <v>429.7</v>
      </c>
      <c r="EG48" s="3">
        <v>120.3</v>
      </c>
      <c r="EH48" s="4">
        <v>201.7</v>
      </c>
      <c r="EI48" s="3">
        <v>628.4</v>
      </c>
      <c r="EJ48" s="4">
        <v>28.2</v>
      </c>
      <c r="EK48" s="4">
        <v>25.8</v>
      </c>
      <c r="EL48" s="4">
        <v>122.6</v>
      </c>
      <c r="EM48" s="4">
        <v>41.4</v>
      </c>
      <c r="EN48" s="4">
        <v>14</v>
      </c>
      <c r="EO48" s="4">
        <v>232.7</v>
      </c>
      <c r="EP48" s="4">
        <v>33.5</v>
      </c>
      <c r="EQ48" s="4">
        <v>209.7</v>
      </c>
      <c r="ER48" s="4">
        <v>239.5</v>
      </c>
      <c r="ES48" s="4">
        <v>42.6</v>
      </c>
      <c r="ET48" s="3">
        <v>53.7</v>
      </c>
      <c r="EU48" s="3">
        <v>87.5</v>
      </c>
      <c r="EV48" s="3">
        <v>35.799999999999997</v>
      </c>
      <c r="EW48" s="3">
        <v>171.6</v>
      </c>
      <c r="EX48" s="3">
        <v>20.7</v>
      </c>
      <c r="EY48" s="3">
        <v>184.4</v>
      </c>
      <c r="EZ48" s="3">
        <v>28.5</v>
      </c>
      <c r="FA48" s="3">
        <v>23</v>
      </c>
      <c r="FB48" s="3">
        <v>32.700000000000003</v>
      </c>
      <c r="FC48" s="3">
        <v>42</v>
      </c>
      <c r="FD48" s="3">
        <v>47.6</v>
      </c>
      <c r="FE48" s="3">
        <v>19.2</v>
      </c>
      <c r="FF48" s="3">
        <v>14.7</v>
      </c>
      <c r="FG48" s="3">
        <v>26.2</v>
      </c>
      <c r="FH48" s="3">
        <v>9.6</v>
      </c>
      <c r="FI48" s="3">
        <v>82.1</v>
      </c>
      <c r="FJ48" s="3">
        <v>185.7</v>
      </c>
      <c r="FK48" s="3">
        <v>15.2</v>
      </c>
      <c r="FL48" s="3">
        <v>7.7</v>
      </c>
      <c r="FM48" s="3">
        <v>112.1</v>
      </c>
    </row>
    <row r="49" spans="1:169" x14ac:dyDescent="0.35">
      <c r="A49" s="2">
        <v>1918</v>
      </c>
      <c r="B49" s="4">
        <v>192.5</v>
      </c>
      <c r="C49" s="4">
        <v>254.2</v>
      </c>
      <c r="D49" s="4">
        <v>177.9</v>
      </c>
      <c r="E49" s="4">
        <v>210.5</v>
      </c>
      <c r="F49" s="4">
        <v>231.6</v>
      </c>
      <c r="G49" s="4">
        <v>155.9</v>
      </c>
      <c r="H49" s="4">
        <v>242.9</v>
      </c>
      <c r="I49" s="4">
        <v>229</v>
      </c>
      <c r="J49" s="4">
        <v>253.3</v>
      </c>
      <c r="K49" s="4">
        <v>216.1</v>
      </c>
      <c r="L49" s="4">
        <v>247.9</v>
      </c>
      <c r="M49" s="4">
        <v>273.2</v>
      </c>
      <c r="N49" s="3">
        <v>163.9</v>
      </c>
      <c r="O49" s="4">
        <v>180.9</v>
      </c>
      <c r="P49" s="4">
        <v>145.80000000000001</v>
      </c>
      <c r="Q49" s="4">
        <v>147.19999999999999</v>
      </c>
      <c r="R49" s="4">
        <v>214.4</v>
      </c>
      <c r="S49" s="4">
        <v>181.4</v>
      </c>
      <c r="T49" s="3">
        <v>163.6</v>
      </c>
      <c r="U49" s="4">
        <v>191.5</v>
      </c>
      <c r="V49" s="4">
        <v>270.5</v>
      </c>
      <c r="W49" s="4">
        <v>216.8</v>
      </c>
      <c r="X49" s="4">
        <v>158.80000000000001</v>
      </c>
      <c r="Y49" s="4">
        <v>81.400000000000006</v>
      </c>
      <c r="Z49" s="4">
        <v>266.5</v>
      </c>
      <c r="AA49" s="3">
        <v>224.7</v>
      </c>
      <c r="AB49" s="4">
        <v>88.3</v>
      </c>
      <c r="AC49" s="4">
        <v>140.30000000000001</v>
      </c>
      <c r="AD49" s="4">
        <v>2458</v>
      </c>
      <c r="AE49" s="4">
        <v>356.8</v>
      </c>
      <c r="AF49" s="4">
        <v>91.4</v>
      </c>
      <c r="AG49" s="4">
        <v>2331.8000000000002</v>
      </c>
      <c r="AH49" s="4">
        <v>203.9</v>
      </c>
      <c r="AI49" s="4">
        <v>25</v>
      </c>
      <c r="AJ49" s="4">
        <v>91.7</v>
      </c>
      <c r="AK49" s="4">
        <v>65.7</v>
      </c>
      <c r="AL49" s="4">
        <v>47.3</v>
      </c>
      <c r="AM49" s="4">
        <v>120.3</v>
      </c>
      <c r="AN49" s="4">
        <v>43.5</v>
      </c>
      <c r="AO49" s="4">
        <v>206.8</v>
      </c>
      <c r="AP49" s="4">
        <v>109.8</v>
      </c>
      <c r="AQ49" s="4">
        <v>97.1</v>
      </c>
      <c r="AR49" s="4">
        <v>228.2</v>
      </c>
      <c r="AS49" s="4">
        <v>111.2</v>
      </c>
      <c r="AT49" s="4">
        <v>96.4</v>
      </c>
      <c r="AU49" s="4">
        <v>160.5</v>
      </c>
      <c r="AV49" s="4">
        <v>352.1</v>
      </c>
      <c r="AW49" s="4">
        <v>117.1</v>
      </c>
      <c r="AX49" s="4">
        <v>125.6</v>
      </c>
      <c r="AY49" s="4">
        <v>356.7</v>
      </c>
      <c r="AZ49" s="4">
        <v>287.3</v>
      </c>
      <c r="BA49" s="4">
        <v>568.70000000000005</v>
      </c>
      <c r="BB49" s="4">
        <v>129.5</v>
      </c>
      <c r="BC49" s="3">
        <v>133.80000000000001</v>
      </c>
      <c r="BD49" s="4">
        <v>77</v>
      </c>
      <c r="BE49" s="4">
        <v>83.5</v>
      </c>
      <c r="BF49" s="4">
        <v>121.4</v>
      </c>
      <c r="BG49" s="4">
        <v>229.5</v>
      </c>
      <c r="BH49" s="4">
        <v>153.30000000000001</v>
      </c>
      <c r="BI49" s="4">
        <v>151.1</v>
      </c>
      <c r="BJ49" s="4">
        <v>70.099999999999994</v>
      </c>
      <c r="BK49" s="4">
        <v>194</v>
      </c>
      <c r="BL49" s="4">
        <v>204.5</v>
      </c>
      <c r="BM49" s="4">
        <v>220.3</v>
      </c>
      <c r="BN49" s="4">
        <v>262.10000000000002</v>
      </c>
      <c r="BO49" s="4">
        <v>238.9</v>
      </c>
      <c r="BP49" s="3">
        <v>161.69999999999999</v>
      </c>
      <c r="BQ49" s="4">
        <v>170.9</v>
      </c>
      <c r="BR49" s="3">
        <v>143.4</v>
      </c>
      <c r="BS49" s="4">
        <v>155</v>
      </c>
      <c r="BT49" s="4">
        <v>152.6</v>
      </c>
      <c r="BU49" s="4">
        <v>196.5</v>
      </c>
      <c r="BV49" s="4">
        <v>154</v>
      </c>
      <c r="BW49" s="4">
        <v>87.6</v>
      </c>
      <c r="BX49" s="4">
        <v>108.8</v>
      </c>
      <c r="BY49" s="4">
        <v>117.2</v>
      </c>
      <c r="BZ49" s="4">
        <v>199.5</v>
      </c>
      <c r="CA49" s="4">
        <v>184.2</v>
      </c>
      <c r="CB49" s="3">
        <v>157.5</v>
      </c>
      <c r="CC49" s="4">
        <v>275</v>
      </c>
      <c r="CD49" s="4">
        <v>194.5</v>
      </c>
      <c r="CE49" s="4">
        <v>187.8</v>
      </c>
      <c r="CF49" s="4">
        <v>80.5</v>
      </c>
      <c r="CG49" s="4">
        <v>134.6</v>
      </c>
      <c r="CH49" s="4">
        <v>123.4</v>
      </c>
      <c r="CI49" s="4">
        <v>231.1</v>
      </c>
      <c r="CJ49" s="4">
        <v>82.6</v>
      </c>
      <c r="CK49" s="4">
        <v>111.4</v>
      </c>
      <c r="CL49" s="4">
        <v>93.6</v>
      </c>
      <c r="CM49" s="4">
        <v>67.5</v>
      </c>
      <c r="CN49" s="4">
        <v>250.5</v>
      </c>
      <c r="CO49" s="4">
        <v>29.6</v>
      </c>
      <c r="CP49" s="4">
        <v>94.5</v>
      </c>
      <c r="CQ49" s="4">
        <v>123.5</v>
      </c>
      <c r="CR49" s="4">
        <v>26.8</v>
      </c>
      <c r="CS49" s="4">
        <v>366.2</v>
      </c>
      <c r="CT49" s="4">
        <v>96.6</v>
      </c>
      <c r="CU49" s="4">
        <v>117.7</v>
      </c>
      <c r="CV49" s="4">
        <v>58</v>
      </c>
      <c r="CW49" s="4">
        <v>62.6</v>
      </c>
      <c r="CX49" s="4">
        <v>110</v>
      </c>
      <c r="CY49" s="4">
        <v>100.5</v>
      </c>
      <c r="CZ49" s="4">
        <v>133</v>
      </c>
      <c r="DA49" s="4">
        <v>235.1</v>
      </c>
      <c r="DB49" s="4">
        <v>97.5</v>
      </c>
      <c r="DC49" s="4">
        <v>26</v>
      </c>
      <c r="DD49" s="4">
        <v>23.6</v>
      </c>
      <c r="DE49" s="4">
        <v>185.2</v>
      </c>
      <c r="DF49" s="4">
        <v>117.4</v>
      </c>
      <c r="DG49" s="4">
        <v>28.3</v>
      </c>
      <c r="DH49" s="4">
        <v>34.6</v>
      </c>
      <c r="DI49" s="4">
        <v>84.5</v>
      </c>
      <c r="DJ49" s="4">
        <v>10.8</v>
      </c>
      <c r="DK49" s="4">
        <v>474.3</v>
      </c>
      <c r="DL49" s="4">
        <v>169</v>
      </c>
      <c r="DM49" s="4">
        <v>481.4</v>
      </c>
      <c r="DN49" s="4">
        <v>174.7</v>
      </c>
      <c r="DO49" s="4">
        <v>96.1</v>
      </c>
      <c r="DP49" s="4">
        <v>328.1</v>
      </c>
      <c r="DQ49" s="4">
        <v>26.2</v>
      </c>
      <c r="DR49" s="4">
        <v>122.9</v>
      </c>
      <c r="DS49" s="4">
        <v>53</v>
      </c>
      <c r="DT49" s="4">
        <v>674.1</v>
      </c>
      <c r="DU49" s="4">
        <v>162.4</v>
      </c>
      <c r="DV49" s="4">
        <v>63.2</v>
      </c>
      <c r="DW49" s="4">
        <v>43.1</v>
      </c>
      <c r="DX49" s="4">
        <v>107.9</v>
      </c>
      <c r="DY49" s="4">
        <v>12.1</v>
      </c>
      <c r="DZ49" s="4">
        <v>88.9</v>
      </c>
      <c r="EA49" s="4">
        <v>270.2</v>
      </c>
      <c r="EB49" s="4">
        <v>262.7</v>
      </c>
      <c r="EC49" s="4">
        <v>41.1</v>
      </c>
      <c r="ED49" s="3">
        <v>418.6</v>
      </c>
      <c r="EE49" s="3">
        <v>302.5</v>
      </c>
      <c r="EF49" s="4">
        <v>434.1</v>
      </c>
      <c r="EG49" s="4">
        <v>96.7</v>
      </c>
      <c r="EH49" s="4">
        <v>164.3</v>
      </c>
      <c r="EI49" s="4">
        <v>272.60000000000002</v>
      </c>
      <c r="EJ49" s="4">
        <v>28.2</v>
      </c>
      <c r="EK49" s="4">
        <v>29.5</v>
      </c>
      <c r="EL49" s="4">
        <v>99.4</v>
      </c>
      <c r="EM49" s="4">
        <v>38</v>
      </c>
      <c r="EN49" s="4">
        <v>15.4</v>
      </c>
      <c r="EO49" s="4">
        <v>252.7</v>
      </c>
      <c r="EP49" s="4">
        <v>52.1</v>
      </c>
      <c r="EQ49" s="4">
        <v>108</v>
      </c>
      <c r="ER49" s="4">
        <v>149.19999999999999</v>
      </c>
      <c r="ES49" s="3">
        <v>34.299999999999997</v>
      </c>
      <c r="ET49" s="3">
        <v>80.3</v>
      </c>
      <c r="EU49" s="3">
        <v>107.9</v>
      </c>
      <c r="EV49" s="3">
        <v>32.4</v>
      </c>
      <c r="EW49" s="3">
        <v>251.8</v>
      </c>
      <c r="EX49" s="3">
        <v>20.9</v>
      </c>
      <c r="EY49" s="3">
        <v>180.5</v>
      </c>
      <c r="EZ49" s="3">
        <v>21.5</v>
      </c>
      <c r="FA49" s="3">
        <v>25</v>
      </c>
      <c r="FB49" s="3">
        <v>38.200000000000003</v>
      </c>
      <c r="FC49" s="3">
        <v>31.5</v>
      </c>
      <c r="FD49" s="3">
        <v>51.6</v>
      </c>
      <c r="FE49" s="3">
        <v>23.7</v>
      </c>
      <c r="FF49" s="3">
        <v>13.9</v>
      </c>
      <c r="FG49" s="3">
        <v>10.3</v>
      </c>
      <c r="FH49" s="3">
        <v>8.9</v>
      </c>
      <c r="FI49" s="3">
        <v>104.9</v>
      </c>
      <c r="FJ49" s="3">
        <v>201.6</v>
      </c>
      <c r="FK49" s="3">
        <v>11.3</v>
      </c>
      <c r="FL49" s="3">
        <v>8.6999999999999993</v>
      </c>
      <c r="FM49" s="3">
        <v>135.5</v>
      </c>
    </row>
    <row r="50" spans="1:169" x14ac:dyDescent="0.35">
      <c r="A50" s="2">
        <v>1919</v>
      </c>
      <c r="B50" s="4">
        <v>224</v>
      </c>
      <c r="C50" s="4">
        <v>256.5</v>
      </c>
      <c r="D50" s="4">
        <v>197.7</v>
      </c>
      <c r="E50" s="4">
        <v>237.2</v>
      </c>
      <c r="F50" s="4">
        <v>273.3</v>
      </c>
      <c r="G50" s="4">
        <v>175.4</v>
      </c>
      <c r="H50" s="4">
        <v>241.7</v>
      </c>
      <c r="I50" s="4">
        <v>264.10000000000002</v>
      </c>
      <c r="J50" s="4">
        <v>282.60000000000002</v>
      </c>
      <c r="K50" s="4">
        <v>260.7</v>
      </c>
      <c r="L50" s="4">
        <v>263</v>
      </c>
      <c r="M50" s="3">
        <v>306.39999999999998</v>
      </c>
      <c r="N50" s="4">
        <v>195.3</v>
      </c>
      <c r="O50" s="4">
        <v>196.8</v>
      </c>
      <c r="P50" s="4">
        <v>175</v>
      </c>
      <c r="Q50" s="4">
        <v>147.5</v>
      </c>
      <c r="R50" s="3">
        <v>213.1</v>
      </c>
      <c r="S50" s="4">
        <v>188.6</v>
      </c>
      <c r="T50" s="3">
        <v>138.5</v>
      </c>
      <c r="U50" s="4">
        <v>152.69999999999999</v>
      </c>
      <c r="V50" s="4">
        <v>226.7</v>
      </c>
      <c r="W50" s="4">
        <v>212.4</v>
      </c>
      <c r="X50" s="4">
        <v>170</v>
      </c>
      <c r="Y50" s="4">
        <v>96.9</v>
      </c>
      <c r="Z50" s="3">
        <v>223</v>
      </c>
      <c r="AA50" s="4">
        <v>186.1</v>
      </c>
      <c r="AB50" s="4">
        <v>200.6</v>
      </c>
      <c r="AC50" s="4">
        <v>157.69999999999999</v>
      </c>
      <c r="AD50" s="4">
        <v>912.2</v>
      </c>
      <c r="AE50" s="4">
        <v>393.5</v>
      </c>
      <c r="AF50" s="4">
        <v>135.69999999999999</v>
      </c>
      <c r="AG50" s="4">
        <v>3124.3</v>
      </c>
      <c r="AH50" s="4">
        <v>248.5</v>
      </c>
      <c r="AI50" s="4">
        <v>64.2</v>
      </c>
      <c r="AJ50" s="4">
        <v>173.8</v>
      </c>
      <c r="AK50" s="4">
        <v>220.3</v>
      </c>
      <c r="AL50" s="4">
        <v>75.099999999999994</v>
      </c>
      <c r="AM50" s="4">
        <v>162.30000000000001</v>
      </c>
      <c r="AN50" s="4">
        <v>56.4</v>
      </c>
      <c r="AO50" s="4">
        <v>308.2</v>
      </c>
      <c r="AP50" s="4">
        <v>102</v>
      </c>
      <c r="AQ50" s="3">
        <v>118.9</v>
      </c>
      <c r="AR50" s="4">
        <v>143.69999999999999</v>
      </c>
      <c r="AS50" s="4">
        <v>121.4</v>
      </c>
      <c r="AT50" s="4">
        <v>68.7</v>
      </c>
      <c r="AU50" s="4">
        <v>181.9</v>
      </c>
      <c r="AV50" s="4">
        <v>237.4</v>
      </c>
      <c r="AW50" s="4">
        <v>133.5</v>
      </c>
      <c r="AX50" s="4">
        <v>167.3</v>
      </c>
      <c r="AY50" s="4">
        <v>470</v>
      </c>
      <c r="AZ50" s="4">
        <v>293</v>
      </c>
      <c r="BA50" s="4">
        <v>211.1</v>
      </c>
      <c r="BB50" s="4">
        <v>169.2</v>
      </c>
      <c r="BC50" s="4">
        <v>149.6</v>
      </c>
      <c r="BD50" s="4">
        <v>159.6</v>
      </c>
      <c r="BE50" s="4">
        <v>117.3</v>
      </c>
      <c r="BF50" s="4">
        <v>123.4</v>
      </c>
      <c r="BG50" s="3">
        <v>275.10000000000002</v>
      </c>
      <c r="BH50" s="4">
        <v>177.6</v>
      </c>
      <c r="BI50" s="4">
        <v>204.7</v>
      </c>
      <c r="BJ50" s="4">
        <v>63.1</v>
      </c>
      <c r="BK50" s="4">
        <v>214.5</v>
      </c>
      <c r="BL50" s="3">
        <v>165.2</v>
      </c>
      <c r="BM50" s="4">
        <v>171.9</v>
      </c>
      <c r="BN50" s="4">
        <v>295.2</v>
      </c>
      <c r="BO50" s="4">
        <v>219.1</v>
      </c>
      <c r="BP50" s="4">
        <v>216</v>
      </c>
      <c r="BQ50" s="4">
        <v>229</v>
      </c>
      <c r="BR50" s="4">
        <v>178.9</v>
      </c>
      <c r="BS50" s="4">
        <v>162</v>
      </c>
      <c r="BT50" s="4">
        <v>175.2</v>
      </c>
      <c r="BU50" s="4">
        <v>208.4</v>
      </c>
      <c r="BV50" s="4">
        <v>182.3</v>
      </c>
      <c r="BW50" s="4">
        <v>77.7</v>
      </c>
      <c r="BX50" s="4">
        <v>164.7</v>
      </c>
      <c r="BY50" s="4">
        <v>188.8</v>
      </c>
      <c r="BZ50" s="4">
        <v>218.7</v>
      </c>
      <c r="CA50" s="4">
        <v>164.4</v>
      </c>
      <c r="CB50" s="4">
        <v>138.6</v>
      </c>
      <c r="CC50" s="4">
        <v>204.1</v>
      </c>
      <c r="CD50" s="4">
        <v>188</v>
      </c>
      <c r="CE50" s="4">
        <v>163.6</v>
      </c>
      <c r="CF50" s="4">
        <v>106.5</v>
      </c>
      <c r="CG50" s="4">
        <v>82.1</v>
      </c>
      <c r="CH50" s="4">
        <v>156.4</v>
      </c>
      <c r="CI50" s="4">
        <v>251.3</v>
      </c>
      <c r="CJ50" s="4">
        <v>83.9</v>
      </c>
      <c r="CK50" s="4">
        <v>146.5</v>
      </c>
      <c r="CL50" s="4">
        <v>116.5</v>
      </c>
      <c r="CM50" s="4">
        <v>141.4</v>
      </c>
      <c r="CN50" s="4">
        <v>413.9</v>
      </c>
      <c r="CO50" s="4">
        <v>35.4</v>
      </c>
      <c r="CP50" s="4">
        <v>95.8</v>
      </c>
      <c r="CQ50" s="4">
        <v>107.7</v>
      </c>
      <c r="CR50" s="4">
        <v>24.2</v>
      </c>
      <c r="CS50" s="4">
        <v>343.8</v>
      </c>
      <c r="CT50" s="4">
        <v>46.7</v>
      </c>
      <c r="CU50" s="4">
        <v>160.4</v>
      </c>
      <c r="CV50" s="4">
        <v>98.4</v>
      </c>
      <c r="CW50" s="4">
        <v>65.7</v>
      </c>
      <c r="CX50" s="4">
        <v>108.4</v>
      </c>
      <c r="CY50" s="4">
        <v>111.5</v>
      </c>
      <c r="CZ50" s="4">
        <v>130.1</v>
      </c>
      <c r="DA50" s="4">
        <v>332.3</v>
      </c>
      <c r="DB50" s="4">
        <v>106</v>
      </c>
      <c r="DC50" s="4">
        <v>128.5</v>
      </c>
      <c r="DD50" s="4">
        <v>25.9</v>
      </c>
      <c r="DE50" s="4">
        <v>141.5</v>
      </c>
      <c r="DF50" s="4">
        <v>87</v>
      </c>
      <c r="DG50" s="4">
        <v>49</v>
      </c>
      <c r="DH50" s="4">
        <v>33.700000000000003</v>
      </c>
      <c r="DI50" s="4">
        <v>55.7</v>
      </c>
      <c r="DJ50" s="3">
        <v>28.5</v>
      </c>
      <c r="DK50" s="4">
        <v>537.9</v>
      </c>
      <c r="DL50" s="4">
        <v>69.7</v>
      </c>
      <c r="DM50" s="4">
        <v>598.20000000000005</v>
      </c>
      <c r="DN50" s="4">
        <v>305.89999999999998</v>
      </c>
      <c r="DO50" s="4">
        <v>144.9</v>
      </c>
      <c r="DP50" s="4">
        <v>398</v>
      </c>
      <c r="DQ50" s="4">
        <v>77.7</v>
      </c>
      <c r="DR50" s="4">
        <v>260</v>
      </c>
      <c r="DS50" s="4">
        <v>214.5</v>
      </c>
      <c r="DT50" s="4">
        <v>1137.4000000000001</v>
      </c>
      <c r="DU50" s="4">
        <v>245.7</v>
      </c>
      <c r="DV50" s="4">
        <v>97.5</v>
      </c>
      <c r="DW50" s="4">
        <v>69.900000000000006</v>
      </c>
      <c r="DX50" s="4">
        <v>120.4</v>
      </c>
      <c r="DY50" s="4">
        <v>14.8</v>
      </c>
      <c r="DZ50" s="4">
        <v>55.6</v>
      </c>
      <c r="EA50" s="3">
        <v>306.7</v>
      </c>
      <c r="EB50" s="4">
        <v>158.4</v>
      </c>
      <c r="EC50" s="4">
        <v>37.1</v>
      </c>
      <c r="ED50" s="4">
        <v>236.6</v>
      </c>
      <c r="EE50" s="4">
        <v>337.8</v>
      </c>
      <c r="EF50" s="4">
        <v>618.79999999999995</v>
      </c>
      <c r="EG50" s="4">
        <v>151.69999999999999</v>
      </c>
      <c r="EH50" s="4">
        <v>140.19999999999999</v>
      </c>
      <c r="EI50" s="3">
        <v>83.8</v>
      </c>
      <c r="EJ50" s="3">
        <v>48.8</v>
      </c>
      <c r="EK50" s="4">
        <v>20.100000000000001</v>
      </c>
      <c r="EL50" s="4">
        <v>261.3</v>
      </c>
      <c r="EM50" s="4">
        <v>58</v>
      </c>
      <c r="EN50" s="4">
        <v>15.9</v>
      </c>
      <c r="EO50" s="4">
        <v>398.4</v>
      </c>
      <c r="EP50" s="4">
        <v>75.099999999999994</v>
      </c>
      <c r="EQ50" s="4">
        <v>306.5</v>
      </c>
      <c r="ER50" s="4">
        <v>221.6</v>
      </c>
      <c r="ES50" s="4">
        <v>45.4</v>
      </c>
      <c r="ET50" s="3">
        <v>65.8</v>
      </c>
      <c r="EU50" s="3">
        <v>73.400000000000006</v>
      </c>
      <c r="EV50" s="3">
        <v>33</v>
      </c>
      <c r="EW50" s="3">
        <v>216.8</v>
      </c>
      <c r="EX50" s="3">
        <v>13.5</v>
      </c>
      <c r="EY50" s="3">
        <v>329.8</v>
      </c>
      <c r="EZ50" s="3">
        <v>45.6</v>
      </c>
      <c r="FA50" s="3">
        <v>27.4</v>
      </c>
      <c r="FB50" s="3">
        <v>43.2</v>
      </c>
      <c r="FC50" s="3">
        <v>37</v>
      </c>
      <c r="FD50" s="3">
        <v>59.7</v>
      </c>
      <c r="FE50" s="3">
        <v>29.7</v>
      </c>
      <c r="FF50" s="3">
        <v>22.9</v>
      </c>
      <c r="FG50" s="3">
        <v>82.3</v>
      </c>
      <c r="FH50" s="3">
        <v>10.8</v>
      </c>
      <c r="FI50" s="3">
        <v>71.599999999999994</v>
      </c>
      <c r="FJ50" s="3">
        <v>131.5</v>
      </c>
      <c r="FK50" s="3">
        <v>14.6</v>
      </c>
      <c r="FL50" s="3">
        <v>8.1999999999999993</v>
      </c>
      <c r="FM50" s="3">
        <v>77.8</v>
      </c>
    </row>
    <row r="51" spans="1:169" x14ac:dyDescent="0.35">
      <c r="A51" s="2">
        <v>1920</v>
      </c>
      <c r="B51" s="4">
        <v>214.6</v>
      </c>
      <c r="C51" s="4">
        <v>287.2</v>
      </c>
      <c r="D51" s="4">
        <v>146.4</v>
      </c>
      <c r="E51" s="4">
        <v>193.3</v>
      </c>
      <c r="F51" s="4">
        <v>209</v>
      </c>
      <c r="G51" s="4">
        <v>190.5</v>
      </c>
      <c r="H51" s="3">
        <v>248.5</v>
      </c>
      <c r="I51" s="3">
        <v>243.4</v>
      </c>
      <c r="J51" s="3">
        <v>437</v>
      </c>
      <c r="K51" s="4">
        <v>287.8</v>
      </c>
      <c r="L51" s="4">
        <v>278.39999999999998</v>
      </c>
      <c r="M51" s="3">
        <v>390</v>
      </c>
      <c r="N51" s="4">
        <v>259.2</v>
      </c>
      <c r="O51" s="4">
        <v>284.89999999999998</v>
      </c>
      <c r="P51" s="4">
        <v>301.39999999999998</v>
      </c>
      <c r="Q51" s="4">
        <v>201.9</v>
      </c>
      <c r="R51" s="4">
        <v>240.6</v>
      </c>
      <c r="S51" s="3">
        <v>224.3</v>
      </c>
      <c r="T51" s="4">
        <v>129</v>
      </c>
      <c r="U51" s="4">
        <v>154.19999999999999</v>
      </c>
      <c r="V51" s="3">
        <v>233</v>
      </c>
      <c r="W51" s="4">
        <v>226.2</v>
      </c>
      <c r="X51" s="4">
        <v>177.5</v>
      </c>
      <c r="Y51" s="4">
        <v>109.2</v>
      </c>
      <c r="Z51" s="4">
        <v>247.8</v>
      </c>
      <c r="AA51" s="4">
        <v>218.4</v>
      </c>
      <c r="AB51" s="4">
        <v>203.4</v>
      </c>
      <c r="AC51" s="4">
        <v>205.7</v>
      </c>
      <c r="AD51" s="4">
        <v>477.4</v>
      </c>
      <c r="AE51" s="4">
        <v>191.4</v>
      </c>
      <c r="AF51" s="4">
        <v>103</v>
      </c>
      <c r="AG51" s="4">
        <v>1602.5</v>
      </c>
      <c r="AH51" s="4">
        <v>182.4</v>
      </c>
      <c r="AI51" s="4">
        <v>47.7</v>
      </c>
      <c r="AJ51" s="4">
        <v>106.1</v>
      </c>
      <c r="AK51" s="4">
        <v>101</v>
      </c>
      <c r="AL51" s="4">
        <v>70.900000000000006</v>
      </c>
      <c r="AM51" s="4">
        <v>191.5</v>
      </c>
      <c r="AN51" s="4">
        <v>59.2</v>
      </c>
      <c r="AO51" s="4">
        <v>200.6</v>
      </c>
      <c r="AP51" s="4">
        <v>172.2</v>
      </c>
      <c r="AQ51" s="4">
        <v>169.9</v>
      </c>
      <c r="AR51" s="4">
        <v>200.2</v>
      </c>
      <c r="AS51" s="4">
        <v>158.6</v>
      </c>
      <c r="AT51" s="4">
        <v>75.8</v>
      </c>
      <c r="AU51" s="4">
        <v>213.1</v>
      </c>
      <c r="AV51" s="4">
        <v>752.3</v>
      </c>
      <c r="AW51" s="4">
        <v>143.6</v>
      </c>
      <c r="AX51" s="3">
        <v>180.3</v>
      </c>
      <c r="AY51" s="4">
        <v>820.4</v>
      </c>
      <c r="AZ51" s="4">
        <v>347.2</v>
      </c>
      <c r="BA51" s="4">
        <v>261.3</v>
      </c>
      <c r="BB51" s="4">
        <v>171.3</v>
      </c>
      <c r="BC51" s="3">
        <v>153.4</v>
      </c>
      <c r="BD51" s="4">
        <v>158.5</v>
      </c>
      <c r="BE51" s="4">
        <v>125.1</v>
      </c>
      <c r="BF51" s="4">
        <v>140.80000000000001</v>
      </c>
      <c r="BG51" s="4">
        <v>616</v>
      </c>
      <c r="BH51" s="4">
        <v>189.1</v>
      </c>
      <c r="BI51" s="4">
        <v>240.5</v>
      </c>
      <c r="BJ51" s="4">
        <v>67.2</v>
      </c>
      <c r="BK51" s="4">
        <v>226.1</v>
      </c>
      <c r="BL51" s="4">
        <v>173.8</v>
      </c>
      <c r="BM51" s="4">
        <v>151.4</v>
      </c>
      <c r="BN51" s="4">
        <v>348.3</v>
      </c>
      <c r="BO51" s="4">
        <v>210</v>
      </c>
      <c r="BP51" s="4">
        <v>222.3</v>
      </c>
      <c r="BQ51" s="4">
        <v>295.39999999999998</v>
      </c>
      <c r="BR51" s="4">
        <v>196.2</v>
      </c>
      <c r="BS51" s="4">
        <v>215.5</v>
      </c>
      <c r="BT51" s="4">
        <v>224.1</v>
      </c>
      <c r="BU51" s="4">
        <v>324.10000000000002</v>
      </c>
      <c r="BV51" s="4">
        <v>243.2</v>
      </c>
      <c r="BW51" s="4">
        <v>81.5</v>
      </c>
      <c r="BX51" s="4">
        <v>205</v>
      </c>
      <c r="BY51" s="4">
        <v>231</v>
      </c>
      <c r="BZ51" s="4">
        <v>258.10000000000002</v>
      </c>
      <c r="CA51" s="4">
        <v>159.30000000000001</v>
      </c>
      <c r="CB51" s="4">
        <v>131.30000000000001</v>
      </c>
      <c r="CC51" s="4">
        <v>232.4</v>
      </c>
      <c r="CD51" s="4">
        <v>201</v>
      </c>
      <c r="CE51" s="4">
        <v>173</v>
      </c>
      <c r="CF51" s="3">
        <v>120.5</v>
      </c>
      <c r="CG51" s="4">
        <v>96.9</v>
      </c>
      <c r="CH51" s="4">
        <v>152.19999999999999</v>
      </c>
      <c r="CI51" s="4">
        <v>220.6</v>
      </c>
      <c r="CJ51" s="4">
        <v>88.1</v>
      </c>
      <c r="CK51" s="4">
        <v>167.9</v>
      </c>
      <c r="CL51" s="4">
        <v>118.8</v>
      </c>
      <c r="CM51" s="4">
        <v>95.8</v>
      </c>
      <c r="CN51" s="4">
        <v>436.1</v>
      </c>
      <c r="CO51" s="4">
        <v>82.3</v>
      </c>
      <c r="CP51" s="4">
        <v>123.7</v>
      </c>
      <c r="CQ51" s="4">
        <v>117.7</v>
      </c>
      <c r="CR51" s="4">
        <v>47</v>
      </c>
      <c r="CS51" s="4">
        <v>210.1</v>
      </c>
      <c r="CT51" s="4">
        <v>149.69999999999999</v>
      </c>
      <c r="CU51" s="4">
        <v>107.5</v>
      </c>
      <c r="CV51" s="4">
        <v>121.2</v>
      </c>
      <c r="CW51" s="4">
        <v>93.2</v>
      </c>
      <c r="CX51" s="4">
        <v>133.80000000000001</v>
      </c>
      <c r="CY51" s="4">
        <v>173.1</v>
      </c>
      <c r="CZ51" s="4">
        <v>145.9</v>
      </c>
      <c r="DA51" s="4">
        <v>649.4</v>
      </c>
      <c r="DB51" s="4">
        <v>58.6</v>
      </c>
      <c r="DC51" s="4">
        <v>76.7</v>
      </c>
      <c r="DD51" s="4">
        <v>46.2</v>
      </c>
      <c r="DE51" s="4">
        <v>165.8</v>
      </c>
      <c r="DF51" s="4">
        <v>125.9</v>
      </c>
      <c r="DG51" s="4">
        <v>67.2</v>
      </c>
      <c r="DH51" s="4">
        <v>73.3</v>
      </c>
      <c r="DI51" s="4">
        <v>111.7</v>
      </c>
      <c r="DJ51" s="4">
        <v>27.7</v>
      </c>
      <c r="DK51" s="4">
        <v>785.7</v>
      </c>
      <c r="DL51" s="4">
        <v>27</v>
      </c>
      <c r="DM51" s="4">
        <v>237.1</v>
      </c>
      <c r="DN51" s="4">
        <v>177.5</v>
      </c>
      <c r="DO51" s="4">
        <v>80.7</v>
      </c>
      <c r="DP51" s="4">
        <v>300.2</v>
      </c>
      <c r="DQ51" s="4">
        <v>53.2</v>
      </c>
      <c r="DR51" s="4">
        <v>245.5</v>
      </c>
      <c r="DS51" s="4">
        <v>108.6</v>
      </c>
      <c r="DT51" s="4">
        <v>1136.4000000000001</v>
      </c>
      <c r="DU51" s="4">
        <v>369</v>
      </c>
      <c r="DV51" s="4">
        <v>136.1</v>
      </c>
      <c r="DW51" s="4">
        <v>65.8</v>
      </c>
      <c r="DX51" s="4">
        <v>349.8</v>
      </c>
      <c r="DY51" s="4">
        <v>29</v>
      </c>
      <c r="DZ51" s="4">
        <v>87.5</v>
      </c>
      <c r="EA51" s="4">
        <v>476.4</v>
      </c>
      <c r="EB51" s="4">
        <v>162.9</v>
      </c>
      <c r="EC51" s="4">
        <v>43.9</v>
      </c>
      <c r="ED51" s="4">
        <v>258.5</v>
      </c>
      <c r="EE51" s="4">
        <v>386.9</v>
      </c>
      <c r="EF51" s="4">
        <v>696.4</v>
      </c>
      <c r="EG51" s="3">
        <v>298.2</v>
      </c>
      <c r="EH51" s="4">
        <v>184.6</v>
      </c>
      <c r="EI51" s="4">
        <v>121.7</v>
      </c>
      <c r="EJ51" s="4">
        <v>55.9</v>
      </c>
      <c r="EK51" s="4">
        <v>24.4</v>
      </c>
      <c r="EL51" s="4">
        <v>252.5</v>
      </c>
      <c r="EM51" s="4">
        <v>54.3</v>
      </c>
      <c r="EN51" s="4">
        <v>19.100000000000001</v>
      </c>
      <c r="EO51" s="4">
        <v>1022.2</v>
      </c>
      <c r="EP51" s="3">
        <v>81.599999999999994</v>
      </c>
      <c r="EQ51" s="3">
        <v>243.9</v>
      </c>
      <c r="ER51" s="4">
        <v>248.9</v>
      </c>
      <c r="ES51" s="4">
        <v>111.2</v>
      </c>
      <c r="ET51" s="3">
        <v>89.4</v>
      </c>
      <c r="EU51" s="3">
        <v>70.7</v>
      </c>
      <c r="EV51" s="3">
        <v>75.599999999999994</v>
      </c>
      <c r="EW51" s="3">
        <v>127</v>
      </c>
      <c r="EX51" s="3">
        <v>44.7</v>
      </c>
      <c r="EY51" s="3">
        <v>285.2</v>
      </c>
      <c r="EZ51" s="3">
        <v>61.6</v>
      </c>
      <c r="FA51" s="3">
        <v>51.8</v>
      </c>
      <c r="FB51" s="3">
        <v>68.099999999999994</v>
      </c>
      <c r="FC51" s="3">
        <v>89.4</v>
      </c>
      <c r="FD51" s="3">
        <v>89.4</v>
      </c>
      <c r="FE51" s="3">
        <v>61</v>
      </c>
      <c r="FF51" s="3">
        <v>15.8</v>
      </c>
      <c r="FG51" s="3">
        <v>60.1</v>
      </c>
      <c r="FH51" s="3">
        <v>22.6</v>
      </c>
      <c r="FI51" s="3">
        <v>81.2</v>
      </c>
      <c r="FJ51" s="3">
        <v>180.3</v>
      </c>
      <c r="FK51" s="3">
        <v>22.8</v>
      </c>
      <c r="FL51" s="3">
        <v>19</v>
      </c>
      <c r="FM51" s="3">
        <v>165.1</v>
      </c>
    </row>
    <row r="52" spans="1:169" x14ac:dyDescent="0.35">
      <c r="A52" s="2">
        <v>1921</v>
      </c>
      <c r="B52" s="4">
        <v>133.1</v>
      </c>
      <c r="C52" s="4">
        <v>158.1</v>
      </c>
      <c r="D52" s="4">
        <v>117.9</v>
      </c>
      <c r="E52" s="4">
        <v>135.4</v>
      </c>
      <c r="F52" s="4">
        <v>114.7</v>
      </c>
      <c r="G52" s="4">
        <v>163.4</v>
      </c>
      <c r="H52" s="4">
        <v>144.69999999999999</v>
      </c>
      <c r="I52" s="4">
        <v>145.5</v>
      </c>
      <c r="J52" s="3">
        <v>331.5</v>
      </c>
      <c r="K52" s="4">
        <v>146.30000000000001</v>
      </c>
      <c r="L52" s="4">
        <v>124.6</v>
      </c>
      <c r="M52" s="4">
        <v>202</v>
      </c>
      <c r="N52" s="4">
        <v>167.3</v>
      </c>
      <c r="O52" s="3">
        <v>233.8</v>
      </c>
      <c r="P52" s="4">
        <v>225.9</v>
      </c>
      <c r="Q52" s="4">
        <v>124.8</v>
      </c>
      <c r="R52" s="4">
        <v>180.5</v>
      </c>
      <c r="S52" s="4">
        <v>191.7</v>
      </c>
      <c r="T52" s="3">
        <v>88.6</v>
      </c>
      <c r="U52" s="4">
        <v>106.7</v>
      </c>
      <c r="V52" s="4">
        <v>198.6</v>
      </c>
      <c r="W52" s="4">
        <v>204.4</v>
      </c>
      <c r="X52" s="3">
        <v>163.5</v>
      </c>
      <c r="Y52" s="4">
        <v>98.6</v>
      </c>
      <c r="Z52" s="4">
        <v>192.5</v>
      </c>
      <c r="AA52" s="4">
        <v>167.7</v>
      </c>
      <c r="AB52" s="4">
        <v>312.5</v>
      </c>
      <c r="AC52" s="4">
        <v>282</v>
      </c>
      <c r="AD52" s="4">
        <v>124.2</v>
      </c>
      <c r="AE52" s="4">
        <v>160.19999999999999</v>
      </c>
      <c r="AF52" s="4">
        <v>144.6</v>
      </c>
      <c r="AG52" s="4">
        <v>1014.2</v>
      </c>
      <c r="AH52" s="4">
        <v>172.6</v>
      </c>
      <c r="AI52" s="4">
        <v>73.599999999999994</v>
      </c>
      <c r="AJ52" s="4">
        <v>116.9</v>
      </c>
      <c r="AK52" s="4">
        <v>58.1</v>
      </c>
      <c r="AL52" s="4">
        <v>74.5</v>
      </c>
      <c r="AM52" s="4">
        <v>107.8</v>
      </c>
      <c r="AN52" s="4">
        <v>42.6</v>
      </c>
      <c r="AO52" s="4">
        <v>107.8</v>
      </c>
      <c r="AP52" s="4">
        <v>110.5</v>
      </c>
      <c r="AQ52" s="4">
        <v>191.6</v>
      </c>
      <c r="AR52" s="4">
        <v>174.2</v>
      </c>
      <c r="AS52" s="4">
        <v>126.2</v>
      </c>
      <c r="AT52" s="3">
        <v>64.8</v>
      </c>
      <c r="AU52" s="4">
        <v>155.30000000000001</v>
      </c>
      <c r="AV52" s="4">
        <v>102.1</v>
      </c>
      <c r="AW52" s="4">
        <v>93.2</v>
      </c>
      <c r="AX52" s="4">
        <v>130.69999999999999</v>
      </c>
      <c r="AY52" s="4">
        <v>249.6</v>
      </c>
      <c r="AZ52" s="4">
        <v>137.30000000000001</v>
      </c>
      <c r="BA52" s="4">
        <v>111.8</v>
      </c>
      <c r="BB52" s="4">
        <v>126.8</v>
      </c>
      <c r="BC52" s="4">
        <v>109.2</v>
      </c>
      <c r="BD52" s="4">
        <v>86.7</v>
      </c>
      <c r="BE52" s="4">
        <v>60</v>
      </c>
      <c r="BF52" s="4">
        <v>126.3</v>
      </c>
      <c r="BG52" s="4">
        <v>193.5</v>
      </c>
      <c r="BH52" s="4">
        <v>182.4</v>
      </c>
      <c r="BI52" s="4">
        <v>94.2</v>
      </c>
      <c r="BJ52" s="4">
        <v>27.9</v>
      </c>
      <c r="BK52" s="4">
        <v>155.5</v>
      </c>
      <c r="BL52" s="4">
        <v>96.9</v>
      </c>
      <c r="BM52" s="4">
        <v>94.6</v>
      </c>
      <c r="BN52" s="4">
        <v>237.8</v>
      </c>
      <c r="BO52" s="4">
        <v>81.7</v>
      </c>
      <c r="BP52" s="4">
        <v>169.3</v>
      </c>
      <c r="BQ52" s="3">
        <v>178</v>
      </c>
      <c r="BR52" s="4">
        <v>113.9</v>
      </c>
      <c r="BS52" s="4">
        <v>174</v>
      </c>
      <c r="BT52" s="3">
        <v>182.6</v>
      </c>
      <c r="BU52" s="4">
        <v>188.3</v>
      </c>
      <c r="BV52" s="4">
        <v>253.3</v>
      </c>
      <c r="BW52" s="4">
        <v>82.3</v>
      </c>
      <c r="BX52" s="4">
        <v>147.4</v>
      </c>
      <c r="BY52" s="4">
        <v>159.30000000000001</v>
      </c>
      <c r="BZ52" s="3">
        <v>238.6</v>
      </c>
      <c r="CA52" s="3">
        <v>102.9</v>
      </c>
      <c r="CB52" s="4">
        <v>80.5</v>
      </c>
      <c r="CC52" s="4">
        <v>166.2</v>
      </c>
      <c r="CD52" s="4">
        <v>184.4</v>
      </c>
      <c r="CE52" s="4">
        <v>143.4</v>
      </c>
      <c r="CF52" s="4">
        <v>108.9</v>
      </c>
      <c r="CG52" s="4">
        <v>79.5</v>
      </c>
      <c r="CH52" s="4">
        <v>157.30000000000001</v>
      </c>
      <c r="CI52" s="4">
        <v>195.7</v>
      </c>
      <c r="CJ52" s="4">
        <v>99.7</v>
      </c>
      <c r="CK52" s="4">
        <v>124.1</v>
      </c>
      <c r="CL52" s="4">
        <v>81.8</v>
      </c>
      <c r="CM52" s="4">
        <v>67.7</v>
      </c>
      <c r="CN52" s="4">
        <v>319.39999999999998</v>
      </c>
      <c r="CO52" s="4">
        <v>76.8</v>
      </c>
      <c r="CP52" s="4">
        <v>102.8</v>
      </c>
      <c r="CQ52" s="4">
        <v>74.099999999999994</v>
      </c>
      <c r="CR52" s="4">
        <v>36.5</v>
      </c>
      <c r="CS52" s="4">
        <v>257.39999999999998</v>
      </c>
      <c r="CT52" s="4">
        <v>136.19999999999999</v>
      </c>
      <c r="CU52" s="4">
        <v>162.19999999999999</v>
      </c>
      <c r="CV52" s="4">
        <v>142.80000000000001</v>
      </c>
      <c r="CW52" s="4">
        <v>67.099999999999994</v>
      </c>
      <c r="CX52" s="4">
        <v>83</v>
      </c>
      <c r="CY52" s="4">
        <v>131.30000000000001</v>
      </c>
      <c r="CZ52" s="4">
        <v>150.5</v>
      </c>
      <c r="DA52" s="4">
        <v>776.8</v>
      </c>
      <c r="DB52" s="4">
        <v>17.7</v>
      </c>
      <c r="DC52" s="4">
        <v>64.2</v>
      </c>
      <c r="DD52" s="4">
        <v>55</v>
      </c>
      <c r="DE52" s="4">
        <v>100.7</v>
      </c>
      <c r="DF52" s="4">
        <v>80.900000000000006</v>
      </c>
      <c r="DG52" s="4">
        <v>18.7</v>
      </c>
      <c r="DH52" s="4">
        <v>56.3</v>
      </c>
      <c r="DI52" s="4">
        <v>55.9</v>
      </c>
      <c r="DJ52" s="4">
        <v>26.4</v>
      </c>
      <c r="DK52" s="4">
        <v>592.9</v>
      </c>
      <c r="DL52" s="4">
        <v>5.7</v>
      </c>
      <c r="DM52" s="4">
        <v>139.1</v>
      </c>
      <c r="DN52" s="4">
        <v>136.80000000000001</v>
      </c>
      <c r="DO52" s="4">
        <v>43.8</v>
      </c>
      <c r="DP52" s="4">
        <v>165.5</v>
      </c>
      <c r="DQ52" s="4">
        <v>49.1</v>
      </c>
      <c r="DR52" s="4">
        <v>205.1</v>
      </c>
      <c r="DS52" s="4">
        <v>31.7</v>
      </c>
      <c r="DT52" s="3">
        <v>534.20000000000005</v>
      </c>
      <c r="DU52" s="4">
        <v>107.6</v>
      </c>
      <c r="DV52" s="4">
        <v>63.1</v>
      </c>
      <c r="DW52" s="4">
        <v>29</v>
      </c>
      <c r="DX52" s="4">
        <v>168.2</v>
      </c>
      <c r="DY52" s="4">
        <v>20.2</v>
      </c>
      <c r="DZ52" s="4">
        <v>57.1</v>
      </c>
      <c r="EA52" s="3">
        <v>323.89999999999998</v>
      </c>
      <c r="EB52" s="4">
        <v>95.6</v>
      </c>
      <c r="EC52" s="3">
        <v>22.2</v>
      </c>
      <c r="ED52" s="4">
        <v>89.2</v>
      </c>
      <c r="EE52" s="4">
        <v>227</v>
      </c>
      <c r="EF52" s="4">
        <v>465.2</v>
      </c>
      <c r="EG52" s="4">
        <v>81.900000000000006</v>
      </c>
      <c r="EH52" s="3">
        <v>56.7</v>
      </c>
      <c r="EI52" s="4">
        <v>40</v>
      </c>
      <c r="EJ52" s="4">
        <v>37.4</v>
      </c>
      <c r="EK52" s="4">
        <v>14.2</v>
      </c>
      <c r="EL52" s="4">
        <v>142.80000000000001</v>
      </c>
      <c r="EM52" s="4">
        <v>23.1</v>
      </c>
      <c r="EN52" s="4">
        <v>19.399999999999999</v>
      </c>
      <c r="EO52" s="4">
        <v>237.4</v>
      </c>
      <c r="EP52" s="4">
        <v>54.2</v>
      </c>
      <c r="EQ52" s="4">
        <v>67.599999999999994</v>
      </c>
      <c r="ER52" s="4">
        <v>75.7</v>
      </c>
      <c r="ES52" s="4">
        <v>71.400000000000006</v>
      </c>
      <c r="ET52" s="3">
        <v>41.4</v>
      </c>
      <c r="EU52" s="3">
        <v>27.8</v>
      </c>
      <c r="EV52" s="3">
        <v>40</v>
      </c>
      <c r="EW52" s="3">
        <v>60.5</v>
      </c>
      <c r="EX52" s="3">
        <v>30.9</v>
      </c>
      <c r="EY52" s="3">
        <v>259.2</v>
      </c>
      <c r="EZ52" s="3">
        <v>42.1</v>
      </c>
      <c r="FA52" s="3">
        <v>30.1</v>
      </c>
      <c r="FB52" s="3">
        <v>34.4</v>
      </c>
      <c r="FC52" s="3">
        <v>39.4</v>
      </c>
      <c r="FD52" s="3">
        <v>96</v>
      </c>
      <c r="FE52" s="3">
        <v>73.7</v>
      </c>
      <c r="FF52" s="3">
        <v>3.4</v>
      </c>
      <c r="FG52" s="3">
        <v>34.700000000000003</v>
      </c>
      <c r="FH52" s="3">
        <v>24.9</v>
      </c>
      <c r="FI52" s="3">
        <v>31.9</v>
      </c>
      <c r="FJ52" s="3">
        <v>71</v>
      </c>
      <c r="FK52" s="3">
        <v>4.5</v>
      </c>
      <c r="FL52" s="3">
        <v>13.4</v>
      </c>
      <c r="FM52" s="3">
        <v>68.5</v>
      </c>
    </row>
    <row r="53" spans="1:169" x14ac:dyDescent="0.35">
      <c r="A53" s="2">
        <v>1922</v>
      </c>
      <c r="B53" s="4">
        <v>121.1</v>
      </c>
      <c r="C53" s="4">
        <v>126</v>
      </c>
      <c r="D53" s="4">
        <v>109.2</v>
      </c>
      <c r="E53" s="4">
        <v>128.1</v>
      </c>
      <c r="F53" s="4">
        <v>105.8</v>
      </c>
      <c r="G53" s="4">
        <v>135.5</v>
      </c>
      <c r="H53" s="4">
        <v>121.8</v>
      </c>
      <c r="I53" s="4">
        <v>152.6</v>
      </c>
      <c r="J53" s="4">
        <v>282.7</v>
      </c>
      <c r="K53" s="3">
        <v>128.30000000000001</v>
      </c>
      <c r="L53" s="4">
        <v>166.3</v>
      </c>
      <c r="M53" s="4">
        <v>207.9</v>
      </c>
      <c r="N53" s="3">
        <v>153.6</v>
      </c>
      <c r="O53" s="4">
        <v>171.1</v>
      </c>
      <c r="P53" s="4">
        <v>224.8</v>
      </c>
      <c r="Q53" s="4">
        <v>117</v>
      </c>
      <c r="R53" s="4">
        <v>122.2</v>
      </c>
      <c r="S53" s="4">
        <v>153.6</v>
      </c>
      <c r="T53" s="4">
        <v>89.9</v>
      </c>
      <c r="U53" s="4">
        <v>101.5</v>
      </c>
      <c r="V53" s="4">
        <v>141.19999999999999</v>
      </c>
      <c r="W53" s="4">
        <v>151.1</v>
      </c>
      <c r="X53" s="4">
        <v>144</v>
      </c>
      <c r="Y53" s="4">
        <v>78.400000000000006</v>
      </c>
      <c r="Z53" s="4">
        <v>170.5</v>
      </c>
      <c r="AA53" s="4">
        <v>147.1</v>
      </c>
      <c r="AB53" s="4">
        <v>237.8</v>
      </c>
      <c r="AC53" s="4">
        <v>236.6</v>
      </c>
      <c r="AD53" s="4">
        <v>86</v>
      </c>
      <c r="AE53" s="4">
        <v>155.1</v>
      </c>
      <c r="AF53" s="4">
        <v>127</v>
      </c>
      <c r="AG53" s="4">
        <v>695.1</v>
      </c>
      <c r="AH53" s="4">
        <v>148</v>
      </c>
      <c r="AI53" s="4">
        <v>39.1</v>
      </c>
      <c r="AJ53" s="4">
        <v>97.9</v>
      </c>
      <c r="AK53" s="4">
        <v>94.7</v>
      </c>
      <c r="AL53" s="4">
        <v>70.400000000000006</v>
      </c>
      <c r="AM53" s="4">
        <v>122</v>
      </c>
      <c r="AN53" s="4">
        <v>55</v>
      </c>
      <c r="AO53" s="4">
        <v>122.4</v>
      </c>
      <c r="AP53" s="4">
        <v>60.2</v>
      </c>
      <c r="AQ53" s="4">
        <v>185.6</v>
      </c>
      <c r="AR53" s="4">
        <v>159.19999999999999</v>
      </c>
      <c r="AS53" s="4">
        <v>141.80000000000001</v>
      </c>
      <c r="AT53" s="4">
        <v>77</v>
      </c>
      <c r="AU53" s="4">
        <v>112.7</v>
      </c>
      <c r="AV53" s="4">
        <v>90.9</v>
      </c>
      <c r="AW53" s="4">
        <v>71.5</v>
      </c>
      <c r="AX53" s="4">
        <v>87.2</v>
      </c>
      <c r="AY53" s="4">
        <v>375.6</v>
      </c>
      <c r="AZ53" s="4">
        <v>150.1</v>
      </c>
      <c r="BA53" s="4">
        <v>136.9</v>
      </c>
      <c r="BB53" s="3">
        <v>120.5</v>
      </c>
      <c r="BC53" s="4">
        <v>142</v>
      </c>
      <c r="BD53" s="4">
        <v>105.1</v>
      </c>
      <c r="BE53" s="3">
        <v>73.5</v>
      </c>
      <c r="BF53" s="4">
        <v>123</v>
      </c>
      <c r="BG53" s="3">
        <v>127.3</v>
      </c>
      <c r="BH53" s="4">
        <v>155.5</v>
      </c>
      <c r="BI53" s="4">
        <v>101.7</v>
      </c>
      <c r="BJ53" s="4">
        <v>23.7</v>
      </c>
      <c r="BK53" s="4">
        <v>157.5</v>
      </c>
      <c r="BL53" s="4">
        <v>105.1</v>
      </c>
      <c r="BM53" s="4">
        <v>79.2</v>
      </c>
      <c r="BN53" s="4">
        <v>209.2</v>
      </c>
      <c r="BO53" s="4">
        <v>109.3</v>
      </c>
      <c r="BP53" s="4">
        <v>157.4</v>
      </c>
      <c r="BQ53" s="4">
        <v>224.8</v>
      </c>
      <c r="BR53" s="3">
        <v>131.30000000000001</v>
      </c>
      <c r="BS53" s="4">
        <v>134.9</v>
      </c>
      <c r="BT53" s="4">
        <v>154</v>
      </c>
      <c r="BU53" s="4">
        <v>155.1</v>
      </c>
      <c r="BV53" s="4">
        <v>179.9</v>
      </c>
      <c r="BW53" s="4">
        <v>85.8</v>
      </c>
      <c r="BX53" s="4">
        <v>136.1</v>
      </c>
      <c r="BY53" s="4">
        <v>147.19999999999999</v>
      </c>
      <c r="BZ53" s="4">
        <v>193.8</v>
      </c>
      <c r="CA53" s="4">
        <v>98.1</v>
      </c>
      <c r="CB53" s="4">
        <v>79.900000000000006</v>
      </c>
      <c r="CC53" s="4">
        <v>128.5</v>
      </c>
      <c r="CD53" s="4">
        <v>133.80000000000001</v>
      </c>
      <c r="CE53" s="4">
        <v>128.69999999999999</v>
      </c>
      <c r="CF53" s="4">
        <v>124</v>
      </c>
      <c r="CG53" s="4">
        <v>102.3</v>
      </c>
      <c r="CH53" s="4">
        <v>146.19999999999999</v>
      </c>
      <c r="CI53" s="4">
        <v>221.4</v>
      </c>
      <c r="CJ53" s="4">
        <v>101.1</v>
      </c>
      <c r="CK53" s="4">
        <v>201.9</v>
      </c>
      <c r="CL53" s="4">
        <v>116.9</v>
      </c>
      <c r="CM53" s="4">
        <v>99.4</v>
      </c>
      <c r="CN53" s="4">
        <v>514.70000000000005</v>
      </c>
      <c r="CO53" s="4">
        <v>83.2</v>
      </c>
      <c r="CP53" s="4">
        <v>112.7</v>
      </c>
      <c r="CQ53" s="4">
        <v>86.6</v>
      </c>
      <c r="CR53" s="4">
        <v>60.7</v>
      </c>
      <c r="CS53" s="4">
        <v>275.2</v>
      </c>
      <c r="CT53" s="4">
        <v>182.7</v>
      </c>
      <c r="CU53" s="4">
        <v>181.3</v>
      </c>
      <c r="CV53" s="4">
        <v>103.7</v>
      </c>
      <c r="CW53" s="4">
        <v>90.7</v>
      </c>
      <c r="CX53" s="4">
        <v>152.69999999999999</v>
      </c>
      <c r="CY53" s="4">
        <v>256</v>
      </c>
      <c r="CZ53" s="4">
        <v>205.6</v>
      </c>
      <c r="DA53" s="4">
        <v>837.2</v>
      </c>
      <c r="DB53" s="4">
        <v>57.6</v>
      </c>
      <c r="DC53" s="4">
        <v>115.3</v>
      </c>
      <c r="DD53" s="4">
        <v>78.099999999999994</v>
      </c>
      <c r="DE53" s="4">
        <v>116.9</v>
      </c>
      <c r="DF53" s="4">
        <v>148.6</v>
      </c>
      <c r="DG53" s="4">
        <v>113.2</v>
      </c>
      <c r="DH53" s="4">
        <v>97</v>
      </c>
      <c r="DI53" s="4">
        <v>79.2</v>
      </c>
      <c r="DJ53" s="4">
        <v>18.3</v>
      </c>
      <c r="DK53" s="4">
        <v>396.4</v>
      </c>
      <c r="DL53" s="4">
        <v>3.6</v>
      </c>
      <c r="DM53" s="4">
        <v>127.3</v>
      </c>
      <c r="DN53" s="4">
        <v>110.8</v>
      </c>
      <c r="DO53" s="4">
        <v>24.9</v>
      </c>
      <c r="DP53" s="4">
        <v>119.5</v>
      </c>
      <c r="DQ53" s="4">
        <v>27.3</v>
      </c>
      <c r="DR53" s="4">
        <v>146.5</v>
      </c>
      <c r="DS53" s="4">
        <v>45.4</v>
      </c>
      <c r="DT53" s="3">
        <v>673.2</v>
      </c>
      <c r="DU53" s="4">
        <v>125.4</v>
      </c>
      <c r="DV53" s="4">
        <v>74.900000000000006</v>
      </c>
      <c r="DW53" s="4">
        <v>24.1</v>
      </c>
      <c r="DX53" s="4">
        <v>91.7</v>
      </c>
      <c r="DY53" s="3">
        <v>18.3</v>
      </c>
      <c r="DZ53" s="4">
        <v>35.4</v>
      </c>
      <c r="EA53" s="3">
        <v>291.8</v>
      </c>
      <c r="EB53" s="4">
        <v>115.4</v>
      </c>
      <c r="EC53" s="4">
        <v>15.3</v>
      </c>
      <c r="ED53" s="4">
        <v>56.4</v>
      </c>
      <c r="EE53" s="3">
        <v>128.6</v>
      </c>
      <c r="EF53" s="4">
        <v>273.2</v>
      </c>
      <c r="EG53" s="4">
        <v>98.1</v>
      </c>
      <c r="EH53" s="4">
        <v>54.9</v>
      </c>
      <c r="EI53" s="4">
        <v>43</v>
      </c>
      <c r="EJ53" s="4">
        <v>40.4</v>
      </c>
      <c r="EK53" s="4">
        <v>23.8</v>
      </c>
      <c r="EL53" s="4">
        <v>160.9</v>
      </c>
      <c r="EM53" s="4">
        <v>32</v>
      </c>
      <c r="EN53" s="4">
        <v>19.100000000000001</v>
      </c>
      <c r="EO53" s="4">
        <v>254</v>
      </c>
      <c r="EP53" s="4">
        <v>66</v>
      </c>
      <c r="EQ53" s="4">
        <v>107</v>
      </c>
      <c r="ER53" s="4">
        <v>103.7</v>
      </c>
      <c r="ES53" s="4">
        <v>78.400000000000006</v>
      </c>
      <c r="ET53" s="3">
        <v>49.3</v>
      </c>
      <c r="EU53" s="3">
        <v>27.2</v>
      </c>
      <c r="EV53" s="3">
        <v>58.7</v>
      </c>
      <c r="EW53" s="3">
        <v>86.5</v>
      </c>
      <c r="EX53" s="3">
        <v>38.5</v>
      </c>
      <c r="EY53" s="3">
        <v>365.9</v>
      </c>
      <c r="EZ53" s="3">
        <v>35.299999999999997</v>
      </c>
      <c r="FA53" s="3">
        <v>31.5</v>
      </c>
      <c r="FB53" s="3">
        <v>53.4</v>
      </c>
      <c r="FC53" s="3">
        <v>63.3</v>
      </c>
      <c r="FD53" s="3">
        <v>93.2</v>
      </c>
      <c r="FE53" s="3">
        <v>82.7</v>
      </c>
      <c r="FF53" s="3">
        <v>40.299999999999997</v>
      </c>
      <c r="FG53" s="3">
        <v>57.6</v>
      </c>
      <c r="FH53" s="3">
        <v>28.7</v>
      </c>
      <c r="FI53" s="3">
        <v>35.299999999999997</v>
      </c>
      <c r="FJ53" s="3">
        <v>129.4</v>
      </c>
      <c r="FK53" s="3">
        <v>21.2</v>
      </c>
      <c r="FL53" s="3">
        <v>16.8</v>
      </c>
      <c r="FM53" s="3">
        <v>87.1</v>
      </c>
    </row>
    <row r="54" spans="1:169" x14ac:dyDescent="0.35">
      <c r="A54" s="2">
        <v>1923</v>
      </c>
      <c r="B54" s="4">
        <v>126</v>
      </c>
      <c r="C54" s="4">
        <v>129.19999999999999</v>
      </c>
      <c r="D54" s="4">
        <v>118.6</v>
      </c>
      <c r="E54" s="4">
        <v>108.3</v>
      </c>
      <c r="F54" s="4">
        <v>112.6</v>
      </c>
      <c r="G54" s="4">
        <v>156</v>
      </c>
      <c r="H54" s="4">
        <v>117.7</v>
      </c>
      <c r="I54" s="4">
        <v>156.4</v>
      </c>
      <c r="J54" s="4">
        <v>267.8</v>
      </c>
      <c r="K54" s="4">
        <v>131.1</v>
      </c>
      <c r="L54" s="4">
        <v>229.2</v>
      </c>
      <c r="M54" s="4">
        <v>235.2</v>
      </c>
      <c r="N54" s="3">
        <v>183.1</v>
      </c>
      <c r="O54" s="4">
        <v>203.6</v>
      </c>
      <c r="P54" s="4">
        <v>212.8</v>
      </c>
      <c r="Q54" s="4">
        <v>94.2</v>
      </c>
      <c r="R54" s="4">
        <v>102.9</v>
      </c>
      <c r="S54" s="4">
        <v>131.30000000000001</v>
      </c>
      <c r="T54" s="4">
        <v>100.8</v>
      </c>
      <c r="U54" s="4">
        <v>115.2</v>
      </c>
      <c r="V54" s="4">
        <v>175.8</v>
      </c>
      <c r="W54" s="4">
        <v>175.7</v>
      </c>
      <c r="X54" s="4">
        <v>146.80000000000001</v>
      </c>
      <c r="Y54" s="4">
        <v>73.3</v>
      </c>
      <c r="Z54" s="4">
        <v>171.5</v>
      </c>
      <c r="AA54" s="4">
        <v>143.69999999999999</v>
      </c>
      <c r="AB54" s="4">
        <v>151.80000000000001</v>
      </c>
      <c r="AC54" s="4">
        <v>112.1</v>
      </c>
      <c r="AD54" s="4">
        <v>71.7</v>
      </c>
      <c r="AE54" s="4">
        <v>202.1</v>
      </c>
      <c r="AF54" s="4">
        <v>159.4</v>
      </c>
      <c r="AG54" s="4">
        <v>661.5</v>
      </c>
      <c r="AH54" s="4">
        <v>152.19999999999999</v>
      </c>
      <c r="AI54" s="4">
        <v>35.1</v>
      </c>
      <c r="AJ54" s="4">
        <v>108.2</v>
      </c>
      <c r="AK54" s="4">
        <v>87.3</v>
      </c>
      <c r="AL54" s="4">
        <v>61.2</v>
      </c>
      <c r="AM54" s="4">
        <v>105.4</v>
      </c>
      <c r="AN54" s="4">
        <v>70.900000000000006</v>
      </c>
      <c r="AO54" s="4">
        <v>109.5</v>
      </c>
      <c r="AP54" s="4">
        <v>107.4</v>
      </c>
      <c r="AQ54" s="4">
        <v>290.39999999999998</v>
      </c>
      <c r="AR54" s="4">
        <v>252.2</v>
      </c>
      <c r="AS54" s="4">
        <v>168.4</v>
      </c>
      <c r="AT54" s="4">
        <v>86.4</v>
      </c>
      <c r="AU54" s="4">
        <v>128.9</v>
      </c>
      <c r="AV54" s="3">
        <v>89.9</v>
      </c>
      <c r="AW54" s="4">
        <v>76.5</v>
      </c>
      <c r="AX54" s="4">
        <v>101.3</v>
      </c>
      <c r="AY54" s="4">
        <v>681.7</v>
      </c>
      <c r="AZ54" s="3">
        <v>180.3</v>
      </c>
      <c r="BA54" s="4">
        <v>156</v>
      </c>
      <c r="BB54" s="4">
        <v>100.2</v>
      </c>
      <c r="BC54" s="4">
        <v>166.5</v>
      </c>
      <c r="BD54" s="4">
        <v>109.9</v>
      </c>
      <c r="BE54" s="4">
        <v>64.599999999999994</v>
      </c>
      <c r="BF54" s="4">
        <v>132.5</v>
      </c>
      <c r="BG54" s="4">
        <v>242.1</v>
      </c>
      <c r="BH54" s="4">
        <v>171</v>
      </c>
      <c r="BI54" s="4">
        <v>114.9</v>
      </c>
      <c r="BJ54" s="4">
        <v>41.9</v>
      </c>
      <c r="BK54" s="4">
        <v>137.80000000000001</v>
      </c>
      <c r="BL54" s="4">
        <v>124.4</v>
      </c>
      <c r="BM54" s="4">
        <v>87.6</v>
      </c>
      <c r="BN54" s="4">
        <v>182.8</v>
      </c>
      <c r="BO54" s="4">
        <v>145.30000000000001</v>
      </c>
      <c r="BP54" s="4">
        <v>157.9</v>
      </c>
      <c r="BQ54" s="4">
        <v>246.9</v>
      </c>
      <c r="BR54" s="4">
        <v>122.6</v>
      </c>
      <c r="BS54" s="3">
        <v>138.80000000000001</v>
      </c>
      <c r="BT54" s="4">
        <v>164.2</v>
      </c>
      <c r="BU54" s="4">
        <v>169.6</v>
      </c>
      <c r="BV54" s="4">
        <v>192.1</v>
      </c>
      <c r="BW54" s="4">
        <v>101.9</v>
      </c>
      <c r="BX54" s="4">
        <v>87.2</v>
      </c>
      <c r="BY54" s="4">
        <v>148.9</v>
      </c>
      <c r="BZ54" s="4">
        <v>202.1</v>
      </c>
      <c r="CA54" s="3">
        <v>133.9</v>
      </c>
      <c r="CB54" s="4">
        <v>96.6</v>
      </c>
      <c r="CC54" s="4">
        <v>141.4</v>
      </c>
      <c r="CD54" s="4">
        <v>131.19999999999999</v>
      </c>
      <c r="CE54" s="4">
        <v>133</v>
      </c>
      <c r="CF54" s="4">
        <v>142.4</v>
      </c>
      <c r="CG54" s="4">
        <v>108.7</v>
      </c>
      <c r="CH54" s="4">
        <v>165.4</v>
      </c>
      <c r="CI54" s="4">
        <v>265.89999999999998</v>
      </c>
      <c r="CJ54" s="4">
        <v>96.8</v>
      </c>
      <c r="CK54" s="4">
        <v>160.80000000000001</v>
      </c>
      <c r="CL54" s="4">
        <v>92</v>
      </c>
      <c r="CM54" s="4">
        <v>97.8</v>
      </c>
      <c r="CN54" s="4">
        <v>529.70000000000005</v>
      </c>
      <c r="CO54" s="4">
        <v>106.5</v>
      </c>
      <c r="CP54" s="3">
        <v>129.5</v>
      </c>
      <c r="CQ54" s="4">
        <v>106.6</v>
      </c>
      <c r="CR54" s="4">
        <v>78.599999999999994</v>
      </c>
      <c r="CS54" s="4">
        <v>310.2</v>
      </c>
      <c r="CT54" s="4">
        <v>222.1</v>
      </c>
      <c r="CU54" s="4">
        <v>177</v>
      </c>
      <c r="CV54" s="4">
        <v>126</v>
      </c>
      <c r="CW54" s="4">
        <v>112.4</v>
      </c>
      <c r="CX54" s="4">
        <v>189.4</v>
      </c>
      <c r="CY54" s="4">
        <v>275.3</v>
      </c>
      <c r="CZ54" s="4">
        <v>258.39999999999998</v>
      </c>
      <c r="DA54" s="4">
        <v>538.9</v>
      </c>
      <c r="DB54" s="4">
        <v>84.2</v>
      </c>
      <c r="DC54" s="4">
        <v>134.80000000000001</v>
      </c>
      <c r="DD54" s="4">
        <v>119.6</v>
      </c>
      <c r="DE54" s="4">
        <v>113.6</v>
      </c>
      <c r="DF54" s="4">
        <v>163.4</v>
      </c>
      <c r="DG54" s="4">
        <v>127.2</v>
      </c>
      <c r="DH54" s="4">
        <v>86.4</v>
      </c>
      <c r="DI54" s="4">
        <v>98</v>
      </c>
      <c r="DJ54" s="4">
        <v>12.1</v>
      </c>
      <c r="DK54" s="4">
        <v>192.6</v>
      </c>
      <c r="DL54" s="4">
        <v>3.3</v>
      </c>
      <c r="DM54" s="4">
        <v>140.30000000000001</v>
      </c>
      <c r="DN54" s="4">
        <v>148.1</v>
      </c>
      <c r="DO54" s="4">
        <v>27.3</v>
      </c>
      <c r="DP54" s="4">
        <v>118.7</v>
      </c>
      <c r="DQ54" s="4">
        <v>25.1</v>
      </c>
      <c r="DR54" s="3">
        <v>153.4</v>
      </c>
      <c r="DS54" s="4">
        <v>42.7</v>
      </c>
      <c r="DT54" s="4">
        <v>807.1</v>
      </c>
      <c r="DU54" s="3">
        <v>122.5</v>
      </c>
      <c r="DV54" s="4">
        <v>115.2</v>
      </c>
      <c r="DW54" s="4">
        <v>25.7</v>
      </c>
      <c r="DX54" s="4">
        <v>154.1</v>
      </c>
      <c r="DY54" s="4">
        <v>23.1</v>
      </c>
      <c r="DZ54" s="4">
        <v>47.1</v>
      </c>
      <c r="EA54" s="4">
        <v>296.2</v>
      </c>
      <c r="EB54" s="4">
        <v>145.1</v>
      </c>
      <c r="EC54" s="4">
        <v>19.8</v>
      </c>
      <c r="ED54" s="4">
        <v>69.5</v>
      </c>
      <c r="EE54" s="4">
        <v>160.1</v>
      </c>
      <c r="EF54" s="4">
        <v>323.60000000000002</v>
      </c>
      <c r="EG54" s="4">
        <v>166.3</v>
      </c>
      <c r="EH54" s="4">
        <v>66.400000000000006</v>
      </c>
      <c r="EI54" s="4">
        <v>47.8</v>
      </c>
      <c r="EJ54" s="3">
        <v>38.6</v>
      </c>
      <c r="EK54" s="4">
        <v>29.7</v>
      </c>
      <c r="EL54" s="4">
        <v>190.2</v>
      </c>
      <c r="EM54" s="3">
        <v>33.799999999999997</v>
      </c>
      <c r="EN54" s="4">
        <v>19.7</v>
      </c>
      <c r="EO54" s="4">
        <v>384.8</v>
      </c>
      <c r="EP54" s="4">
        <v>57.2</v>
      </c>
      <c r="EQ54" s="4">
        <v>118.9</v>
      </c>
      <c r="ER54" s="4">
        <v>188.5</v>
      </c>
      <c r="ES54" s="4">
        <v>87.8</v>
      </c>
      <c r="ET54" s="3">
        <v>67</v>
      </c>
      <c r="EU54" s="3">
        <v>37</v>
      </c>
      <c r="EV54" s="3">
        <v>66.3</v>
      </c>
      <c r="EW54" s="3">
        <v>129.69999999999999</v>
      </c>
      <c r="EX54" s="3">
        <v>47</v>
      </c>
      <c r="EY54" s="3">
        <v>392.3</v>
      </c>
      <c r="EZ54" s="3">
        <v>40</v>
      </c>
      <c r="FA54" s="3">
        <v>40.200000000000003</v>
      </c>
      <c r="FB54" s="3">
        <v>70.7</v>
      </c>
      <c r="FC54" s="3">
        <v>74.400000000000006</v>
      </c>
      <c r="FD54" s="3">
        <v>125</v>
      </c>
      <c r="FE54" s="3">
        <v>63.3</v>
      </c>
      <c r="FF54" s="3">
        <v>9.6</v>
      </c>
      <c r="FG54" s="3">
        <v>68.099999999999994</v>
      </c>
      <c r="FH54" s="3">
        <v>45.9</v>
      </c>
      <c r="FI54" s="3">
        <v>46.8</v>
      </c>
      <c r="FJ54" s="3">
        <v>172.2</v>
      </c>
      <c r="FK54" s="3">
        <v>26.2</v>
      </c>
      <c r="FL54" s="3">
        <v>14.7</v>
      </c>
      <c r="FM54" s="3">
        <v>111.3</v>
      </c>
    </row>
  </sheetData>
  <pageMargins left="0.7" right="0.7" top="0.75" bottom="0.75" header="0.3" footer="0.3"/>
  <ignoredErrors>
    <ignoredError sqref="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A87D-3CA3-4D2B-B9F9-744ECAFF1366}">
  <sheetPr>
    <tabColor theme="4" tint="0.59999389629810485"/>
  </sheetPr>
  <dimension ref="A1:BG54"/>
  <sheetViews>
    <sheetView workbookViewId="0">
      <pane xSplit="1" ySplit="9" topLeftCell="B43" activePane="bottomRight" state="frozen"/>
      <selection activeCell="DV4" sqref="DV4"/>
      <selection pane="topRight" activeCell="DV4" sqref="DV4"/>
      <selection pane="bottomLeft" activeCell="DV4" sqref="DV4"/>
      <selection pane="bottomRight" activeCell="DV4" sqref="DV4"/>
    </sheetView>
  </sheetViews>
  <sheetFormatPr defaultRowHeight="14.5" x14ac:dyDescent="0.35"/>
  <sheetData>
    <row r="1" spans="1:59" x14ac:dyDescent="0.35">
      <c r="A1" t="s">
        <v>144</v>
      </c>
      <c r="B1" t="s">
        <v>140</v>
      </c>
      <c r="C1" t="s">
        <v>140</v>
      </c>
      <c r="D1" t="s">
        <v>140</v>
      </c>
      <c r="E1" t="s">
        <v>140</v>
      </c>
      <c r="F1" t="s">
        <v>140</v>
      </c>
      <c r="G1" t="s">
        <v>140</v>
      </c>
      <c r="H1" t="s">
        <v>140</v>
      </c>
      <c r="I1" t="s">
        <v>140</v>
      </c>
      <c r="J1" t="s">
        <v>140</v>
      </c>
      <c r="K1" t="s">
        <v>140</v>
      </c>
      <c r="L1" t="s">
        <v>140</v>
      </c>
      <c r="M1" t="s">
        <v>140</v>
      </c>
      <c r="N1" t="s">
        <v>140</v>
      </c>
      <c r="O1" t="s">
        <v>140</v>
      </c>
      <c r="P1" t="s">
        <v>140</v>
      </c>
      <c r="Q1" t="s">
        <v>140</v>
      </c>
      <c r="R1" t="s">
        <v>140</v>
      </c>
      <c r="S1" t="s">
        <v>140</v>
      </c>
      <c r="T1" t="s">
        <v>140</v>
      </c>
      <c r="U1" t="s">
        <v>140</v>
      </c>
      <c r="V1" t="s">
        <v>140</v>
      </c>
      <c r="W1" t="s">
        <v>140</v>
      </c>
      <c r="X1" t="s">
        <v>143</v>
      </c>
      <c r="Y1" t="s">
        <v>143</v>
      </c>
      <c r="Z1" t="s">
        <v>143</v>
      </c>
      <c r="AA1" t="s">
        <v>143</v>
      </c>
      <c r="AB1" t="s">
        <v>143</v>
      </c>
      <c r="AC1" t="s">
        <v>143</v>
      </c>
      <c r="AD1" t="s">
        <v>143</v>
      </c>
      <c r="AE1" t="s">
        <v>143</v>
      </c>
      <c r="AF1" t="s">
        <v>143</v>
      </c>
      <c r="AG1" t="s">
        <v>143</v>
      </c>
      <c r="AH1" t="s">
        <v>143</v>
      </c>
      <c r="AI1" t="s">
        <v>143</v>
      </c>
      <c r="AJ1" t="s">
        <v>143</v>
      </c>
      <c r="AK1" t="s">
        <v>143</v>
      </c>
      <c r="AL1" t="s">
        <v>143</v>
      </c>
      <c r="AM1" t="s">
        <v>143</v>
      </c>
      <c r="AN1" t="s">
        <v>143</v>
      </c>
      <c r="AO1" t="s">
        <v>143</v>
      </c>
      <c r="AP1" t="s">
        <v>143</v>
      </c>
      <c r="AQ1" t="s">
        <v>143</v>
      </c>
      <c r="AR1" t="s">
        <v>143</v>
      </c>
      <c r="AS1" t="s">
        <v>143</v>
      </c>
      <c r="AT1" t="s">
        <v>143</v>
      </c>
      <c r="AU1" t="s">
        <v>143</v>
      </c>
      <c r="AV1" t="s">
        <v>143</v>
      </c>
      <c r="AW1" t="s">
        <v>143</v>
      </c>
      <c r="AX1" t="s">
        <v>143</v>
      </c>
      <c r="AY1" t="s">
        <v>143</v>
      </c>
      <c r="AZ1" t="s">
        <v>143</v>
      </c>
      <c r="BA1" t="s">
        <v>143</v>
      </c>
      <c r="BB1" t="s">
        <v>143</v>
      </c>
      <c r="BC1" t="s">
        <v>143</v>
      </c>
      <c r="BD1" t="s">
        <v>143</v>
      </c>
      <c r="BE1" t="s">
        <v>143</v>
      </c>
      <c r="BF1" t="s">
        <v>143</v>
      </c>
      <c r="BG1" t="s">
        <v>143</v>
      </c>
    </row>
    <row r="2" spans="1:59" x14ac:dyDescent="0.35">
      <c r="A2" t="s">
        <v>82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142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142</v>
      </c>
    </row>
    <row r="3" spans="1:59" x14ac:dyDescent="0.35">
      <c r="A3" t="s">
        <v>81</v>
      </c>
      <c r="B3" t="str">
        <f>IF(B$1="Export",INDEX(CodesIndex!$F$3:$F$200,MATCH(B$4,CodesIndex!$E$3:$E$200,0)),IF(B1="Import",INDEX(CodesIndex!$H$3:$H$200,MATCH(B$4,CodesIndex!$G$3:$G$200,0)),NA()))</f>
        <v>All agricultural, excluding tobacco</v>
      </c>
      <c r="C3" t="str">
        <f>IF(C$1="Export",INDEX(CodesIndex!$F$3:$F$200,MATCH(C$4,CodesIndex!$E$3:$E$200,0)),IF(C1="Import",INDEX(CodesIndex!$H$3:$H$200,MATCH(C$4,CodesIndex!$G$3:$G$200,0)),NA()))</f>
        <v>Meats</v>
      </c>
      <c r="D3" t="str">
        <f>IF(D$1="Export",INDEX(CodesIndex!$F$3:$F$200,MATCH(D$4,CodesIndex!$E$3:$E$200,0)),IF(D1="Import",INDEX(CodesIndex!$H$3:$H$200,MATCH(D$4,CodesIndex!$G$3:$G$200,0)),NA()))</f>
        <v>Animal, agricultural</v>
      </c>
      <c r="E3" t="str">
        <f>IF(E$1="Export",INDEX(CodesIndex!$F$3:$F$200,MATCH(E$4,CodesIndex!$E$3:$E$200,0)),IF(E1="Import",INDEX(CodesIndex!$H$3:$H$200,MATCH(E$4,CodesIndex!$G$3:$G$200,0)),NA()))</f>
        <v>Animal, all</v>
      </c>
      <c r="F3" t="str">
        <f>IF(F$1="Export",INDEX(CodesIndex!$F$3:$F$200,MATCH(F$4,CodesIndex!$E$3:$E$200,0)),IF(F1="Import",INDEX(CodesIndex!$H$3:$H$200,MATCH(F$4,CodesIndex!$G$3:$G$200,0)),NA()))</f>
        <v>All agricultural</v>
      </c>
      <c r="G3" t="str">
        <f>IF(G$1="Export",INDEX(CodesIndex!$F$3:$F$200,MATCH(G$4,CodesIndex!$E$3:$E$200,0)),IF(G1="Import",INDEX(CodesIndex!$H$3:$H$200,MATCH(G$4,CodesIndex!$G$3:$G$200,0)),NA()))</f>
        <v>Hides, leather, and products, crude, semimanufactured and manufactured</v>
      </c>
      <c r="H3" t="str">
        <f>IF(H$1="Export",INDEX(CodesIndex!$F$3:$F$200,MATCH(H$4,CodesIndex!$E$3:$E$200,0)),IF(H1="Import",INDEX(CodesIndex!$H$3:$H$200,MATCH(H$4,CodesIndex!$G$3:$G$200,0)),NA()))</f>
        <v>Cotton textiles, crude, semimanufactured and manufactured</v>
      </c>
      <c r="I3" t="str">
        <f>IF(I$1="Export",INDEX(CodesIndex!$F$3:$F$200,MATCH(I$4,CodesIndex!$E$3:$E$200,0)),IF(I1="Import",INDEX(CodesIndex!$H$3:$H$200,MATCH(I$4,CodesIndex!$G$3:$G$200,0)),NA()))</f>
        <v>Manufactured textiles</v>
      </c>
      <c r="J3" t="str">
        <f>IF(J$1="Export",INDEX(CodesIndex!$F$3:$F$200,MATCH(J$4,CodesIndex!$E$3:$E$200,0)),IF(J1="Import",INDEX(CodesIndex!$H$3:$H$200,MATCH(J$4,CodesIndex!$G$3:$G$200,0)),NA()))</f>
        <v>Wood and manufactures, except paper</v>
      </c>
      <c r="K3" t="str">
        <f>IF(K$1="Export",INDEX(CodesIndex!$F$3:$F$200,MATCH(K$4,CodesIndex!$E$3:$E$200,0)),IF(K1="Import",INDEX(CodesIndex!$H$3:$H$200,MATCH(K$4,CodesIndex!$G$3:$G$200,0)),NA()))</f>
        <v>Crude, including tobacco</v>
      </c>
      <c r="L3" t="str">
        <f>IF(L$1="Export",INDEX(CodesIndex!$F$3:$F$200,MATCH(L$4,CodesIndex!$E$3:$E$200,0)),IF(L1="Import",INDEX(CodesIndex!$H$3:$H$200,MATCH(L$4,CodesIndex!$G$3:$G$200,0)),NA()))</f>
        <v>Semimanufactures</v>
      </c>
      <c r="M3" t="str">
        <f>IF(M$1="Export",INDEX(CodesIndex!$F$3:$F$200,MATCH(M$4,CodesIndex!$E$3:$E$200,0)),IF(M1="Import",INDEX(CodesIndex!$H$3:$H$200,MATCH(M$4,CodesIndex!$G$3:$G$200,0)),NA()))</f>
        <v>Agricultural, including tobacco</v>
      </c>
      <c r="N3" t="str">
        <f>IF(N$1="Export",INDEX(CodesIndex!$F$3:$F$200,MATCH(N$4,CodesIndex!$E$3:$E$200,0)),IF(N1="Import",INDEX(CodesIndex!$H$3:$H$200,MATCH(N$4,CodesIndex!$G$3:$G$200,0)),NA()))</f>
        <v>All, including tobacco</v>
      </c>
      <c r="O3" t="str">
        <f>IF(O$1="Export",INDEX(CodesIndex!$F$3:$F$200,MATCH(O$4,CodesIndex!$E$3:$E$200,0)),IF(O1="Import",INDEX(CodesIndex!$H$3:$H$200,MATCH(O$4,CodesIndex!$G$3:$G$200,0)),NA()))</f>
        <v>Petroleum and products</v>
      </c>
      <c r="P3" t="str">
        <f>IF(P$1="Export",INDEX(CodesIndex!$F$3:$F$200,MATCH(P$4,CodesIndex!$E$3:$E$200,0)),IF(P1="Import",INDEX(CodesIndex!$H$3:$H$200,MATCH(P$4,CodesIndex!$G$3:$G$200,0)),NA()))</f>
        <v>Fuels</v>
      </c>
      <c r="Q3" t="str">
        <f>IF(Q$1="Export",INDEX(CodesIndex!$F$3:$F$200,MATCH(Q$4,CodesIndex!$E$3:$E$200,0)),IF(Q1="Import",INDEX(CodesIndex!$H$3:$H$200,MATCH(Q$4,CodesIndex!$G$3:$G$200,0)),NA()))</f>
        <v>Semimanufactured metals</v>
      </c>
      <c r="R3" t="str">
        <f>IF(R$1="Export",INDEX(CodesIndex!$F$3:$F$200,MATCH(R$4,CodesIndex!$E$3:$E$200,0)),IF(R1="Import",INDEX(CodesIndex!$H$3:$H$200,MATCH(R$4,CodesIndex!$G$3:$G$200,0)),NA()))</f>
        <v>Machinery and automobiles and parts</v>
      </c>
      <c r="S3" t="str">
        <f>IF(S$1="Export",INDEX(CodesIndex!$F$3:$F$200,MATCH(S$4,CodesIndex!$E$3:$E$200,0)),IF(S1="Import",INDEX(CodesIndex!$H$3:$H$200,MATCH(S$4,CodesIndex!$G$3:$G$200,0)),NA()))</f>
        <v>Manufactured iron and steel products including machinery and vehicles</v>
      </c>
      <c r="T3" t="str">
        <f>IF(T$1="Export",INDEX(CodesIndex!$F$3:$F$200,MATCH(T$4,CodesIndex!$E$3:$E$200,0)),IF(T1="Import",INDEX(CodesIndex!$H$3:$H$200,MATCH(T$4,CodesIndex!$G$3:$G$200,0)),NA()))</f>
        <v>Crude materials</v>
      </c>
      <c r="U3" t="str">
        <f>IF(U$1="Export",INDEX(CodesIndex!$F$3:$F$200,MATCH(U$4,CodesIndex!$E$3:$E$200,0)),IF(U1="Import",INDEX(CodesIndex!$H$3:$H$200,MATCH(U$4,CodesIndex!$G$3:$G$200,0)),NA()))</f>
        <v>Semimanufactures</v>
      </c>
      <c r="V3" t="str">
        <f>IF(V$1="Export",INDEX(CodesIndex!$F$3:$F$200,MATCH(V$4,CodesIndex!$E$3:$E$200,0)),IF(V1="Import",INDEX(CodesIndex!$H$3:$H$200,MATCH(V$4,CodesIndex!$G$3:$G$200,0)),NA()))</f>
        <v>Manufactured metal products</v>
      </c>
      <c r="W3" t="str">
        <f>IF(W$1="Export",INDEX(CodesIndex!$F$3:$F$200,MATCH(W$4,CodesIndex!$E$3:$E$200,0)),IF(W1="Import",INDEX(CodesIndex!$H$3:$H$200,MATCH(W$4,CodesIndex!$G$3:$G$200,0)),NA()))</f>
        <v>Manufactured products, including rubber, books, and other printed matter</v>
      </c>
      <c r="X3" t="str">
        <f>IF(X$1="Export",INDEX(CodesIndex!$F$3:$F$200,MATCH(X$4,CodesIndex!$E$3:$E$200,0)),IF(X1="Import",INDEX(CodesIndex!$H$3:$H$200,MATCH(X$4,CodesIndex!$G$3:$G$200,0)),NA()))</f>
        <v>Vegetable, except tropical</v>
      </c>
      <c r="Y3" t="str">
        <f>IF(Y$1="Export",INDEX(CodesIndex!$F$3:$F$200,MATCH(Y$4,CodesIndex!$E$3:$E$200,0)),IF(Y1="Import",INDEX(CodesIndex!$H$3:$H$200,MATCH(Y$4,CodesIndex!$G$3:$G$200,0)),NA()))</f>
        <v>Vegetable, tropical</v>
      </c>
      <c r="Z3" t="str">
        <f>IF(Z$1="Export",INDEX(CodesIndex!$F$3:$F$200,MATCH(Z$4,CodesIndex!$E$3:$E$200,0)),IF(Z1="Import",INDEX(CodesIndex!$H$3:$H$200,MATCH(Z$4,CodesIndex!$G$3:$G$200,0)),NA()))</f>
        <v>Vegetable, all</v>
      </c>
      <c r="AA3" t="str">
        <f>IF(AA$1="Export",INDEX(CodesIndex!$F$3:$F$200,MATCH(AA$4,CodesIndex!$E$3:$E$200,0)),IF(AA1="Import",INDEX(CodesIndex!$H$3:$H$200,MATCH(AA$4,CodesIndex!$G$3:$G$200,0)),NA()))</f>
        <v>Agricultural, all</v>
      </c>
      <c r="AB3" t="str">
        <f>IF(AB$1="Export",INDEX(CodesIndex!$F$3:$F$200,MATCH(AB$4,CodesIndex!$E$3:$E$200,0)),IF(AB1="Import",INDEX(CodesIndex!$H$3:$H$200,MATCH(AB$4,CodesIndex!$G$3:$G$200,0)),NA()))</f>
        <v>Animal</v>
      </c>
      <c r="AC3" t="str">
        <f>IF(AC$1="Export",INDEX(CodesIndex!$F$3:$F$200,MATCH(AC$4,CodesIndex!$E$3:$E$200,0)),IF(AC1="Import",INDEX(CodesIndex!$H$3:$H$200,MATCH(AC$4,CodesIndex!$G$3:$G$200,0)),NA()))</f>
        <v>Vegetable, agricultural, excluding sugar and beverages</v>
      </c>
      <c r="AD3" t="str">
        <f>IF(AD$1="Export",INDEX(CodesIndex!$F$3:$F$200,MATCH(AD$4,CodesIndex!$E$3:$E$200,0)),IF(AD1="Import",INDEX(CodesIndex!$H$3:$H$200,MATCH(AD$4,CodesIndex!$G$3:$G$200,0)),NA()))</f>
        <v>Vegetable, agricultural</v>
      </c>
      <c r="AE3" t="str">
        <f>IF(AE$1="Export",INDEX(CodesIndex!$F$3:$F$200,MATCH(AE$4,CodesIndex!$E$3:$E$200,0)),IF(AE1="Import",INDEX(CodesIndex!$H$3:$H$200,MATCH(AE$4,CodesIndex!$G$3:$G$200,0)),NA()))</f>
        <v>Vegetable, all</v>
      </c>
      <c r="AF3" t="str">
        <f>IF(AF$1="Export",INDEX(CodesIndex!$F$3:$F$200,MATCH(AF$4,CodesIndex!$E$3:$E$200,0)),IF(AF1="Import",INDEX(CodesIndex!$H$3:$H$200,MATCH(AF$4,CodesIndex!$G$3:$G$200,0)),NA()))</f>
        <v>Manufactured foodstuffs, agricultural</v>
      </c>
      <c r="AG3" t="str">
        <f>IF(AG$1="Export",INDEX(CodesIndex!$F$3:$F$200,MATCH(AG$4,CodesIndex!$E$3:$E$200,0)),IF(AG1="Import",INDEX(CodesIndex!$H$3:$H$200,MATCH(AG$4,CodesIndex!$G$3:$G$200,0)),NA()))</f>
        <v>Hides, leather and products</v>
      </c>
      <c r="AH3" t="str">
        <f>IF(AH$1="Export",INDEX(CodesIndex!$F$3:$F$200,MATCH(AH$4,CodesIndex!$E$3:$E$200,0)),IF(AH1="Import",INDEX(CodesIndex!$H$3:$H$200,MATCH(AH$4,CodesIndex!$G$3:$G$200,0)),NA()))</f>
        <v>Crude, agricultural, excluding fibers</v>
      </c>
      <c r="AI3" t="str">
        <f>IF(AI$1="Export",INDEX(CodesIndex!$F$3:$F$200,MATCH(AI$4,CodesIndex!$E$3:$E$200,0)),IF(AI1="Import",INDEX(CodesIndex!$H$3:$H$200,MATCH(AI$4,CodesIndex!$G$3:$G$200,0)),NA()))</f>
        <v>Crude, agricultural, except fibers</v>
      </c>
      <c r="AJ3" t="str">
        <f>IF(AJ$1="Export",INDEX(CodesIndex!$F$3:$F$200,MATCH(AJ$4,CodesIndex!$E$3:$E$200,0)),IF(AJ1="Import",INDEX(CodesIndex!$H$3:$H$200,MATCH(AJ$4,CodesIndex!$G$3:$G$200,0)),NA()))</f>
        <v>Crude, vegetable</v>
      </c>
      <c r="AK3" t="str">
        <f>IF(AK$1="Export",INDEX(CodesIndex!$F$3:$F$200,MATCH(AK$4,CodesIndex!$E$3:$E$200,0)),IF(AK1="Import",INDEX(CodesIndex!$H$3:$H$200,MATCH(AK$4,CodesIndex!$G$3:$G$200,0)),NA()))</f>
        <v>Manufactured, vegetable</v>
      </c>
      <c r="AL3" t="str">
        <f>IF(AL$1="Export",INDEX(CodesIndex!$F$3:$F$200,MATCH(AL$4,CodesIndex!$E$3:$E$200,0)),IF(AL1="Import",INDEX(CodesIndex!$H$3:$H$200,MATCH(AL$4,CodesIndex!$G$3:$G$200,0)),NA()))</f>
        <v>Crude, animal</v>
      </c>
      <c r="AM3" t="str">
        <f>IF(AM$1="Export",INDEX(CodesIndex!$F$3:$F$200,MATCH(AM$4,CodesIndex!$E$3:$E$200,0)),IF(AM1="Import",INDEX(CodesIndex!$H$3:$H$200,MATCH(AM$4,CodesIndex!$G$3:$G$200,0)),NA()))</f>
        <v>Manufactured, animal</v>
      </c>
      <c r="AN3" t="str">
        <f>IF(AN$1="Export",INDEX(CodesIndex!$F$3:$F$200,MATCH(AN$4,CodesIndex!$E$3:$E$200,0)),IF(AN1="Import",INDEX(CodesIndex!$H$3:$H$200,MATCH(AN$4,CodesIndex!$G$3:$G$200,0)),NA()))</f>
        <v>Crude, all</v>
      </c>
      <c r="AO3" t="str">
        <f>IF(AO$1="Export",INDEX(CodesIndex!$F$3:$F$200,MATCH(AO$4,CodesIndex!$E$3:$E$200,0)),IF(AO1="Import",INDEX(CodesIndex!$H$3:$H$200,MATCH(AO$4,CodesIndex!$G$3:$G$200,0)),NA()))</f>
        <v>Manufactured, all</v>
      </c>
      <c r="AP3" t="str">
        <f>IF(AP$1="Export",INDEX(CodesIndex!$F$3:$F$200,MATCH(AP$4,CodesIndex!$E$3:$E$200,0)),IF(AP1="Import",INDEX(CodesIndex!$H$3:$H$200,MATCH(AP$4,CodesIndex!$G$3:$G$200,0)),NA()))</f>
        <v>All fibers</v>
      </c>
      <c r="AQ3" t="str">
        <f>IF(AQ$1="Export",INDEX(CodesIndex!$F$3:$F$200,MATCH(AQ$4,CodesIndex!$E$3:$E$200,0)),IF(AQ1="Import",INDEX(CodesIndex!$H$3:$H$200,MATCH(AQ$4,CodesIndex!$G$3:$G$200,0)),NA()))</f>
        <v>Crude, except fibers and tobacco</v>
      </c>
      <c r="AR3" t="str">
        <f>IF(AR$1="Export",INDEX(CodesIndex!$F$3:$F$200,MATCH(AR$4,CodesIndex!$E$3:$E$200,0)),IF(AR1="Import",INDEX(CodesIndex!$H$3:$H$200,MATCH(AR$4,CodesIndex!$G$3:$G$200,0)),NA()))</f>
        <v>Crude, including tobacco</v>
      </c>
      <c r="AS3" t="str">
        <f>IF(AS$1="Export",INDEX(CodesIndex!$F$3:$F$200,MATCH(AS$4,CodesIndex!$E$3:$E$200,0)),IF(AS1="Import",INDEX(CodesIndex!$H$3:$H$200,MATCH(AS$4,CodesIndex!$G$3:$G$200,0)),NA()))</f>
        <v>Crude and semimanufactured</v>
      </c>
      <c r="AT3" t="str">
        <f>IF(AT$1="Export",INDEX(CodesIndex!$F$3:$F$200,MATCH(AT$4,CodesIndex!$E$3:$E$200,0)),IF(AT1="Import",INDEX(CodesIndex!$H$3:$H$200,MATCH(AT$4,CodesIndex!$G$3:$G$200,0)),NA()))</f>
        <v>Crude and semimanufactured,including tobacco</v>
      </c>
      <c r="AU3" t="str">
        <f>IF(AU$1="Export",INDEX(CodesIndex!$F$3:$F$200,MATCH(AU$4,CodesIndex!$E$3:$E$200,0)),IF(AU1="Import",INDEX(CodesIndex!$H$3:$H$200,MATCH(AU$4,CodesIndex!$G$3:$G$200,0)),NA()))</f>
        <v>Wood and products, except paper and pulp</v>
      </c>
      <c r="AV3" t="str">
        <f>IF(AV$1="Export",INDEX(CodesIndex!$F$3:$F$200,MATCH(AV$4,CodesIndex!$E$3:$E$200,0)),IF(AV1="Import",INDEX(CodesIndex!$H$3:$H$200,MATCH(AV$4,CodesIndex!$G$3:$G$200,0)),NA()))</f>
        <v>Wood and products, including pulp</v>
      </c>
      <c r="AW3" t="str">
        <f>IF(AW$1="Export",INDEX(CodesIndex!$F$3:$F$200,MATCH(AW$4,CodesIndex!$E$3:$E$200,0)),IF(AW1="Import",INDEX(CodesIndex!$H$3:$H$200,MATCH(AW$4,CodesIndex!$G$3:$G$200,0)),NA()))</f>
        <v>Crude, including tobacco</v>
      </c>
      <c r="AX3" t="str">
        <f>IF(AX$1="Export",INDEX(CodesIndex!$F$3:$F$200,MATCH(AX$4,CodesIndex!$E$3:$E$200,0)),IF(AX1="Import",INDEX(CodesIndex!$H$3:$H$200,MATCH(AX$4,CodesIndex!$G$3:$G$200,0)),NA()))</f>
        <v>Nonagricultural manufactures</v>
      </c>
      <c r="AY3" t="str">
        <f>IF(AY$1="Export",INDEX(CodesIndex!$F$3:$F$200,MATCH(AY$4,CodesIndex!$E$3:$E$200,0)),IF(AY1="Import",INDEX(CodesIndex!$H$3:$H$200,MATCH(AY$4,CodesIndex!$G$3:$G$200,0)),NA()))</f>
        <v>Nonagricultural crude and semimanufactured</v>
      </c>
      <c r="AZ3" t="str">
        <f>IF(AZ$1="Export",INDEX(CodesIndex!$F$3:$F$200,MATCH(AZ$4,CodesIndex!$E$3:$E$200,0)),IF(AZ1="Import",INDEX(CodesIndex!$H$3:$H$200,MATCH(AZ$4,CodesIndex!$G$3:$G$200,0)),NA()))</f>
        <v>Crude and semimanufactured, including tobacco</v>
      </c>
      <c r="BA3" t="str">
        <f>IF(BA$1="Export",INDEX(CodesIndex!$F$3:$F$200,MATCH(BA$4,CodesIndex!$E$3:$E$200,0)),IF(BA1="Import",INDEX(CodesIndex!$H$3:$H$200,MATCH(BA$4,CodesIndex!$G$3:$G$200,0)),NA()))</f>
        <v>Precious stones, crude and semimanufactured</v>
      </c>
      <c r="BB3" t="str">
        <f>IF(BB$1="Export",INDEX(CodesIndex!$F$3:$F$200,MATCH(BB$4,CodesIndex!$E$3:$E$200,0)),IF(BB1="Import",INDEX(CodesIndex!$H$3:$H$200,MATCH(BB$4,CodesIndex!$G$3:$G$200,0)),NA()))</f>
        <v>Crude metals</v>
      </c>
      <c r="BC3" t="str">
        <f>IF(BC$1="Export",INDEX(CodesIndex!$F$3:$F$200,MATCH(BC$4,CodesIndex!$E$3:$E$200,0)),IF(BC1="Import",INDEX(CodesIndex!$H$3:$H$200,MATCH(BC$4,CodesIndex!$G$3:$G$200,0)),NA()))</f>
        <v>Semimanufactured metals</v>
      </c>
      <c r="BD3" t="str">
        <f>IF(BD$1="Export",INDEX(CodesIndex!$F$3:$F$200,MATCH(BD$4,CodesIndex!$E$3:$E$200,0)),IF(BD1="Import",INDEX(CodesIndex!$H$3:$H$200,MATCH(BD$4,CodesIndex!$G$3:$G$200,0)),NA()))</f>
        <v>Manufactured metal products</v>
      </c>
      <c r="BE3" t="str">
        <f>IF(BE$1="Export",INDEX(CodesIndex!$F$3:$F$200,MATCH(BE$4,CodesIndex!$E$3:$E$200,0)),IF(BE1="Import",INDEX(CodesIndex!$H$3:$H$200,MATCH(BE$4,CodesIndex!$G$3:$G$200,0)),NA()))</f>
        <v xml:space="preserve">Crude materials </v>
      </c>
      <c r="BF3" t="str">
        <f>IF(BF$1="Export",INDEX(CodesIndex!$F$3:$F$200,MATCH(BF$4,CodesIndex!$E$3:$E$200,0)),IF(BF1="Import",INDEX(CodesIndex!$H$3:$H$200,MATCH(BF$4,CodesIndex!$G$3:$G$200,0)),NA()))</f>
        <v xml:space="preserve">Semimanufactures </v>
      </c>
      <c r="BG3" t="str">
        <f>IF(BG$1="Export",INDEX(CodesIndex!$F$3:$F$200,MATCH(BG$4,CodesIndex!$E$3:$E$200,0)),IF(BG1="Import",INDEX(CodesIndex!$H$3:$H$200,MATCH(BG$4,CodesIndex!$G$3:$G$200,0)),NA()))</f>
        <v xml:space="preserve">Manufactured products </v>
      </c>
    </row>
    <row r="4" spans="1:59" x14ac:dyDescent="0.35">
      <c r="A4" t="s">
        <v>80</v>
      </c>
      <c r="B4" s="19">
        <v>104</v>
      </c>
      <c r="C4" s="19">
        <v>106</v>
      </c>
      <c r="D4" s="19">
        <v>107</v>
      </c>
      <c r="E4" s="19">
        <v>108</v>
      </c>
      <c r="F4" s="19">
        <v>113</v>
      </c>
      <c r="G4" s="19">
        <v>114</v>
      </c>
      <c r="H4" s="19">
        <v>120</v>
      </c>
      <c r="I4" s="19">
        <v>121</v>
      </c>
      <c r="J4" s="19">
        <v>122</v>
      </c>
      <c r="K4" s="19">
        <v>125</v>
      </c>
      <c r="L4" s="19">
        <v>128</v>
      </c>
      <c r="M4" s="21">
        <v>133</v>
      </c>
      <c r="N4" s="21">
        <v>136</v>
      </c>
      <c r="O4" s="21">
        <v>139</v>
      </c>
      <c r="P4" s="21">
        <v>140</v>
      </c>
      <c r="Q4" s="21">
        <v>141</v>
      </c>
      <c r="R4" s="21">
        <v>142</v>
      </c>
      <c r="S4" s="21">
        <v>143</v>
      </c>
      <c r="T4" s="21">
        <v>144</v>
      </c>
      <c r="U4" s="21">
        <v>145</v>
      </c>
      <c r="V4" s="21">
        <v>146</v>
      </c>
      <c r="W4" s="23">
        <v>147</v>
      </c>
      <c r="X4" s="25">
        <v>102</v>
      </c>
      <c r="Y4" s="25">
        <v>103</v>
      </c>
      <c r="Z4" s="25">
        <v>104</v>
      </c>
      <c r="AA4" s="25">
        <v>106</v>
      </c>
      <c r="AB4" s="25">
        <v>108</v>
      </c>
      <c r="AC4" s="25">
        <v>109</v>
      </c>
      <c r="AD4" s="25">
        <v>110</v>
      </c>
      <c r="AE4" s="25">
        <v>111</v>
      </c>
      <c r="AF4" s="25">
        <v>113</v>
      </c>
      <c r="AG4" s="25">
        <v>114</v>
      </c>
      <c r="AH4" s="25">
        <v>115</v>
      </c>
      <c r="AI4" s="25">
        <v>118</v>
      </c>
      <c r="AJ4" s="27">
        <v>120</v>
      </c>
      <c r="AK4" s="27">
        <v>121</v>
      </c>
      <c r="AL4" s="27">
        <v>122</v>
      </c>
      <c r="AM4" s="27">
        <v>124</v>
      </c>
      <c r="AN4" s="27">
        <v>125</v>
      </c>
      <c r="AO4" s="27">
        <v>126</v>
      </c>
      <c r="AP4" s="27">
        <v>127</v>
      </c>
      <c r="AQ4" s="27">
        <v>128</v>
      </c>
      <c r="AR4" s="27">
        <v>130</v>
      </c>
      <c r="AS4" s="27">
        <v>131</v>
      </c>
      <c r="AT4" s="27">
        <v>132</v>
      </c>
      <c r="AU4" s="27">
        <v>133</v>
      </c>
      <c r="AV4" s="28">
        <v>134</v>
      </c>
      <c r="AW4" s="28">
        <v>137</v>
      </c>
      <c r="AX4" s="28">
        <v>139</v>
      </c>
      <c r="AY4" s="28">
        <v>140</v>
      </c>
      <c r="AZ4" s="28">
        <v>142</v>
      </c>
      <c r="BA4" s="28">
        <v>144</v>
      </c>
      <c r="BB4" s="28">
        <v>145</v>
      </c>
      <c r="BC4" s="28">
        <v>146</v>
      </c>
      <c r="BD4" s="28">
        <v>147</v>
      </c>
      <c r="BE4" s="28">
        <v>148</v>
      </c>
      <c r="BF4" s="28">
        <v>149</v>
      </c>
      <c r="BG4" s="30">
        <v>150</v>
      </c>
    </row>
    <row r="5" spans="1:59" x14ac:dyDescent="0.3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30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30"/>
    </row>
    <row r="6" spans="1:59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30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30"/>
    </row>
    <row r="7" spans="1:59" x14ac:dyDescent="0.3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30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30"/>
    </row>
    <row r="8" spans="1:59" x14ac:dyDescent="0.3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30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30"/>
    </row>
    <row r="9" spans="1:59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30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30"/>
    </row>
    <row r="10" spans="1:59" x14ac:dyDescent="0.35">
      <c r="A10" s="2">
        <v>1879</v>
      </c>
      <c r="B10" s="19">
        <v>230</v>
      </c>
      <c r="C10" s="19">
        <v>71</v>
      </c>
      <c r="D10" s="19">
        <v>114</v>
      </c>
      <c r="E10" s="19">
        <v>118</v>
      </c>
      <c r="F10" s="19">
        <v>168</v>
      </c>
      <c r="G10" s="20">
        <v>8</v>
      </c>
      <c r="H10" s="19">
        <v>197</v>
      </c>
      <c r="I10" s="19">
        <v>13</v>
      </c>
      <c r="J10" s="19">
        <v>15</v>
      </c>
      <c r="K10" s="19">
        <v>216</v>
      </c>
      <c r="L10" s="19">
        <v>21</v>
      </c>
      <c r="M10" s="21">
        <v>218</v>
      </c>
      <c r="N10" s="21">
        <v>246</v>
      </c>
      <c r="O10" s="21">
        <v>37</v>
      </c>
      <c r="P10" s="21">
        <v>39</v>
      </c>
      <c r="Q10" s="21">
        <v>4</v>
      </c>
      <c r="R10" s="24" t="e">
        <v>#N/A</v>
      </c>
      <c r="S10" s="21">
        <v>16</v>
      </c>
      <c r="T10" s="21">
        <v>5</v>
      </c>
      <c r="U10" s="21">
        <v>7</v>
      </c>
      <c r="V10" s="21">
        <v>17</v>
      </c>
      <c r="W10" s="23">
        <v>62</v>
      </c>
      <c r="X10" s="25">
        <v>19</v>
      </c>
      <c r="Y10" s="25">
        <v>79</v>
      </c>
      <c r="Z10" s="25">
        <v>98</v>
      </c>
      <c r="AA10" s="25">
        <v>102</v>
      </c>
      <c r="AB10" s="25">
        <v>4</v>
      </c>
      <c r="AC10" s="25">
        <v>3</v>
      </c>
      <c r="AD10" s="25">
        <v>77</v>
      </c>
      <c r="AE10" s="25">
        <v>79</v>
      </c>
      <c r="AF10" s="25">
        <v>78</v>
      </c>
      <c r="AG10" s="25">
        <v>30</v>
      </c>
      <c r="AH10" s="25">
        <v>20</v>
      </c>
      <c r="AI10" s="25">
        <v>15</v>
      </c>
      <c r="AJ10" s="27">
        <v>8</v>
      </c>
      <c r="AK10" s="27">
        <v>42</v>
      </c>
      <c r="AL10" s="27">
        <v>23</v>
      </c>
      <c r="AM10" s="27">
        <v>55</v>
      </c>
      <c r="AN10" s="27">
        <v>31</v>
      </c>
      <c r="AO10" s="27">
        <v>97</v>
      </c>
      <c r="AP10" s="27">
        <v>128</v>
      </c>
      <c r="AQ10" s="27">
        <v>35</v>
      </c>
      <c r="AR10" s="27">
        <v>70</v>
      </c>
      <c r="AS10" s="27">
        <v>68</v>
      </c>
      <c r="AT10" s="27">
        <v>71</v>
      </c>
      <c r="AU10" s="27">
        <v>12</v>
      </c>
      <c r="AV10" s="31" t="e">
        <v>#N/A</v>
      </c>
      <c r="AW10" s="28">
        <v>83</v>
      </c>
      <c r="AX10" s="28">
        <v>106</v>
      </c>
      <c r="AY10" s="28">
        <v>27</v>
      </c>
      <c r="AZ10" s="28">
        <v>98</v>
      </c>
      <c r="BA10" s="31" t="e">
        <v>#N/A</v>
      </c>
      <c r="BB10" s="31" t="e">
        <v>#N/A</v>
      </c>
      <c r="BC10" s="28">
        <v>31</v>
      </c>
      <c r="BD10" s="28">
        <v>9</v>
      </c>
      <c r="BE10" s="28">
        <v>2</v>
      </c>
      <c r="BF10" s="28">
        <v>62</v>
      </c>
      <c r="BG10" s="32">
        <v>25</v>
      </c>
    </row>
    <row r="11" spans="1:59" x14ac:dyDescent="0.35">
      <c r="A11" s="2">
        <v>1880</v>
      </c>
      <c r="B11" s="19">
        <v>258</v>
      </c>
      <c r="C11" s="19">
        <v>86</v>
      </c>
      <c r="D11" s="19">
        <v>147</v>
      </c>
      <c r="E11" s="19">
        <v>151</v>
      </c>
      <c r="F11" s="19">
        <v>204</v>
      </c>
      <c r="G11" s="19">
        <v>9</v>
      </c>
      <c r="H11" s="19">
        <v>251</v>
      </c>
      <c r="I11" s="19">
        <v>14</v>
      </c>
      <c r="J11" s="19">
        <v>17</v>
      </c>
      <c r="K11" s="19">
        <v>271</v>
      </c>
      <c r="L11" s="19">
        <v>25</v>
      </c>
      <c r="M11" s="21">
        <v>272</v>
      </c>
      <c r="N11" s="21">
        <v>303</v>
      </c>
      <c r="O11" s="21">
        <v>35</v>
      </c>
      <c r="P11" s="21">
        <v>37</v>
      </c>
      <c r="Q11" s="21">
        <v>2</v>
      </c>
      <c r="R11" s="31" t="e">
        <v>#N/A</v>
      </c>
      <c r="S11" s="21">
        <v>18</v>
      </c>
      <c r="T11" s="21">
        <v>6</v>
      </c>
      <c r="U11" s="21">
        <v>6</v>
      </c>
      <c r="V11" s="21">
        <v>19</v>
      </c>
      <c r="W11" s="23">
        <v>61</v>
      </c>
      <c r="X11" s="26">
        <v>21</v>
      </c>
      <c r="Y11" s="25">
        <v>79</v>
      </c>
      <c r="Z11" s="25">
        <v>99</v>
      </c>
      <c r="AA11" s="25">
        <v>104</v>
      </c>
      <c r="AB11" s="25">
        <v>5</v>
      </c>
      <c r="AC11" s="25">
        <v>4</v>
      </c>
      <c r="AD11" s="25">
        <v>103</v>
      </c>
      <c r="AE11" s="25">
        <v>105</v>
      </c>
      <c r="AF11" s="25">
        <v>104</v>
      </c>
      <c r="AG11" s="25">
        <v>43</v>
      </c>
      <c r="AH11" s="25">
        <v>31</v>
      </c>
      <c r="AI11" s="25">
        <v>17</v>
      </c>
      <c r="AJ11" s="27">
        <v>10</v>
      </c>
      <c r="AK11" s="27">
        <v>58</v>
      </c>
      <c r="AL11" s="27">
        <v>33</v>
      </c>
      <c r="AM11" s="27">
        <v>73</v>
      </c>
      <c r="AN11" s="27">
        <v>44</v>
      </c>
      <c r="AO11" s="27">
        <v>131</v>
      </c>
      <c r="AP11" s="27">
        <v>175</v>
      </c>
      <c r="AQ11" s="27">
        <v>48</v>
      </c>
      <c r="AR11" s="27">
        <v>97</v>
      </c>
      <c r="AS11" s="27">
        <v>94</v>
      </c>
      <c r="AT11" s="27">
        <v>99</v>
      </c>
      <c r="AU11" s="27">
        <v>20</v>
      </c>
      <c r="AV11" s="31" t="e">
        <v>#N/A</v>
      </c>
      <c r="AW11" s="28">
        <v>118</v>
      </c>
      <c r="AX11" s="28">
        <v>142</v>
      </c>
      <c r="AY11" s="28">
        <v>40</v>
      </c>
      <c r="AZ11" s="28">
        <v>139</v>
      </c>
      <c r="BA11" s="31" t="e">
        <v>#N/A</v>
      </c>
      <c r="BB11" s="31" t="e">
        <v>#N/A</v>
      </c>
      <c r="BC11" s="28">
        <v>67</v>
      </c>
      <c r="BD11" s="28">
        <v>25</v>
      </c>
      <c r="BE11" s="28">
        <v>2</v>
      </c>
      <c r="BF11" s="28">
        <v>108</v>
      </c>
      <c r="BG11" s="32">
        <v>48</v>
      </c>
    </row>
    <row r="12" spans="1:59" x14ac:dyDescent="0.35">
      <c r="A12" s="2">
        <v>1881</v>
      </c>
      <c r="B12" s="20">
        <v>200</v>
      </c>
      <c r="C12" s="20">
        <v>82</v>
      </c>
      <c r="D12" s="20">
        <v>139</v>
      </c>
      <c r="E12" s="19">
        <v>144</v>
      </c>
      <c r="F12" s="19">
        <v>193</v>
      </c>
      <c r="G12" s="19">
        <v>9</v>
      </c>
      <c r="H12" s="19">
        <v>236</v>
      </c>
      <c r="I12" s="19">
        <v>16</v>
      </c>
      <c r="J12" s="19">
        <v>21</v>
      </c>
      <c r="K12" s="19">
        <v>253</v>
      </c>
      <c r="L12" s="19">
        <v>28</v>
      </c>
      <c r="M12" s="21">
        <v>253</v>
      </c>
      <c r="N12" s="21">
        <v>288</v>
      </c>
      <c r="O12" s="21">
        <v>49</v>
      </c>
      <c r="P12" s="21">
        <v>52</v>
      </c>
      <c r="Q12" s="21">
        <v>3</v>
      </c>
      <c r="R12" s="31" t="e">
        <v>#N/A</v>
      </c>
      <c r="S12" s="21">
        <v>22</v>
      </c>
      <c r="T12" s="21">
        <v>7</v>
      </c>
      <c r="U12" s="21">
        <v>7</v>
      </c>
      <c r="V12" s="21">
        <v>23</v>
      </c>
      <c r="W12" s="23">
        <v>79</v>
      </c>
      <c r="X12" s="25">
        <v>28</v>
      </c>
      <c r="Y12" s="25">
        <v>76</v>
      </c>
      <c r="Z12" s="25">
        <v>105</v>
      </c>
      <c r="AA12" s="25">
        <v>111</v>
      </c>
      <c r="AB12" s="25">
        <v>5</v>
      </c>
      <c r="AC12" s="25">
        <v>4</v>
      </c>
      <c r="AD12" s="25">
        <v>105</v>
      </c>
      <c r="AE12" s="25">
        <v>107</v>
      </c>
      <c r="AF12" s="25">
        <v>106</v>
      </c>
      <c r="AG12" s="25">
        <v>42</v>
      </c>
      <c r="AH12" s="25">
        <v>30</v>
      </c>
      <c r="AI12" s="25">
        <v>17</v>
      </c>
      <c r="AJ12" s="27">
        <v>12</v>
      </c>
      <c r="AK12" s="27">
        <v>54</v>
      </c>
      <c r="AL12" s="27">
        <v>22</v>
      </c>
      <c r="AM12" s="27">
        <v>66</v>
      </c>
      <c r="AN12" s="27">
        <v>34</v>
      </c>
      <c r="AO12" s="27">
        <v>120</v>
      </c>
      <c r="AP12" s="27">
        <v>154</v>
      </c>
      <c r="AQ12" s="27">
        <v>46</v>
      </c>
      <c r="AR12" s="27">
        <v>85</v>
      </c>
      <c r="AS12" s="27">
        <v>82</v>
      </c>
      <c r="AT12" s="27">
        <v>87</v>
      </c>
      <c r="AU12" s="27">
        <v>19</v>
      </c>
      <c r="AV12" s="31" t="e">
        <v>#N/A</v>
      </c>
      <c r="AW12" s="28">
        <v>104</v>
      </c>
      <c r="AX12" s="28">
        <v>132</v>
      </c>
      <c r="AY12" s="28">
        <v>40</v>
      </c>
      <c r="AZ12" s="28">
        <v>127</v>
      </c>
      <c r="BA12" s="31" t="e">
        <v>#N/A</v>
      </c>
      <c r="BB12" s="31" t="e">
        <v>#N/A</v>
      </c>
      <c r="BC12" s="28">
        <v>46</v>
      </c>
      <c r="BD12" s="28">
        <v>26</v>
      </c>
      <c r="BE12" s="28">
        <v>3</v>
      </c>
      <c r="BF12" s="28">
        <v>87</v>
      </c>
      <c r="BG12" s="32">
        <v>48</v>
      </c>
    </row>
    <row r="13" spans="1:59" x14ac:dyDescent="0.35">
      <c r="A13" s="2">
        <v>1882</v>
      </c>
      <c r="B13" s="20">
        <v>147</v>
      </c>
      <c r="C13" s="20">
        <v>59</v>
      </c>
      <c r="D13" s="20">
        <v>103</v>
      </c>
      <c r="E13" s="20">
        <v>109</v>
      </c>
      <c r="F13" s="20">
        <v>163</v>
      </c>
      <c r="G13" s="20">
        <v>10</v>
      </c>
      <c r="H13" s="20">
        <v>238</v>
      </c>
      <c r="I13" s="19">
        <v>16</v>
      </c>
      <c r="J13" s="19">
        <v>27</v>
      </c>
      <c r="K13" s="19">
        <v>260</v>
      </c>
      <c r="L13" s="19">
        <v>34</v>
      </c>
      <c r="M13" s="21">
        <v>261</v>
      </c>
      <c r="N13" s="21">
        <v>301</v>
      </c>
      <c r="O13" s="21">
        <v>45</v>
      </c>
      <c r="P13" s="21">
        <v>49</v>
      </c>
      <c r="Q13" s="21">
        <v>2</v>
      </c>
      <c r="R13" s="31" t="e">
        <v>#N/A</v>
      </c>
      <c r="S13" s="21">
        <v>27</v>
      </c>
      <c r="T13" s="21">
        <v>9</v>
      </c>
      <c r="U13" s="21">
        <v>8</v>
      </c>
      <c r="V13" s="21">
        <v>28</v>
      </c>
      <c r="W13" s="23">
        <v>82</v>
      </c>
      <c r="X13" s="25">
        <v>39</v>
      </c>
      <c r="Y13" s="25">
        <v>67</v>
      </c>
      <c r="Z13" s="25">
        <v>105</v>
      </c>
      <c r="AA13" s="25">
        <v>115</v>
      </c>
      <c r="AB13" s="25">
        <v>7</v>
      </c>
      <c r="AC13" s="25">
        <v>5</v>
      </c>
      <c r="AD13" s="25">
        <v>124</v>
      </c>
      <c r="AE13" s="25">
        <v>126</v>
      </c>
      <c r="AF13" s="25">
        <v>126</v>
      </c>
      <c r="AG13" s="25">
        <v>40</v>
      </c>
      <c r="AH13" s="25">
        <v>27</v>
      </c>
      <c r="AI13" s="25">
        <v>25</v>
      </c>
      <c r="AJ13" s="27">
        <v>13</v>
      </c>
      <c r="AK13" s="27">
        <v>62</v>
      </c>
      <c r="AL13" s="27">
        <v>27</v>
      </c>
      <c r="AM13" s="27">
        <v>85</v>
      </c>
      <c r="AN13" s="27">
        <v>41</v>
      </c>
      <c r="AO13" s="27">
        <v>146</v>
      </c>
      <c r="AP13" s="27">
        <v>188</v>
      </c>
      <c r="AQ13" s="27">
        <v>52</v>
      </c>
      <c r="AR13" s="27">
        <v>98</v>
      </c>
      <c r="AS13" s="27">
        <v>95</v>
      </c>
      <c r="AT13" s="27">
        <v>101</v>
      </c>
      <c r="AU13" s="27">
        <v>23</v>
      </c>
      <c r="AV13" s="31" t="e">
        <v>#N/A</v>
      </c>
      <c r="AW13" s="28">
        <v>119</v>
      </c>
      <c r="AX13" s="28">
        <v>161</v>
      </c>
      <c r="AY13" s="28">
        <v>45</v>
      </c>
      <c r="AZ13" s="28">
        <v>146</v>
      </c>
      <c r="BA13" s="31" t="e">
        <v>#N/A</v>
      </c>
      <c r="BB13" s="31" t="e">
        <v>#N/A</v>
      </c>
      <c r="BC13" s="28">
        <v>57</v>
      </c>
      <c r="BD13" s="28">
        <v>24</v>
      </c>
      <c r="BE13" s="28">
        <v>7</v>
      </c>
      <c r="BF13" s="28">
        <v>103</v>
      </c>
      <c r="BG13" s="32">
        <v>50</v>
      </c>
    </row>
    <row r="14" spans="1:59" x14ac:dyDescent="0.35">
      <c r="A14" s="2">
        <v>1883</v>
      </c>
      <c r="B14" s="19">
        <v>142</v>
      </c>
      <c r="C14" s="19">
        <v>71</v>
      </c>
      <c r="D14" s="19">
        <v>120</v>
      </c>
      <c r="E14" s="20">
        <v>125</v>
      </c>
      <c r="F14" s="20">
        <v>190</v>
      </c>
      <c r="G14" s="20">
        <v>10</v>
      </c>
      <c r="H14" s="20">
        <v>237</v>
      </c>
      <c r="I14" s="20">
        <v>15</v>
      </c>
      <c r="J14" s="20">
        <v>25</v>
      </c>
      <c r="K14" s="20">
        <v>259</v>
      </c>
      <c r="L14" s="20">
        <v>33</v>
      </c>
      <c r="M14" s="21">
        <v>260</v>
      </c>
      <c r="N14" s="21">
        <v>298</v>
      </c>
      <c r="O14" s="21">
        <v>49</v>
      </c>
      <c r="P14" s="21">
        <v>54</v>
      </c>
      <c r="Q14" s="21">
        <v>4</v>
      </c>
      <c r="R14" s="31" t="e">
        <v>#N/A</v>
      </c>
      <c r="S14" s="22">
        <v>29</v>
      </c>
      <c r="T14" s="21">
        <v>13</v>
      </c>
      <c r="U14" s="21">
        <v>9</v>
      </c>
      <c r="V14" s="22">
        <v>30</v>
      </c>
      <c r="W14" s="23">
        <v>87</v>
      </c>
      <c r="X14" s="25">
        <v>29</v>
      </c>
      <c r="Y14" s="25">
        <v>62</v>
      </c>
      <c r="Z14" s="25">
        <v>91</v>
      </c>
      <c r="AA14" s="25">
        <v>101</v>
      </c>
      <c r="AB14" s="25">
        <v>6</v>
      </c>
      <c r="AC14" s="25">
        <v>5</v>
      </c>
      <c r="AD14" s="25">
        <v>117</v>
      </c>
      <c r="AE14" s="25">
        <v>119</v>
      </c>
      <c r="AF14" s="25">
        <v>118</v>
      </c>
      <c r="AG14" s="25">
        <v>35</v>
      </c>
      <c r="AH14" s="25">
        <v>23</v>
      </c>
      <c r="AI14" s="25">
        <v>21</v>
      </c>
      <c r="AJ14" s="27">
        <v>13</v>
      </c>
      <c r="AK14" s="27">
        <v>59</v>
      </c>
      <c r="AL14" s="27">
        <v>27</v>
      </c>
      <c r="AM14" s="27">
        <v>79</v>
      </c>
      <c r="AN14" s="27">
        <v>40</v>
      </c>
      <c r="AO14" s="27">
        <v>138</v>
      </c>
      <c r="AP14" s="27">
        <v>179</v>
      </c>
      <c r="AQ14" s="27">
        <v>44</v>
      </c>
      <c r="AR14" s="27">
        <v>93</v>
      </c>
      <c r="AS14" s="27">
        <v>86</v>
      </c>
      <c r="AT14" s="27">
        <v>95</v>
      </c>
      <c r="AU14" s="27">
        <v>20</v>
      </c>
      <c r="AV14" s="31" t="e">
        <v>#N/A</v>
      </c>
      <c r="AW14" s="28">
        <v>111</v>
      </c>
      <c r="AX14" s="28">
        <v>150</v>
      </c>
      <c r="AY14" s="28">
        <v>41</v>
      </c>
      <c r="AZ14" s="28">
        <v>136</v>
      </c>
      <c r="BA14" s="31" t="e">
        <v>#N/A</v>
      </c>
      <c r="BB14" s="31" t="e">
        <v>#N/A</v>
      </c>
      <c r="BC14" s="28">
        <v>45</v>
      </c>
      <c r="BD14" s="28">
        <v>15</v>
      </c>
      <c r="BE14" s="28">
        <v>6</v>
      </c>
      <c r="BF14" s="28">
        <v>91</v>
      </c>
      <c r="BG14" s="32">
        <v>39</v>
      </c>
    </row>
    <row r="15" spans="1:59" x14ac:dyDescent="0.35">
      <c r="A15" s="2">
        <v>1884</v>
      </c>
      <c r="B15" s="19">
        <v>117</v>
      </c>
      <c r="C15" s="19">
        <v>60</v>
      </c>
      <c r="D15" s="19">
        <v>99</v>
      </c>
      <c r="E15" s="19">
        <v>104</v>
      </c>
      <c r="F15" s="19">
        <v>174</v>
      </c>
      <c r="G15" s="19">
        <v>11</v>
      </c>
      <c r="H15" s="19">
        <v>232</v>
      </c>
      <c r="I15" s="20">
        <v>13</v>
      </c>
      <c r="J15" s="20">
        <v>23</v>
      </c>
      <c r="K15" s="20">
        <v>255</v>
      </c>
      <c r="L15" s="20">
        <v>31</v>
      </c>
      <c r="M15" s="21">
        <v>256</v>
      </c>
      <c r="N15" s="21">
        <v>294</v>
      </c>
      <c r="O15" s="21">
        <v>51</v>
      </c>
      <c r="P15" s="21">
        <v>56</v>
      </c>
      <c r="Q15" s="21">
        <v>4</v>
      </c>
      <c r="R15" s="31" t="e">
        <v>#N/A</v>
      </c>
      <c r="S15" s="21">
        <v>24</v>
      </c>
      <c r="T15" s="21">
        <v>17</v>
      </c>
      <c r="U15" s="21">
        <v>10</v>
      </c>
      <c r="V15" s="21">
        <v>25</v>
      </c>
      <c r="W15" s="23">
        <v>82</v>
      </c>
      <c r="X15" s="25">
        <v>27</v>
      </c>
      <c r="Y15" s="25">
        <v>66</v>
      </c>
      <c r="Z15" s="25">
        <v>93</v>
      </c>
      <c r="AA15" s="25">
        <v>100</v>
      </c>
      <c r="AB15" s="25">
        <v>6</v>
      </c>
      <c r="AC15" s="25">
        <v>5</v>
      </c>
      <c r="AD15" s="25">
        <v>101</v>
      </c>
      <c r="AE15" s="25">
        <v>103</v>
      </c>
      <c r="AF15" s="25">
        <v>103</v>
      </c>
      <c r="AG15" s="25">
        <v>33</v>
      </c>
      <c r="AH15" s="25">
        <v>29</v>
      </c>
      <c r="AI15" s="25">
        <v>18</v>
      </c>
      <c r="AJ15" s="27">
        <v>13</v>
      </c>
      <c r="AK15" s="27">
        <v>57</v>
      </c>
      <c r="AL15" s="27">
        <v>25</v>
      </c>
      <c r="AM15" s="27">
        <v>73</v>
      </c>
      <c r="AN15" s="27">
        <v>38</v>
      </c>
      <c r="AO15" s="27">
        <v>130</v>
      </c>
      <c r="AP15" s="27">
        <v>169</v>
      </c>
      <c r="AQ15" s="27">
        <v>47</v>
      </c>
      <c r="AR15" s="27">
        <v>92</v>
      </c>
      <c r="AS15" s="27">
        <v>88</v>
      </c>
      <c r="AT15" s="27">
        <v>94</v>
      </c>
      <c r="AU15" s="27">
        <v>21</v>
      </c>
      <c r="AV15" s="31" t="e">
        <v>#N/A</v>
      </c>
      <c r="AW15" s="28">
        <v>111</v>
      </c>
      <c r="AX15" s="28">
        <v>141</v>
      </c>
      <c r="AY15" s="28">
        <v>41</v>
      </c>
      <c r="AZ15" s="28">
        <v>135</v>
      </c>
      <c r="BA15" s="31" t="e">
        <v>#N/A</v>
      </c>
      <c r="BB15" s="31" t="e">
        <v>#N/A</v>
      </c>
      <c r="BC15" s="28">
        <v>36</v>
      </c>
      <c r="BD15" s="28">
        <v>11</v>
      </c>
      <c r="BE15" s="28">
        <v>6</v>
      </c>
      <c r="BF15" s="28">
        <v>77</v>
      </c>
      <c r="BG15" s="32">
        <v>36</v>
      </c>
    </row>
    <row r="16" spans="1:59" x14ac:dyDescent="0.35">
      <c r="A16" s="2">
        <v>1885</v>
      </c>
      <c r="B16" s="19">
        <v>101</v>
      </c>
      <c r="C16" s="19">
        <v>60</v>
      </c>
      <c r="D16" s="19">
        <v>98</v>
      </c>
      <c r="E16" s="19">
        <v>102</v>
      </c>
      <c r="F16" s="19">
        <v>178</v>
      </c>
      <c r="G16" s="19">
        <v>11</v>
      </c>
      <c r="H16" s="19">
        <v>197</v>
      </c>
      <c r="I16" s="19">
        <v>15</v>
      </c>
      <c r="J16" s="19">
        <v>21</v>
      </c>
      <c r="K16" s="19">
        <v>221</v>
      </c>
      <c r="L16" s="19">
        <v>28</v>
      </c>
      <c r="M16" s="21">
        <v>223</v>
      </c>
      <c r="N16" s="21">
        <v>256</v>
      </c>
      <c r="O16" s="21">
        <v>52</v>
      </c>
      <c r="P16" s="21">
        <v>56</v>
      </c>
      <c r="Q16" s="21">
        <v>4</v>
      </c>
      <c r="R16" s="31" t="e">
        <v>#N/A</v>
      </c>
      <c r="S16" s="21">
        <v>19</v>
      </c>
      <c r="T16" s="21">
        <v>15</v>
      </c>
      <c r="U16" s="21">
        <v>10</v>
      </c>
      <c r="V16" s="21">
        <v>20</v>
      </c>
      <c r="W16" s="23">
        <v>77</v>
      </c>
      <c r="X16" s="25">
        <v>26</v>
      </c>
      <c r="Y16" s="25">
        <v>63</v>
      </c>
      <c r="Z16" s="25">
        <v>90</v>
      </c>
      <c r="AA16" s="25">
        <v>94</v>
      </c>
      <c r="AB16" s="25">
        <v>5</v>
      </c>
      <c r="AC16" s="25">
        <v>5</v>
      </c>
      <c r="AD16" s="25">
        <v>94</v>
      </c>
      <c r="AE16" s="25">
        <v>96</v>
      </c>
      <c r="AF16" s="25">
        <v>96</v>
      </c>
      <c r="AG16" s="25">
        <v>34</v>
      </c>
      <c r="AH16" s="25">
        <v>27</v>
      </c>
      <c r="AI16" s="25">
        <v>17</v>
      </c>
      <c r="AJ16" s="27">
        <v>12</v>
      </c>
      <c r="AK16" s="27">
        <v>53</v>
      </c>
      <c r="AL16" s="27">
        <v>29</v>
      </c>
      <c r="AM16" s="27">
        <v>61</v>
      </c>
      <c r="AN16" s="27">
        <v>41</v>
      </c>
      <c r="AO16" s="27">
        <v>114</v>
      </c>
      <c r="AP16" s="27">
        <v>156</v>
      </c>
      <c r="AQ16" s="27">
        <v>44</v>
      </c>
      <c r="AR16" s="27">
        <v>94</v>
      </c>
      <c r="AS16" s="27">
        <v>88</v>
      </c>
      <c r="AT16" s="27">
        <v>96</v>
      </c>
      <c r="AU16" s="27">
        <v>18</v>
      </c>
      <c r="AV16" s="31" t="e">
        <v>#N/A</v>
      </c>
      <c r="AW16" s="28">
        <v>111</v>
      </c>
      <c r="AX16" s="28">
        <v>125</v>
      </c>
      <c r="AY16" s="28">
        <v>37</v>
      </c>
      <c r="AZ16" s="28">
        <v>133</v>
      </c>
      <c r="BA16" s="31" t="e">
        <v>#N/A</v>
      </c>
      <c r="BB16" s="31" t="e">
        <v>#N/A</v>
      </c>
      <c r="BC16" s="28">
        <v>33</v>
      </c>
      <c r="BD16" s="28">
        <v>8</v>
      </c>
      <c r="BE16" s="28">
        <v>6</v>
      </c>
      <c r="BF16" s="28">
        <v>71</v>
      </c>
      <c r="BG16" s="32">
        <v>30</v>
      </c>
    </row>
    <row r="17" spans="1:59" x14ac:dyDescent="0.35">
      <c r="A17" s="2">
        <v>1886</v>
      </c>
      <c r="B17" s="19">
        <v>119</v>
      </c>
      <c r="C17" s="19">
        <v>53</v>
      </c>
      <c r="D17" s="19">
        <v>90</v>
      </c>
      <c r="E17" s="19">
        <v>94</v>
      </c>
      <c r="F17" s="19">
        <v>162</v>
      </c>
      <c r="G17" s="19">
        <v>10</v>
      </c>
      <c r="H17" s="19">
        <v>230</v>
      </c>
      <c r="I17" s="20">
        <v>18</v>
      </c>
      <c r="J17" s="19">
        <v>19</v>
      </c>
      <c r="K17" s="19">
        <v>251</v>
      </c>
      <c r="L17" s="19">
        <v>27</v>
      </c>
      <c r="M17" s="21">
        <v>253</v>
      </c>
      <c r="N17" s="21">
        <v>285</v>
      </c>
      <c r="O17" s="21">
        <v>50</v>
      </c>
      <c r="P17" s="21">
        <v>54</v>
      </c>
      <c r="Q17" s="21">
        <v>3</v>
      </c>
      <c r="R17" s="31" t="e">
        <v>#N/A</v>
      </c>
      <c r="S17" s="21">
        <v>18</v>
      </c>
      <c r="T17" s="21">
        <v>13</v>
      </c>
      <c r="U17" s="21">
        <v>9</v>
      </c>
      <c r="V17" s="21">
        <v>19</v>
      </c>
      <c r="W17" s="23">
        <v>74</v>
      </c>
      <c r="X17" s="25">
        <v>26</v>
      </c>
      <c r="Y17" s="25">
        <v>65</v>
      </c>
      <c r="Z17" s="25">
        <v>91</v>
      </c>
      <c r="AA17" s="25">
        <v>96</v>
      </c>
      <c r="AB17" s="25">
        <v>5</v>
      </c>
      <c r="AC17" s="25">
        <v>4</v>
      </c>
      <c r="AD17" s="25">
        <v>101</v>
      </c>
      <c r="AE17" s="25">
        <v>103</v>
      </c>
      <c r="AF17" s="25">
        <v>104</v>
      </c>
      <c r="AG17" s="25">
        <v>38</v>
      </c>
      <c r="AH17" s="25">
        <v>33</v>
      </c>
      <c r="AI17" s="25">
        <v>21</v>
      </c>
      <c r="AJ17" s="27">
        <v>11</v>
      </c>
      <c r="AK17" s="27">
        <v>58</v>
      </c>
      <c r="AL17" s="27">
        <v>38</v>
      </c>
      <c r="AM17" s="27">
        <v>72</v>
      </c>
      <c r="AN17" s="27">
        <v>50</v>
      </c>
      <c r="AO17" s="27">
        <v>131</v>
      </c>
      <c r="AP17" s="27">
        <v>183</v>
      </c>
      <c r="AQ17" s="27">
        <v>54</v>
      </c>
      <c r="AR17" s="27">
        <v>112</v>
      </c>
      <c r="AS17" s="27">
        <v>106</v>
      </c>
      <c r="AT17" s="27">
        <v>114</v>
      </c>
      <c r="AU17" s="27">
        <v>18</v>
      </c>
      <c r="AV17" s="31" t="e">
        <v>#N/A</v>
      </c>
      <c r="AW17" s="28">
        <v>129</v>
      </c>
      <c r="AX17" s="28">
        <v>144</v>
      </c>
      <c r="AY17" s="28">
        <v>40</v>
      </c>
      <c r="AZ17" s="28">
        <v>153</v>
      </c>
      <c r="BA17" s="31" t="e">
        <v>#N/A</v>
      </c>
      <c r="BB17" s="31" t="e">
        <v>#N/A</v>
      </c>
      <c r="BC17" s="28">
        <v>45</v>
      </c>
      <c r="BD17" s="28">
        <v>11</v>
      </c>
      <c r="BE17" s="28">
        <v>7</v>
      </c>
      <c r="BF17" s="28">
        <v>88</v>
      </c>
      <c r="BG17" s="32">
        <v>37</v>
      </c>
    </row>
    <row r="18" spans="1:59" x14ac:dyDescent="0.35">
      <c r="A18" s="2">
        <v>1887</v>
      </c>
      <c r="B18" s="19">
        <v>116</v>
      </c>
      <c r="C18" s="19">
        <v>53</v>
      </c>
      <c r="D18" s="19">
        <v>91</v>
      </c>
      <c r="E18" s="19">
        <v>95</v>
      </c>
      <c r="F18" s="19">
        <v>167</v>
      </c>
      <c r="G18" s="19">
        <v>11</v>
      </c>
      <c r="H18" s="19">
        <v>230</v>
      </c>
      <c r="I18" s="19">
        <v>16</v>
      </c>
      <c r="J18" s="19">
        <v>21</v>
      </c>
      <c r="K18" s="19">
        <v>246</v>
      </c>
      <c r="L18" s="19">
        <v>30</v>
      </c>
      <c r="M18" s="21">
        <v>248</v>
      </c>
      <c r="N18" s="21">
        <v>286</v>
      </c>
      <c r="O18" s="21">
        <v>49</v>
      </c>
      <c r="P18" s="21">
        <v>54</v>
      </c>
      <c r="Q18" s="21">
        <v>2</v>
      </c>
      <c r="R18" s="31" t="e">
        <v>#N/A</v>
      </c>
      <c r="S18" s="21">
        <v>20</v>
      </c>
      <c r="T18" s="21">
        <v>15</v>
      </c>
      <c r="U18" s="21">
        <v>9</v>
      </c>
      <c r="V18" s="21">
        <v>22</v>
      </c>
      <c r="W18" s="23">
        <v>75</v>
      </c>
      <c r="X18" s="25">
        <v>32</v>
      </c>
      <c r="Y18" s="25">
        <v>82</v>
      </c>
      <c r="Z18" s="25">
        <v>114</v>
      </c>
      <c r="AA18" s="25">
        <v>119</v>
      </c>
      <c r="AB18" s="25">
        <v>6</v>
      </c>
      <c r="AC18" s="25">
        <v>5</v>
      </c>
      <c r="AD18" s="25">
        <v>89</v>
      </c>
      <c r="AE18" s="25">
        <v>91</v>
      </c>
      <c r="AF18" s="25">
        <v>91</v>
      </c>
      <c r="AG18" s="25">
        <v>35</v>
      </c>
      <c r="AH18" s="25">
        <v>31</v>
      </c>
      <c r="AI18" s="25">
        <v>20</v>
      </c>
      <c r="AJ18" s="27">
        <v>14</v>
      </c>
      <c r="AK18" s="27">
        <v>58</v>
      </c>
      <c r="AL18" s="27">
        <v>37</v>
      </c>
      <c r="AM18" s="27">
        <v>76</v>
      </c>
      <c r="AN18" s="27">
        <v>52</v>
      </c>
      <c r="AO18" s="27">
        <v>135</v>
      </c>
      <c r="AP18" s="27">
        <v>189</v>
      </c>
      <c r="AQ18" s="27">
        <v>51</v>
      </c>
      <c r="AR18" s="27">
        <v>113</v>
      </c>
      <c r="AS18" s="27">
        <v>105</v>
      </c>
      <c r="AT18" s="27">
        <v>116</v>
      </c>
      <c r="AU18" s="27">
        <v>21</v>
      </c>
      <c r="AV18" s="31" t="e">
        <v>#N/A</v>
      </c>
      <c r="AW18" s="28">
        <v>132</v>
      </c>
      <c r="AX18" s="28">
        <v>149</v>
      </c>
      <c r="AY18" s="28">
        <v>41</v>
      </c>
      <c r="AZ18" s="28">
        <v>157</v>
      </c>
      <c r="BA18" s="31" t="e">
        <v>#N/A</v>
      </c>
      <c r="BB18" s="31" t="e">
        <v>#N/A</v>
      </c>
      <c r="BC18" s="29">
        <v>56</v>
      </c>
      <c r="BD18" s="28">
        <v>15</v>
      </c>
      <c r="BE18" s="28">
        <v>7</v>
      </c>
      <c r="BF18" s="28">
        <v>102</v>
      </c>
      <c r="BG18" s="32">
        <v>43</v>
      </c>
    </row>
    <row r="19" spans="1:59" x14ac:dyDescent="0.35">
      <c r="A19" s="2">
        <v>1888</v>
      </c>
      <c r="B19" s="19">
        <v>81</v>
      </c>
      <c r="C19" s="19">
        <v>53</v>
      </c>
      <c r="D19" s="19">
        <v>88</v>
      </c>
      <c r="E19" s="19">
        <v>94</v>
      </c>
      <c r="F19" s="19">
        <v>155</v>
      </c>
      <c r="G19" s="19">
        <v>10</v>
      </c>
      <c r="H19" s="19">
        <v>236</v>
      </c>
      <c r="I19" s="19">
        <v>13</v>
      </c>
      <c r="J19" s="19">
        <v>25</v>
      </c>
      <c r="K19" s="19">
        <v>256</v>
      </c>
      <c r="L19" s="19">
        <v>31</v>
      </c>
      <c r="M19" s="21">
        <v>257</v>
      </c>
      <c r="N19" s="21">
        <v>294</v>
      </c>
      <c r="O19" s="21">
        <v>50</v>
      </c>
      <c r="P19" s="21">
        <v>57</v>
      </c>
      <c r="Q19" s="21">
        <v>6</v>
      </c>
      <c r="R19" s="31" t="e">
        <v>#N/A</v>
      </c>
      <c r="S19" s="21">
        <v>25</v>
      </c>
      <c r="T19" s="21">
        <v>20</v>
      </c>
      <c r="U19" s="21">
        <v>13</v>
      </c>
      <c r="V19" s="21">
        <v>26</v>
      </c>
      <c r="W19" s="23">
        <v>81</v>
      </c>
      <c r="X19" s="25">
        <v>34</v>
      </c>
      <c r="Y19" s="25">
        <v>84</v>
      </c>
      <c r="Z19" s="25">
        <v>117</v>
      </c>
      <c r="AA19" s="25">
        <v>122</v>
      </c>
      <c r="AB19" s="25">
        <v>6</v>
      </c>
      <c r="AC19" s="25">
        <v>6</v>
      </c>
      <c r="AD19" s="25">
        <v>103</v>
      </c>
      <c r="AE19" s="25">
        <v>105</v>
      </c>
      <c r="AF19" s="25">
        <v>106</v>
      </c>
      <c r="AG19" s="25">
        <v>37</v>
      </c>
      <c r="AH19" s="25">
        <v>31</v>
      </c>
      <c r="AI19" s="25">
        <v>21</v>
      </c>
      <c r="AJ19" s="27">
        <v>19</v>
      </c>
      <c r="AK19" s="27">
        <v>59</v>
      </c>
      <c r="AL19" s="27">
        <v>36</v>
      </c>
      <c r="AM19" s="27">
        <v>81</v>
      </c>
      <c r="AN19" s="27">
        <v>55</v>
      </c>
      <c r="AO19" s="27">
        <v>140</v>
      </c>
      <c r="AP19" s="27">
        <v>198</v>
      </c>
      <c r="AQ19" s="27">
        <v>52</v>
      </c>
      <c r="AR19" s="27">
        <v>116</v>
      </c>
      <c r="AS19" s="27">
        <v>110</v>
      </c>
      <c r="AT19" s="27">
        <v>119</v>
      </c>
      <c r="AU19" s="27">
        <v>21</v>
      </c>
      <c r="AV19" s="31" t="e">
        <v>#N/A</v>
      </c>
      <c r="AW19" s="28">
        <v>135</v>
      </c>
      <c r="AX19" s="28">
        <v>155</v>
      </c>
      <c r="AY19" s="28">
        <v>43</v>
      </c>
      <c r="AZ19" s="28">
        <v>162</v>
      </c>
      <c r="BA19" s="31" t="e">
        <v>#N/A</v>
      </c>
      <c r="BB19" s="31" t="e">
        <v>#N/A</v>
      </c>
      <c r="BC19" s="28">
        <v>45</v>
      </c>
      <c r="BD19" s="28">
        <v>13</v>
      </c>
      <c r="BE19" s="28">
        <v>7</v>
      </c>
      <c r="BF19" s="28">
        <v>90</v>
      </c>
      <c r="BG19" s="32">
        <v>42</v>
      </c>
    </row>
    <row r="20" spans="1:59" x14ac:dyDescent="0.35">
      <c r="A20" s="2">
        <v>1889</v>
      </c>
      <c r="B20" s="19">
        <v>108</v>
      </c>
      <c r="C20" s="19">
        <v>72</v>
      </c>
      <c r="D20" s="19">
        <v>119</v>
      </c>
      <c r="E20" s="19">
        <v>125</v>
      </c>
      <c r="F20" s="19">
        <v>189</v>
      </c>
      <c r="G20" s="19">
        <v>14</v>
      </c>
      <c r="H20" s="19">
        <v>277</v>
      </c>
      <c r="I20" s="19">
        <v>13</v>
      </c>
      <c r="J20" s="19">
        <v>29</v>
      </c>
      <c r="K20" s="19">
        <v>302</v>
      </c>
      <c r="L20" s="19">
        <v>39</v>
      </c>
      <c r="M20" s="21">
        <v>304</v>
      </c>
      <c r="N20" s="21">
        <v>351</v>
      </c>
      <c r="O20" s="21">
        <v>56</v>
      </c>
      <c r="P20" s="21">
        <v>62</v>
      </c>
      <c r="Q20" s="21">
        <v>2</v>
      </c>
      <c r="R20" s="31" t="e">
        <v>#N/A</v>
      </c>
      <c r="S20" s="21">
        <v>32</v>
      </c>
      <c r="T20" s="21">
        <v>22</v>
      </c>
      <c r="U20" s="21">
        <v>8</v>
      </c>
      <c r="V20" s="21">
        <v>34</v>
      </c>
      <c r="W20" s="23">
        <v>97</v>
      </c>
      <c r="X20" s="25">
        <v>19</v>
      </c>
      <c r="Y20" s="25">
        <v>99</v>
      </c>
      <c r="Z20" s="25">
        <v>118</v>
      </c>
      <c r="AA20" s="25">
        <v>122</v>
      </c>
      <c r="AB20" s="25">
        <v>5</v>
      </c>
      <c r="AC20" s="25">
        <v>9</v>
      </c>
      <c r="AD20" s="25">
        <v>121</v>
      </c>
      <c r="AE20" s="25">
        <v>123</v>
      </c>
      <c r="AF20" s="25">
        <v>123</v>
      </c>
      <c r="AG20" s="25">
        <v>34</v>
      </c>
      <c r="AH20" s="25">
        <v>29</v>
      </c>
      <c r="AI20" s="25">
        <v>22</v>
      </c>
      <c r="AJ20" s="27">
        <v>25</v>
      </c>
      <c r="AK20" s="27">
        <v>57</v>
      </c>
      <c r="AL20" s="27">
        <v>43</v>
      </c>
      <c r="AM20" s="27">
        <v>85</v>
      </c>
      <c r="AN20" s="27">
        <v>68</v>
      </c>
      <c r="AO20" s="27">
        <v>143</v>
      </c>
      <c r="AP20" s="27">
        <v>220</v>
      </c>
      <c r="AQ20" s="27">
        <v>50</v>
      </c>
      <c r="AR20" s="27">
        <v>132</v>
      </c>
      <c r="AS20" s="27">
        <v>121</v>
      </c>
      <c r="AT20" s="27">
        <v>135</v>
      </c>
      <c r="AU20" s="27">
        <v>22</v>
      </c>
      <c r="AV20" s="28">
        <v>24</v>
      </c>
      <c r="AW20" s="28">
        <v>152</v>
      </c>
      <c r="AX20" s="28">
        <v>158</v>
      </c>
      <c r="AY20" s="28">
        <v>53</v>
      </c>
      <c r="AZ20" s="28">
        <v>188</v>
      </c>
      <c r="BA20" s="31" t="e">
        <v>#N/A</v>
      </c>
      <c r="BB20" s="28">
        <v>3</v>
      </c>
      <c r="BC20" s="28">
        <v>42</v>
      </c>
      <c r="BD20" s="28">
        <v>13</v>
      </c>
      <c r="BE20" s="28">
        <v>9</v>
      </c>
      <c r="BF20" s="28">
        <v>89</v>
      </c>
      <c r="BG20" s="32">
        <v>40</v>
      </c>
    </row>
    <row r="21" spans="1:59" x14ac:dyDescent="0.35">
      <c r="A21" s="2">
        <v>1890</v>
      </c>
      <c r="B21" s="19">
        <v>123</v>
      </c>
      <c r="C21" s="19">
        <v>81</v>
      </c>
      <c r="D21" s="19">
        <v>138</v>
      </c>
      <c r="E21" s="19">
        <v>143</v>
      </c>
      <c r="F21" s="19">
        <v>216</v>
      </c>
      <c r="G21" s="19">
        <v>14</v>
      </c>
      <c r="H21" s="19">
        <v>265</v>
      </c>
      <c r="I21" s="19">
        <v>13</v>
      </c>
      <c r="J21" s="19">
        <v>28</v>
      </c>
      <c r="K21" s="19">
        <v>291</v>
      </c>
      <c r="L21" s="19">
        <v>39</v>
      </c>
      <c r="M21" s="21">
        <v>294</v>
      </c>
      <c r="N21" s="21">
        <v>338</v>
      </c>
      <c r="O21" s="21">
        <v>55</v>
      </c>
      <c r="P21" s="21">
        <v>62</v>
      </c>
      <c r="Q21" s="22">
        <v>2</v>
      </c>
      <c r="R21" s="31" t="e">
        <v>#N/A</v>
      </c>
      <c r="S21" s="21">
        <v>36</v>
      </c>
      <c r="T21" s="21">
        <v>20</v>
      </c>
      <c r="U21" s="21">
        <v>9</v>
      </c>
      <c r="V21" s="21">
        <v>37</v>
      </c>
      <c r="W21" s="23">
        <v>100</v>
      </c>
      <c r="X21" s="25">
        <v>26</v>
      </c>
      <c r="Y21" s="25">
        <v>107</v>
      </c>
      <c r="Z21" s="25">
        <v>133</v>
      </c>
      <c r="AA21" s="25">
        <v>137</v>
      </c>
      <c r="AB21" s="25">
        <v>7</v>
      </c>
      <c r="AC21" s="25">
        <v>11</v>
      </c>
      <c r="AD21" s="25">
        <v>118</v>
      </c>
      <c r="AE21" s="25">
        <v>121</v>
      </c>
      <c r="AF21" s="25">
        <v>120</v>
      </c>
      <c r="AG21" s="25">
        <v>39</v>
      </c>
      <c r="AH21" s="25">
        <v>32</v>
      </c>
      <c r="AI21" s="25">
        <v>26</v>
      </c>
      <c r="AJ21" s="27">
        <v>21</v>
      </c>
      <c r="AK21" s="27">
        <v>63</v>
      </c>
      <c r="AL21" s="27">
        <v>37</v>
      </c>
      <c r="AM21" s="27">
        <v>92</v>
      </c>
      <c r="AN21" s="27">
        <v>58</v>
      </c>
      <c r="AO21" s="27">
        <v>156</v>
      </c>
      <c r="AP21" s="27">
        <v>220</v>
      </c>
      <c r="AQ21" s="27">
        <v>58</v>
      </c>
      <c r="AR21" s="27">
        <v>134</v>
      </c>
      <c r="AS21" s="27">
        <v>118</v>
      </c>
      <c r="AT21" s="27">
        <v>137</v>
      </c>
      <c r="AU21" s="27">
        <v>23</v>
      </c>
      <c r="AV21" s="28">
        <v>25</v>
      </c>
      <c r="AW21" s="28">
        <v>155</v>
      </c>
      <c r="AX21" s="28">
        <v>173</v>
      </c>
      <c r="AY21" s="28">
        <v>53</v>
      </c>
      <c r="AZ21" s="28">
        <v>190</v>
      </c>
      <c r="BA21" s="31" t="e">
        <v>#N/A</v>
      </c>
      <c r="BB21" s="28">
        <v>5</v>
      </c>
      <c r="BC21" s="28">
        <v>47</v>
      </c>
      <c r="BD21" s="28">
        <v>14</v>
      </c>
      <c r="BE21" s="28">
        <v>10</v>
      </c>
      <c r="BF21" s="28">
        <v>101</v>
      </c>
      <c r="BG21" s="32">
        <v>43</v>
      </c>
    </row>
    <row r="22" spans="1:59" x14ac:dyDescent="0.35">
      <c r="A22" s="2">
        <v>1891</v>
      </c>
      <c r="B22" s="19">
        <v>198</v>
      </c>
      <c r="C22" s="19">
        <v>79</v>
      </c>
      <c r="D22" s="19">
        <v>128</v>
      </c>
      <c r="E22" s="19">
        <v>133</v>
      </c>
      <c r="F22" s="19">
        <v>219</v>
      </c>
      <c r="G22" s="20">
        <v>15</v>
      </c>
      <c r="H22" s="19">
        <v>291</v>
      </c>
      <c r="I22" s="19">
        <v>16</v>
      </c>
      <c r="J22" s="19">
        <v>25</v>
      </c>
      <c r="K22" s="19">
        <v>314</v>
      </c>
      <c r="L22" s="19">
        <v>37</v>
      </c>
      <c r="M22" s="21">
        <v>317</v>
      </c>
      <c r="N22" s="21">
        <v>360</v>
      </c>
      <c r="O22" s="21">
        <v>50</v>
      </c>
      <c r="P22" s="21">
        <v>59</v>
      </c>
      <c r="Q22" s="21">
        <v>10</v>
      </c>
      <c r="R22" s="31" t="e">
        <v>#N/A</v>
      </c>
      <c r="S22" s="21">
        <v>38</v>
      </c>
      <c r="T22" s="21">
        <v>23</v>
      </c>
      <c r="U22" s="21">
        <v>18</v>
      </c>
      <c r="V22" s="21">
        <v>40</v>
      </c>
      <c r="W22" s="23">
        <v>98</v>
      </c>
      <c r="X22" s="25">
        <v>22</v>
      </c>
      <c r="Y22" s="25">
        <v>114</v>
      </c>
      <c r="Z22" s="25">
        <v>136</v>
      </c>
      <c r="AA22" s="25">
        <v>138</v>
      </c>
      <c r="AB22" s="25">
        <v>6</v>
      </c>
      <c r="AC22" s="25">
        <v>10</v>
      </c>
      <c r="AD22" s="25">
        <v>159</v>
      </c>
      <c r="AE22" s="25">
        <v>162</v>
      </c>
      <c r="AF22" s="25">
        <v>161</v>
      </c>
      <c r="AG22" s="25">
        <v>38</v>
      </c>
      <c r="AH22" s="25">
        <v>29</v>
      </c>
      <c r="AI22" s="25">
        <v>25</v>
      </c>
      <c r="AJ22" s="27">
        <v>25</v>
      </c>
      <c r="AK22" s="27">
        <v>55</v>
      </c>
      <c r="AL22" s="27">
        <v>44</v>
      </c>
      <c r="AM22" s="27">
        <v>67</v>
      </c>
      <c r="AN22" s="27">
        <v>69</v>
      </c>
      <c r="AO22" s="27">
        <v>122</v>
      </c>
      <c r="AP22" s="27">
        <v>194</v>
      </c>
      <c r="AQ22" s="27">
        <v>54</v>
      </c>
      <c r="AR22" s="27">
        <v>132</v>
      </c>
      <c r="AS22" s="27">
        <v>127</v>
      </c>
      <c r="AT22" s="27">
        <v>135</v>
      </c>
      <c r="AU22" s="27">
        <v>24</v>
      </c>
      <c r="AV22" s="28">
        <v>26</v>
      </c>
      <c r="AW22" s="28">
        <v>153</v>
      </c>
      <c r="AX22" s="28">
        <v>140</v>
      </c>
      <c r="AY22" s="28">
        <v>52</v>
      </c>
      <c r="AZ22" s="28">
        <v>187</v>
      </c>
      <c r="BA22" s="31" t="e">
        <v>#N/A</v>
      </c>
      <c r="BB22" s="28">
        <v>6</v>
      </c>
      <c r="BC22" s="28">
        <v>49</v>
      </c>
      <c r="BD22" s="28">
        <v>12</v>
      </c>
      <c r="BE22" s="28">
        <v>13</v>
      </c>
      <c r="BF22" s="28">
        <v>103</v>
      </c>
      <c r="BG22" s="32">
        <v>40</v>
      </c>
    </row>
    <row r="23" spans="1:59" x14ac:dyDescent="0.35">
      <c r="A23" s="2">
        <v>1892</v>
      </c>
      <c r="B23" s="19">
        <v>203</v>
      </c>
      <c r="C23" s="19">
        <v>89</v>
      </c>
      <c r="D23" s="19">
        <v>146</v>
      </c>
      <c r="E23" s="19">
        <v>150</v>
      </c>
      <c r="F23" s="19">
        <v>255</v>
      </c>
      <c r="G23" s="19">
        <v>13</v>
      </c>
      <c r="H23" s="19">
        <v>230</v>
      </c>
      <c r="I23" s="19">
        <v>15</v>
      </c>
      <c r="J23" s="19">
        <v>26</v>
      </c>
      <c r="K23" s="19">
        <v>253</v>
      </c>
      <c r="L23" s="19">
        <v>37</v>
      </c>
      <c r="M23" s="21">
        <v>255</v>
      </c>
      <c r="N23" s="21">
        <v>297</v>
      </c>
      <c r="O23" s="21">
        <v>47</v>
      </c>
      <c r="P23" s="21">
        <v>56</v>
      </c>
      <c r="Q23" s="21">
        <v>5</v>
      </c>
      <c r="R23" s="31" t="e">
        <v>#N/A</v>
      </c>
      <c r="S23" s="21">
        <v>35</v>
      </c>
      <c r="T23" s="21">
        <v>24</v>
      </c>
      <c r="U23" s="21">
        <v>13</v>
      </c>
      <c r="V23" s="21">
        <v>36</v>
      </c>
      <c r="W23" s="23">
        <v>91</v>
      </c>
      <c r="X23" s="25">
        <v>19</v>
      </c>
      <c r="Y23" s="25">
        <v>113</v>
      </c>
      <c r="Z23" s="25">
        <v>131</v>
      </c>
      <c r="AA23" s="25">
        <v>134</v>
      </c>
      <c r="AB23" s="25">
        <v>6</v>
      </c>
      <c r="AC23" s="25">
        <v>9</v>
      </c>
      <c r="AD23" s="25">
        <v>129</v>
      </c>
      <c r="AE23" s="25">
        <v>132</v>
      </c>
      <c r="AF23" s="25">
        <v>131</v>
      </c>
      <c r="AG23" s="25">
        <v>43</v>
      </c>
      <c r="AH23" s="25">
        <v>32</v>
      </c>
      <c r="AI23" s="25">
        <v>23</v>
      </c>
      <c r="AJ23" s="27">
        <v>22</v>
      </c>
      <c r="AK23" s="27">
        <v>62</v>
      </c>
      <c r="AL23" s="27">
        <v>51</v>
      </c>
      <c r="AM23" s="27">
        <v>71</v>
      </c>
      <c r="AN23" s="27">
        <v>73</v>
      </c>
      <c r="AO23" s="27">
        <v>132</v>
      </c>
      <c r="AP23" s="27">
        <v>209</v>
      </c>
      <c r="AQ23" s="27">
        <v>55</v>
      </c>
      <c r="AR23" s="27">
        <v>142</v>
      </c>
      <c r="AS23" s="27">
        <v>132</v>
      </c>
      <c r="AT23" s="27">
        <v>146</v>
      </c>
      <c r="AU23" s="27">
        <v>27</v>
      </c>
      <c r="AV23" s="28">
        <v>29</v>
      </c>
      <c r="AW23" s="28">
        <v>166</v>
      </c>
      <c r="AX23" s="28">
        <v>152</v>
      </c>
      <c r="AY23" s="28">
        <v>54</v>
      </c>
      <c r="AZ23" s="28">
        <v>200</v>
      </c>
      <c r="BA23" s="31" t="e">
        <v>#N/A</v>
      </c>
      <c r="BB23" s="28">
        <v>7</v>
      </c>
      <c r="BC23" s="28">
        <v>40</v>
      </c>
      <c r="BD23" s="28">
        <v>12</v>
      </c>
      <c r="BE23" s="28">
        <v>13</v>
      </c>
      <c r="BF23" s="28">
        <v>97</v>
      </c>
      <c r="BG23" s="32">
        <v>41</v>
      </c>
    </row>
    <row r="24" spans="1:59" x14ac:dyDescent="0.35">
      <c r="A24" s="2">
        <v>1893</v>
      </c>
      <c r="B24" s="19">
        <v>139</v>
      </c>
      <c r="C24" s="19">
        <v>77</v>
      </c>
      <c r="D24" s="19">
        <v>133</v>
      </c>
      <c r="E24" s="19">
        <v>137</v>
      </c>
      <c r="F24" s="19">
        <v>230</v>
      </c>
      <c r="G24" s="19">
        <v>17</v>
      </c>
      <c r="H24" s="19">
        <v>217</v>
      </c>
      <c r="I24" s="19">
        <v>16</v>
      </c>
      <c r="J24" s="19">
        <v>27</v>
      </c>
      <c r="K24" s="19">
        <v>249</v>
      </c>
      <c r="L24" s="19">
        <v>37</v>
      </c>
      <c r="M24" s="21">
        <v>251</v>
      </c>
      <c r="N24" s="21">
        <v>294</v>
      </c>
      <c r="O24" s="21">
        <v>46</v>
      </c>
      <c r="P24" s="21">
        <v>59</v>
      </c>
      <c r="Q24" s="21">
        <v>16</v>
      </c>
      <c r="R24" s="31" t="e">
        <v>#N/A</v>
      </c>
      <c r="S24" s="21">
        <v>39</v>
      </c>
      <c r="T24" s="21">
        <v>25</v>
      </c>
      <c r="U24" s="21">
        <v>25</v>
      </c>
      <c r="V24" s="21">
        <v>42</v>
      </c>
      <c r="W24" s="23">
        <v>97</v>
      </c>
      <c r="X24" s="25">
        <v>19</v>
      </c>
      <c r="Y24" s="25">
        <v>113</v>
      </c>
      <c r="Z24" s="25">
        <v>133</v>
      </c>
      <c r="AA24" s="25">
        <v>134</v>
      </c>
      <c r="AB24" s="25">
        <v>6</v>
      </c>
      <c r="AC24" s="25">
        <v>7</v>
      </c>
      <c r="AD24" s="25">
        <v>141</v>
      </c>
      <c r="AE24" s="25">
        <v>145</v>
      </c>
      <c r="AF24" s="25">
        <v>143</v>
      </c>
      <c r="AG24" s="25">
        <v>36</v>
      </c>
      <c r="AH24" s="25">
        <v>26</v>
      </c>
      <c r="AI24" s="25">
        <v>26</v>
      </c>
      <c r="AJ24" s="27">
        <v>23</v>
      </c>
      <c r="AK24" s="27">
        <v>59</v>
      </c>
      <c r="AL24" s="27">
        <v>33</v>
      </c>
      <c r="AM24" s="27">
        <v>65</v>
      </c>
      <c r="AN24" s="27">
        <v>56</v>
      </c>
      <c r="AO24" s="27">
        <v>124</v>
      </c>
      <c r="AP24" s="27">
        <v>182</v>
      </c>
      <c r="AQ24" s="27">
        <v>51</v>
      </c>
      <c r="AR24" s="27">
        <v>119</v>
      </c>
      <c r="AS24" s="27">
        <v>111</v>
      </c>
      <c r="AT24" s="27">
        <v>122</v>
      </c>
      <c r="AU24" s="27">
        <v>25</v>
      </c>
      <c r="AV24" s="28">
        <v>28</v>
      </c>
      <c r="AW24" s="28">
        <v>142</v>
      </c>
      <c r="AX24" s="28">
        <v>143</v>
      </c>
      <c r="AY24" s="28">
        <v>52</v>
      </c>
      <c r="AZ24" s="28">
        <v>175</v>
      </c>
      <c r="BA24" s="31" t="e">
        <v>#N/A</v>
      </c>
      <c r="BB24" s="28">
        <v>8</v>
      </c>
      <c r="BC24" s="28">
        <v>37</v>
      </c>
      <c r="BD24" s="28">
        <v>10</v>
      </c>
      <c r="BE24" s="28">
        <v>14</v>
      </c>
      <c r="BF24" s="28">
        <v>88</v>
      </c>
      <c r="BG24" s="32">
        <v>36</v>
      </c>
    </row>
    <row r="25" spans="1:59" x14ac:dyDescent="0.35">
      <c r="A25" s="2">
        <v>1894</v>
      </c>
      <c r="B25" s="19">
        <v>109</v>
      </c>
      <c r="C25" s="19">
        <v>82</v>
      </c>
      <c r="D25" s="19">
        <v>141</v>
      </c>
      <c r="E25" s="19">
        <v>146</v>
      </c>
      <c r="F25" s="19">
        <v>223</v>
      </c>
      <c r="G25" s="19">
        <v>18</v>
      </c>
      <c r="H25" s="19">
        <v>215</v>
      </c>
      <c r="I25" s="19">
        <v>17</v>
      </c>
      <c r="J25" s="19">
        <v>28</v>
      </c>
      <c r="K25" s="19">
        <v>240</v>
      </c>
      <c r="L25" s="19">
        <v>40</v>
      </c>
      <c r="M25" s="21">
        <v>242</v>
      </c>
      <c r="N25" s="21">
        <v>288</v>
      </c>
      <c r="O25" s="21">
        <v>45</v>
      </c>
      <c r="P25" s="21">
        <v>56</v>
      </c>
      <c r="Q25" s="21">
        <v>17</v>
      </c>
      <c r="R25" s="31" t="e">
        <v>#N/A</v>
      </c>
      <c r="S25" s="21">
        <v>37</v>
      </c>
      <c r="T25" s="21">
        <v>22</v>
      </c>
      <c r="U25" s="21">
        <v>25</v>
      </c>
      <c r="V25" s="21">
        <v>40</v>
      </c>
      <c r="W25" s="23">
        <v>94</v>
      </c>
      <c r="X25" s="25">
        <v>16</v>
      </c>
      <c r="Y25" s="25">
        <v>118</v>
      </c>
      <c r="Z25" s="25">
        <v>134</v>
      </c>
      <c r="AA25" s="25">
        <v>136</v>
      </c>
      <c r="AB25" s="25">
        <v>6</v>
      </c>
      <c r="AC25" s="25">
        <v>8</v>
      </c>
      <c r="AD25" s="25">
        <v>124</v>
      </c>
      <c r="AE25" s="25">
        <v>128</v>
      </c>
      <c r="AF25" s="25">
        <v>126</v>
      </c>
      <c r="AG25" s="25">
        <v>29</v>
      </c>
      <c r="AH25" s="25">
        <v>21</v>
      </c>
      <c r="AI25" s="25">
        <v>26</v>
      </c>
      <c r="AJ25" s="27">
        <v>15</v>
      </c>
      <c r="AK25" s="27">
        <v>51</v>
      </c>
      <c r="AL25" s="27">
        <v>37</v>
      </c>
      <c r="AM25" s="27">
        <v>43</v>
      </c>
      <c r="AN25" s="27">
        <v>52</v>
      </c>
      <c r="AO25" s="27">
        <v>94</v>
      </c>
      <c r="AP25" s="27">
        <v>148</v>
      </c>
      <c r="AQ25" s="27">
        <v>46</v>
      </c>
      <c r="AR25" s="27">
        <v>113</v>
      </c>
      <c r="AS25" s="27">
        <v>102</v>
      </c>
      <c r="AT25" s="27">
        <v>117</v>
      </c>
      <c r="AU25" s="27">
        <v>20</v>
      </c>
      <c r="AV25" s="28">
        <v>21</v>
      </c>
      <c r="AW25" s="28">
        <v>132</v>
      </c>
      <c r="AX25" s="28">
        <v>109</v>
      </c>
      <c r="AY25" s="28">
        <v>43</v>
      </c>
      <c r="AZ25" s="28">
        <v>160</v>
      </c>
      <c r="BA25" s="31" t="e">
        <v>#N/A</v>
      </c>
      <c r="BB25" s="28">
        <v>5</v>
      </c>
      <c r="BC25" s="28">
        <v>26</v>
      </c>
      <c r="BD25" s="28">
        <v>7</v>
      </c>
      <c r="BE25" s="28">
        <v>11</v>
      </c>
      <c r="BF25" s="28">
        <v>69</v>
      </c>
      <c r="BG25" s="32">
        <v>27</v>
      </c>
    </row>
    <row r="26" spans="1:59" x14ac:dyDescent="0.35">
      <c r="A26" s="2">
        <v>1895</v>
      </c>
      <c r="B26" s="19">
        <v>106</v>
      </c>
      <c r="C26" s="19">
        <v>82</v>
      </c>
      <c r="D26" s="19">
        <v>133</v>
      </c>
      <c r="E26" s="19">
        <v>138</v>
      </c>
      <c r="F26" s="19">
        <v>210</v>
      </c>
      <c r="G26" s="19">
        <v>21</v>
      </c>
      <c r="H26" s="19">
        <v>204</v>
      </c>
      <c r="I26" s="19">
        <v>17</v>
      </c>
      <c r="J26" s="19">
        <v>29</v>
      </c>
      <c r="K26" s="19">
        <v>228</v>
      </c>
      <c r="L26" s="19">
        <v>45</v>
      </c>
      <c r="M26" s="22">
        <v>230</v>
      </c>
      <c r="N26" s="21">
        <v>281</v>
      </c>
      <c r="O26" s="21">
        <v>62</v>
      </c>
      <c r="P26" s="21">
        <v>73</v>
      </c>
      <c r="Q26" s="21">
        <v>14</v>
      </c>
      <c r="R26" s="31" t="e">
        <v>#N/A</v>
      </c>
      <c r="S26" s="21">
        <v>44</v>
      </c>
      <c r="T26" s="21">
        <v>24</v>
      </c>
      <c r="U26" s="21">
        <v>25</v>
      </c>
      <c r="V26" s="21">
        <v>47</v>
      </c>
      <c r="W26" s="23">
        <v>117</v>
      </c>
      <c r="X26" s="25">
        <v>16</v>
      </c>
      <c r="Y26" s="25">
        <v>121</v>
      </c>
      <c r="Z26" s="25">
        <v>136</v>
      </c>
      <c r="AA26" s="25">
        <v>139</v>
      </c>
      <c r="AB26" s="25">
        <v>6</v>
      </c>
      <c r="AC26" s="25">
        <v>8</v>
      </c>
      <c r="AD26" s="25">
        <v>86</v>
      </c>
      <c r="AE26" s="25">
        <v>91</v>
      </c>
      <c r="AF26" s="25">
        <v>88</v>
      </c>
      <c r="AG26" s="25">
        <v>52</v>
      </c>
      <c r="AH26" s="25">
        <v>42</v>
      </c>
      <c r="AI26" s="25">
        <v>28</v>
      </c>
      <c r="AJ26" s="27">
        <v>18</v>
      </c>
      <c r="AK26" s="27">
        <v>68</v>
      </c>
      <c r="AL26" s="27">
        <v>64</v>
      </c>
      <c r="AM26" s="27">
        <v>89</v>
      </c>
      <c r="AN26" s="27">
        <v>82</v>
      </c>
      <c r="AO26" s="27">
        <v>157</v>
      </c>
      <c r="AP26" s="27">
        <v>245</v>
      </c>
      <c r="AQ26" s="27">
        <v>70</v>
      </c>
      <c r="AR26" s="27">
        <v>166</v>
      </c>
      <c r="AS26" s="27">
        <v>155</v>
      </c>
      <c r="AT26" s="27">
        <v>171</v>
      </c>
      <c r="AU26" s="27">
        <v>24</v>
      </c>
      <c r="AV26" s="28">
        <v>25</v>
      </c>
      <c r="AW26" s="28">
        <v>189</v>
      </c>
      <c r="AX26" s="28">
        <v>177</v>
      </c>
      <c r="AY26" s="28">
        <v>57</v>
      </c>
      <c r="AZ26" s="28">
        <v>227</v>
      </c>
      <c r="BA26" s="31" t="e">
        <v>#N/A</v>
      </c>
      <c r="BB26" s="28">
        <v>4</v>
      </c>
      <c r="BC26" s="28">
        <v>31</v>
      </c>
      <c r="BD26" s="28">
        <v>11</v>
      </c>
      <c r="BE26" s="28">
        <v>10</v>
      </c>
      <c r="BF26" s="28">
        <v>77</v>
      </c>
      <c r="BG26" s="32">
        <v>40</v>
      </c>
    </row>
    <row r="27" spans="1:59" x14ac:dyDescent="0.35">
      <c r="A27" s="2">
        <v>1896</v>
      </c>
      <c r="B27" s="19">
        <v>165</v>
      </c>
      <c r="C27" s="19">
        <v>86</v>
      </c>
      <c r="D27" s="19">
        <v>132</v>
      </c>
      <c r="E27" s="19">
        <v>137</v>
      </c>
      <c r="F27" s="19">
        <v>219</v>
      </c>
      <c r="G27" s="19">
        <v>22</v>
      </c>
      <c r="H27" s="19">
        <v>253</v>
      </c>
      <c r="I27" s="19">
        <v>23</v>
      </c>
      <c r="J27" s="19">
        <v>35</v>
      </c>
      <c r="K27" s="19">
        <v>278</v>
      </c>
      <c r="L27" s="19">
        <v>49</v>
      </c>
      <c r="M27" s="21">
        <v>281</v>
      </c>
      <c r="N27" s="21">
        <v>337</v>
      </c>
      <c r="O27" s="21">
        <v>68</v>
      </c>
      <c r="P27" s="21">
        <v>80</v>
      </c>
      <c r="Q27" s="21">
        <v>32</v>
      </c>
      <c r="R27" s="31" t="e">
        <v>#N/A</v>
      </c>
      <c r="S27" s="21">
        <v>60</v>
      </c>
      <c r="T27" s="21">
        <v>24</v>
      </c>
      <c r="U27" s="21">
        <v>43</v>
      </c>
      <c r="V27" s="21">
        <v>63</v>
      </c>
      <c r="W27" s="23">
        <v>142</v>
      </c>
      <c r="X27" s="25">
        <v>15</v>
      </c>
      <c r="Y27" s="25">
        <v>100</v>
      </c>
      <c r="Z27" s="25">
        <v>115</v>
      </c>
      <c r="AA27" s="25">
        <v>118</v>
      </c>
      <c r="AB27" s="25">
        <v>6</v>
      </c>
      <c r="AC27" s="25">
        <v>7</v>
      </c>
      <c r="AD27" s="25">
        <v>107</v>
      </c>
      <c r="AE27" s="25">
        <v>115</v>
      </c>
      <c r="AF27" s="25">
        <v>109</v>
      </c>
      <c r="AG27" s="25">
        <v>32</v>
      </c>
      <c r="AH27" s="25">
        <v>25</v>
      </c>
      <c r="AI27" s="25">
        <v>22</v>
      </c>
      <c r="AJ27" s="27">
        <v>18</v>
      </c>
      <c r="AK27" s="27">
        <v>62</v>
      </c>
      <c r="AL27" s="27">
        <v>39</v>
      </c>
      <c r="AM27" s="27">
        <v>57</v>
      </c>
      <c r="AN27" s="27">
        <v>57</v>
      </c>
      <c r="AO27" s="27">
        <v>119</v>
      </c>
      <c r="AP27" s="27">
        <v>180</v>
      </c>
      <c r="AQ27" s="27">
        <v>46</v>
      </c>
      <c r="AR27" s="27">
        <v>114</v>
      </c>
      <c r="AS27" s="27">
        <v>107</v>
      </c>
      <c r="AT27" s="27">
        <v>118</v>
      </c>
      <c r="AU27" s="27">
        <v>22</v>
      </c>
      <c r="AV27" s="28">
        <v>23</v>
      </c>
      <c r="AW27" s="28">
        <v>133</v>
      </c>
      <c r="AX27" s="28">
        <v>136</v>
      </c>
      <c r="AY27" s="28">
        <v>43</v>
      </c>
      <c r="AZ27" s="28">
        <v>161</v>
      </c>
      <c r="BA27" s="31" t="e">
        <v>#N/A</v>
      </c>
      <c r="BB27" s="28">
        <v>3</v>
      </c>
      <c r="BC27" s="28">
        <v>23</v>
      </c>
      <c r="BD27" s="28">
        <v>11</v>
      </c>
      <c r="BE27" s="28">
        <v>9</v>
      </c>
      <c r="BF27" s="28">
        <v>67</v>
      </c>
      <c r="BG27" s="32">
        <v>37</v>
      </c>
    </row>
    <row r="28" spans="1:59" x14ac:dyDescent="0.35">
      <c r="A28" s="2">
        <v>1897</v>
      </c>
      <c r="B28" s="19">
        <v>235</v>
      </c>
      <c r="C28" s="19">
        <v>94</v>
      </c>
      <c r="D28" s="19">
        <v>145</v>
      </c>
      <c r="E28" s="19">
        <v>149</v>
      </c>
      <c r="F28" s="19">
        <v>240</v>
      </c>
      <c r="G28" s="19">
        <v>21</v>
      </c>
      <c r="H28" s="19">
        <v>231</v>
      </c>
      <c r="I28" s="19">
        <v>22</v>
      </c>
      <c r="J28" s="19">
        <v>40</v>
      </c>
      <c r="K28" s="19">
        <v>252</v>
      </c>
      <c r="L28" s="19">
        <v>54</v>
      </c>
      <c r="M28" s="21">
        <v>256</v>
      </c>
      <c r="N28" s="21">
        <v>316</v>
      </c>
      <c r="O28" s="21">
        <v>65</v>
      </c>
      <c r="P28" s="21">
        <v>77</v>
      </c>
      <c r="Q28" s="21">
        <v>39</v>
      </c>
      <c r="R28" s="31" t="e">
        <v>#N/A</v>
      </c>
      <c r="S28" s="21">
        <v>75</v>
      </c>
      <c r="T28" s="21">
        <v>23</v>
      </c>
      <c r="U28" s="21">
        <v>52</v>
      </c>
      <c r="V28" s="21">
        <v>79</v>
      </c>
      <c r="W28" s="23">
        <v>155</v>
      </c>
      <c r="X28" s="25">
        <v>14</v>
      </c>
      <c r="Y28" s="25">
        <v>100</v>
      </c>
      <c r="Z28" s="25">
        <v>114</v>
      </c>
      <c r="AA28" s="25">
        <v>119</v>
      </c>
      <c r="AB28" s="25">
        <v>6</v>
      </c>
      <c r="AC28" s="25">
        <v>8</v>
      </c>
      <c r="AD28" s="25">
        <v>94</v>
      </c>
      <c r="AE28" s="25">
        <v>102</v>
      </c>
      <c r="AF28" s="25">
        <v>96</v>
      </c>
      <c r="AG28" s="25">
        <v>46</v>
      </c>
      <c r="AH28" s="25">
        <v>38</v>
      </c>
      <c r="AI28" s="25">
        <v>28</v>
      </c>
      <c r="AJ28" s="27">
        <v>19</v>
      </c>
      <c r="AK28" s="27">
        <v>68</v>
      </c>
      <c r="AL28" s="27">
        <v>84</v>
      </c>
      <c r="AM28" s="27">
        <v>59</v>
      </c>
      <c r="AN28" s="27">
        <v>104</v>
      </c>
      <c r="AO28" s="27">
        <v>127</v>
      </c>
      <c r="AP28" s="27">
        <v>240</v>
      </c>
      <c r="AQ28" s="27">
        <v>65</v>
      </c>
      <c r="AR28" s="27">
        <v>178</v>
      </c>
      <c r="AS28" s="27">
        <v>173</v>
      </c>
      <c r="AT28" s="27">
        <v>182</v>
      </c>
      <c r="AU28" s="27">
        <v>22</v>
      </c>
      <c r="AV28" s="28">
        <v>22</v>
      </c>
      <c r="AW28" s="28">
        <v>198</v>
      </c>
      <c r="AX28" s="28">
        <v>145</v>
      </c>
      <c r="AY28" s="28">
        <v>49</v>
      </c>
      <c r="AZ28" s="28">
        <v>231</v>
      </c>
      <c r="BA28" s="31" t="e">
        <v>#N/A</v>
      </c>
      <c r="BB28" s="28">
        <v>4</v>
      </c>
      <c r="BC28" s="28">
        <v>22</v>
      </c>
      <c r="BD28" s="28">
        <v>8</v>
      </c>
      <c r="BE28" s="28">
        <v>10</v>
      </c>
      <c r="BF28" s="28">
        <v>67</v>
      </c>
      <c r="BG28" s="32">
        <v>31</v>
      </c>
    </row>
    <row r="29" spans="1:59" x14ac:dyDescent="0.35">
      <c r="A29" s="2">
        <v>1898</v>
      </c>
      <c r="B29" s="19">
        <v>279</v>
      </c>
      <c r="C29" s="19">
        <v>111</v>
      </c>
      <c r="D29" s="19">
        <v>171</v>
      </c>
      <c r="E29" s="19">
        <v>175</v>
      </c>
      <c r="F29" s="19">
        <v>290</v>
      </c>
      <c r="G29" s="19">
        <v>23</v>
      </c>
      <c r="H29" s="19">
        <v>253</v>
      </c>
      <c r="I29" s="19">
        <v>24</v>
      </c>
      <c r="J29" s="19">
        <v>38</v>
      </c>
      <c r="K29" s="19">
        <v>280</v>
      </c>
      <c r="L29" s="19">
        <v>55</v>
      </c>
      <c r="M29" s="21">
        <v>285</v>
      </c>
      <c r="N29" s="21">
        <v>346</v>
      </c>
      <c r="O29" s="21">
        <v>60</v>
      </c>
      <c r="P29" s="21">
        <v>73</v>
      </c>
      <c r="Q29" s="21">
        <v>42</v>
      </c>
      <c r="R29" s="31" t="e">
        <v>#N/A</v>
      </c>
      <c r="S29" s="21">
        <v>100</v>
      </c>
      <c r="T29" s="21">
        <v>24</v>
      </c>
      <c r="U29" s="21">
        <v>57</v>
      </c>
      <c r="V29" s="21">
        <v>104</v>
      </c>
      <c r="W29" s="23">
        <v>174</v>
      </c>
      <c r="X29" s="25">
        <v>12</v>
      </c>
      <c r="Y29" s="25">
        <v>74</v>
      </c>
      <c r="Z29" s="25">
        <v>87</v>
      </c>
      <c r="AA29" s="25">
        <v>91</v>
      </c>
      <c r="AB29" s="25">
        <v>6</v>
      </c>
      <c r="AC29" s="25">
        <v>9</v>
      </c>
      <c r="AD29" s="25">
        <v>94</v>
      </c>
      <c r="AE29" s="25">
        <v>98</v>
      </c>
      <c r="AF29" s="25">
        <v>96</v>
      </c>
      <c r="AG29" s="25">
        <v>51</v>
      </c>
      <c r="AH29" s="25">
        <v>44</v>
      </c>
      <c r="AI29" s="25">
        <v>31</v>
      </c>
      <c r="AJ29" s="27">
        <v>22</v>
      </c>
      <c r="AK29" s="27">
        <v>59</v>
      </c>
      <c r="AL29" s="27">
        <v>40</v>
      </c>
      <c r="AM29" s="27">
        <v>41</v>
      </c>
      <c r="AN29" s="27">
        <v>61</v>
      </c>
      <c r="AO29" s="27">
        <v>100</v>
      </c>
      <c r="AP29" s="27">
        <v>163</v>
      </c>
      <c r="AQ29" s="27">
        <v>76</v>
      </c>
      <c r="AR29" s="27">
        <v>146</v>
      </c>
      <c r="AS29" s="27">
        <v>141</v>
      </c>
      <c r="AT29" s="27">
        <v>150</v>
      </c>
      <c r="AU29" s="27">
        <v>17</v>
      </c>
      <c r="AV29" s="28">
        <v>18</v>
      </c>
      <c r="AW29" s="28">
        <v>166</v>
      </c>
      <c r="AX29" s="28">
        <v>117</v>
      </c>
      <c r="AY29" s="28">
        <v>39</v>
      </c>
      <c r="AZ29" s="28">
        <v>189</v>
      </c>
      <c r="BA29" s="31" t="e">
        <v>#N/A</v>
      </c>
      <c r="BB29" s="28">
        <v>4</v>
      </c>
      <c r="BC29" s="28">
        <v>25</v>
      </c>
      <c r="BD29" s="28">
        <v>7</v>
      </c>
      <c r="BE29" s="28">
        <v>11</v>
      </c>
      <c r="BF29" s="28">
        <v>72</v>
      </c>
      <c r="BG29" s="32">
        <v>27</v>
      </c>
    </row>
    <row r="30" spans="1:59" x14ac:dyDescent="0.35">
      <c r="A30" s="2">
        <v>1899</v>
      </c>
      <c r="B30" s="19">
        <v>229</v>
      </c>
      <c r="C30" s="19">
        <v>116</v>
      </c>
      <c r="D30" s="19">
        <v>178</v>
      </c>
      <c r="E30" s="19">
        <v>182</v>
      </c>
      <c r="F30" s="19">
        <v>304</v>
      </c>
      <c r="G30" s="19">
        <v>28</v>
      </c>
      <c r="H30" s="19">
        <v>217</v>
      </c>
      <c r="I30" s="19">
        <v>31</v>
      </c>
      <c r="J30" s="19">
        <v>45</v>
      </c>
      <c r="K30" s="19">
        <v>246</v>
      </c>
      <c r="L30" s="19">
        <v>67</v>
      </c>
      <c r="M30" s="21">
        <v>251</v>
      </c>
      <c r="N30" s="21">
        <v>325</v>
      </c>
      <c r="O30" s="21">
        <v>74</v>
      </c>
      <c r="P30" s="21">
        <v>90</v>
      </c>
      <c r="Q30" s="21">
        <v>53</v>
      </c>
      <c r="R30" s="21">
        <v>78</v>
      </c>
      <c r="S30" s="21">
        <v>125</v>
      </c>
      <c r="T30" s="21">
        <v>30</v>
      </c>
      <c r="U30" s="21">
        <v>72</v>
      </c>
      <c r="V30" s="21">
        <v>130</v>
      </c>
      <c r="W30" s="23">
        <v>217</v>
      </c>
      <c r="X30" s="25">
        <v>12</v>
      </c>
      <c r="Y30" s="25">
        <v>83</v>
      </c>
      <c r="Z30" s="25">
        <v>95</v>
      </c>
      <c r="AA30" s="25">
        <v>99</v>
      </c>
      <c r="AB30" s="25">
        <v>9</v>
      </c>
      <c r="AC30" s="25">
        <v>11</v>
      </c>
      <c r="AD30" s="25">
        <v>128</v>
      </c>
      <c r="AE30" s="25">
        <v>133</v>
      </c>
      <c r="AF30" s="25">
        <v>131</v>
      </c>
      <c r="AG30" s="25">
        <v>63</v>
      </c>
      <c r="AH30" s="25">
        <v>56</v>
      </c>
      <c r="AI30" s="25">
        <v>41</v>
      </c>
      <c r="AJ30" s="27">
        <v>28</v>
      </c>
      <c r="AK30" s="27">
        <v>68</v>
      </c>
      <c r="AL30" s="27">
        <v>57</v>
      </c>
      <c r="AM30" s="27">
        <v>40</v>
      </c>
      <c r="AN30" s="27">
        <v>85</v>
      </c>
      <c r="AO30" s="27">
        <v>109</v>
      </c>
      <c r="AP30" s="27">
        <v>201</v>
      </c>
      <c r="AQ30" s="27">
        <v>97</v>
      </c>
      <c r="AR30" s="27">
        <v>194</v>
      </c>
      <c r="AS30" s="27">
        <v>188</v>
      </c>
      <c r="AT30" s="27">
        <v>199</v>
      </c>
      <c r="AU30" s="27">
        <v>21</v>
      </c>
      <c r="AV30" s="28">
        <v>23</v>
      </c>
      <c r="AW30" s="28">
        <v>215</v>
      </c>
      <c r="AX30" s="28">
        <v>129</v>
      </c>
      <c r="AY30" s="28">
        <v>52</v>
      </c>
      <c r="AZ30" s="28">
        <v>251</v>
      </c>
      <c r="BA30" s="28">
        <v>21</v>
      </c>
      <c r="BB30" s="28">
        <v>8</v>
      </c>
      <c r="BC30" s="28">
        <v>42</v>
      </c>
      <c r="BD30" s="28">
        <v>9</v>
      </c>
      <c r="BE30" s="28">
        <v>22</v>
      </c>
      <c r="BF30" s="28">
        <v>98</v>
      </c>
      <c r="BG30" s="32">
        <v>32</v>
      </c>
    </row>
    <row r="31" spans="1:59" x14ac:dyDescent="0.35">
      <c r="A31" s="2">
        <v>1900</v>
      </c>
      <c r="B31" s="19">
        <v>217</v>
      </c>
      <c r="C31" s="19">
        <v>117</v>
      </c>
      <c r="D31" s="19">
        <v>182</v>
      </c>
      <c r="E31" s="19">
        <v>188</v>
      </c>
      <c r="F31" s="19">
        <v>310</v>
      </c>
      <c r="G31" s="19">
        <v>28</v>
      </c>
      <c r="H31" s="19">
        <v>337</v>
      </c>
      <c r="I31" s="19">
        <v>26</v>
      </c>
      <c r="J31" s="19">
        <v>52</v>
      </c>
      <c r="K31" s="19">
        <v>375</v>
      </c>
      <c r="L31" s="19">
        <v>74</v>
      </c>
      <c r="M31" s="21">
        <v>381</v>
      </c>
      <c r="N31" s="21">
        <v>464</v>
      </c>
      <c r="O31" s="21">
        <v>83</v>
      </c>
      <c r="P31" s="21">
        <v>106</v>
      </c>
      <c r="Q31" s="21">
        <v>74</v>
      </c>
      <c r="R31" s="21">
        <v>89</v>
      </c>
      <c r="S31" s="21">
        <v>147</v>
      </c>
      <c r="T31" s="21">
        <v>37</v>
      </c>
      <c r="U31" s="21">
        <v>96</v>
      </c>
      <c r="V31" s="21">
        <v>153</v>
      </c>
      <c r="W31" s="23">
        <v>250</v>
      </c>
      <c r="X31" s="25">
        <v>12</v>
      </c>
      <c r="Y31" s="25">
        <v>87</v>
      </c>
      <c r="Z31" s="25">
        <v>100</v>
      </c>
      <c r="AA31" s="25">
        <v>103</v>
      </c>
      <c r="AB31" s="25">
        <v>9</v>
      </c>
      <c r="AC31" s="25">
        <v>10</v>
      </c>
      <c r="AD31" s="25">
        <v>111</v>
      </c>
      <c r="AE31" s="25">
        <v>117</v>
      </c>
      <c r="AF31" s="25">
        <v>115</v>
      </c>
      <c r="AG31" s="25">
        <v>65</v>
      </c>
      <c r="AH31" s="25">
        <v>56</v>
      </c>
      <c r="AI31" s="25">
        <v>37</v>
      </c>
      <c r="AJ31" s="27">
        <v>34</v>
      </c>
      <c r="AK31" s="27">
        <v>78</v>
      </c>
      <c r="AL31" s="27">
        <v>53</v>
      </c>
      <c r="AM31" s="27">
        <v>43</v>
      </c>
      <c r="AN31" s="27">
        <v>86</v>
      </c>
      <c r="AO31" s="27">
        <v>121</v>
      </c>
      <c r="AP31" s="27">
        <v>216</v>
      </c>
      <c r="AQ31" s="27">
        <v>93</v>
      </c>
      <c r="AR31" s="27">
        <v>195</v>
      </c>
      <c r="AS31" s="27">
        <v>186</v>
      </c>
      <c r="AT31" s="27">
        <v>201</v>
      </c>
      <c r="AU31" s="27">
        <v>22</v>
      </c>
      <c r="AV31" s="28">
        <v>25</v>
      </c>
      <c r="AW31" s="28">
        <v>218</v>
      </c>
      <c r="AX31" s="28">
        <v>143</v>
      </c>
      <c r="AY31" s="28">
        <v>57</v>
      </c>
      <c r="AZ31" s="28">
        <v>258</v>
      </c>
      <c r="BA31" s="28">
        <v>16</v>
      </c>
      <c r="BB31" s="28">
        <v>12</v>
      </c>
      <c r="BC31" s="28">
        <v>49</v>
      </c>
      <c r="BD31" s="28">
        <v>12</v>
      </c>
      <c r="BE31" s="28">
        <v>27</v>
      </c>
      <c r="BF31" s="28">
        <v>106</v>
      </c>
      <c r="BG31" s="32">
        <v>36</v>
      </c>
    </row>
    <row r="32" spans="1:59" x14ac:dyDescent="0.35">
      <c r="A32" s="2">
        <v>1901</v>
      </c>
      <c r="B32" s="19">
        <v>246</v>
      </c>
      <c r="C32" s="19">
        <v>128</v>
      </c>
      <c r="D32" s="19">
        <v>204</v>
      </c>
      <c r="E32" s="19">
        <v>210</v>
      </c>
      <c r="F32" s="19">
        <v>333</v>
      </c>
      <c r="G32" s="19">
        <v>30</v>
      </c>
      <c r="H32" s="19">
        <v>328</v>
      </c>
      <c r="I32" s="19">
        <v>32</v>
      </c>
      <c r="J32" s="19">
        <v>48</v>
      </c>
      <c r="K32" s="19">
        <v>356</v>
      </c>
      <c r="L32" s="19">
        <v>71</v>
      </c>
      <c r="M32" s="21">
        <v>363</v>
      </c>
      <c r="N32" s="21">
        <v>441</v>
      </c>
      <c r="O32" s="21">
        <v>81</v>
      </c>
      <c r="P32" s="21">
        <v>104</v>
      </c>
      <c r="Q32" s="21">
        <v>40</v>
      </c>
      <c r="R32" s="21">
        <v>80</v>
      </c>
      <c r="S32" s="21">
        <v>130</v>
      </c>
      <c r="T32" s="21">
        <v>38</v>
      </c>
      <c r="U32" s="21">
        <v>62</v>
      </c>
      <c r="V32" s="21">
        <v>136</v>
      </c>
      <c r="W32" s="23">
        <v>235</v>
      </c>
      <c r="X32" s="25">
        <v>13</v>
      </c>
      <c r="Y32" s="25">
        <v>97</v>
      </c>
      <c r="Z32" s="25">
        <v>110</v>
      </c>
      <c r="AA32" s="25">
        <v>113</v>
      </c>
      <c r="AB32" s="25">
        <v>10</v>
      </c>
      <c r="AC32" s="25">
        <v>11</v>
      </c>
      <c r="AD32" s="25">
        <v>101</v>
      </c>
      <c r="AE32" s="25">
        <v>108</v>
      </c>
      <c r="AF32" s="25">
        <v>104</v>
      </c>
      <c r="AG32" s="25">
        <v>67</v>
      </c>
      <c r="AH32" s="25">
        <v>61</v>
      </c>
      <c r="AI32" s="25">
        <v>40</v>
      </c>
      <c r="AJ32" s="27">
        <v>34</v>
      </c>
      <c r="AK32" s="27">
        <v>83</v>
      </c>
      <c r="AL32" s="27">
        <v>55</v>
      </c>
      <c r="AM32" s="27">
        <v>42</v>
      </c>
      <c r="AN32" s="27">
        <v>89</v>
      </c>
      <c r="AO32" s="27">
        <v>125</v>
      </c>
      <c r="AP32" s="27">
        <v>222</v>
      </c>
      <c r="AQ32" s="27">
        <v>101</v>
      </c>
      <c r="AR32" s="27">
        <v>206</v>
      </c>
      <c r="AS32" s="27">
        <v>197</v>
      </c>
      <c r="AT32" s="27">
        <v>213</v>
      </c>
      <c r="AU32" s="27">
        <v>25</v>
      </c>
      <c r="AV32" s="28">
        <v>27</v>
      </c>
      <c r="AW32" s="28">
        <v>232</v>
      </c>
      <c r="AX32" s="28">
        <v>148</v>
      </c>
      <c r="AY32" s="28">
        <v>57</v>
      </c>
      <c r="AZ32" s="28">
        <v>270</v>
      </c>
      <c r="BA32" s="28">
        <v>27</v>
      </c>
      <c r="BB32" s="28">
        <v>23</v>
      </c>
      <c r="BC32" s="28">
        <v>49</v>
      </c>
      <c r="BD32" s="28">
        <v>12</v>
      </c>
      <c r="BE32" s="28">
        <v>41</v>
      </c>
      <c r="BF32" s="28">
        <v>117</v>
      </c>
      <c r="BG32" s="32">
        <v>39</v>
      </c>
    </row>
    <row r="33" spans="1:59" x14ac:dyDescent="0.35">
      <c r="A33" s="2">
        <v>1902</v>
      </c>
      <c r="B33" s="19">
        <v>159</v>
      </c>
      <c r="C33" s="20">
        <v>112</v>
      </c>
      <c r="D33" s="19">
        <v>181</v>
      </c>
      <c r="E33" s="19">
        <v>188</v>
      </c>
      <c r="F33" s="19">
        <v>308</v>
      </c>
      <c r="G33" s="19">
        <v>32</v>
      </c>
      <c r="H33" s="19">
        <v>325</v>
      </c>
      <c r="I33" s="19">
        <v>40</v>
      </c>
      <c r="J33" s="19">
        <v>51</v>
      </c>
      <c r="K33" s="19">
        <v>349</v>
      </c>
      <c r="L33" s="19">
        <v>74</v>
      </c>
      <c r="M33" s="21">
        <v>354</v>
      </c>
      <c r="N33" s="21">
        <v>437</v>
      </c>
      <c r="O33" s="21">
        <v>77</v>
      </c>
      <c r="P33" s="21">
        <v>97</v>
      </c>
      <c r="Q33" s="21">
        <v>49</v>
      </c>
      <c r="R33" s="21">
        <v>85</v>
      </c>
      <c r="S33" s="21">
        <v>127</v>
      </c>
      <c r="T33" s="21">
        <v>34</v>
      </c>
      <c r="U33" s="21">
        <v>72</v>
      </c>
      <c r="V33" s="21">
        <v>134</v>
      </c>
      <c r="W33" s="23">
        <v>230</v>
      </c>
      <c r="X33" s="25">
        <v>16</v>
      </c>
      <c r="Y33" s="25">
        <v>99</v>
      </c>
      <c r="Z33" s="25">
        <v>115</v>
      </c>
      <c r="AA33" s="25">
        <v>118</v>
      </c>
      <c r="AB33" s="25">
        <v>12</v>
      </c>
      <c r="AC33" s="25">
        <v>13</v>
      </c>
      <c r="AD33" s="25">
        <v>86</v>
      </c>
      <c r="AE33" s="25">
        <v>92</v>
      </c>
      <c r="AF33" s="25">
        <v>92</v>
      </c>
      <c r="AG33" s="25">
        <v>69</v>
      </c>
      <c r="AH33" s="25">
        <v>63</v>
      </c>
      <c r="AI33" s="25">
        <v>36</v>
      </c>
      <c r="AJ33" s="27">
        <v>47</v>
      </c>
      <c r="AK33" s="27">
        <v>94</v>
      </c>
      <c r="AL33" s="27">
        <v>69</v>
      </c>
      <c r="AM33" s="27">
        <v>51</v>
      </c>
      <c r="AN33" s="27">
        <v>115</v>
      </c>
      <c r="AO33" s="27">
        <v>146</v>
      </c>
      <c r="AP33" s="27">
        <v>271</v>
      </c>
      <c r="AQ33" s="27">
        <v>99</v>
      </c>
      <c r="AR33" s="27">
        <v>231</v>
      </c>
      <c r="AS33" s="27">
        <v>226</v>
      </c>
      <c r="AT33" s="27">
        <v>242</v>
      </c>
      <c r="AU33" s="27">
        <v>30</v>
      </c>
      <c r="AV33" s="28">
        <v>33</v>
      </c>
      <c r="AW33" s="28">
        <v>261</v>
      </c>
      <c r="AX33" s="28">
        <v>170</v>
      </c>
      <c r="AY33" s="28">
        <v>71</v>
      </c>
      <c r="AZ33" s="28">
        <v>312</v>
      </c>
      <c r="BA33" s="28">
        <v>29</v>
      </c>
      <c r="BB33" s="28">
        <v>18</v>
      </c>
      <c r="BC33" s="28">
        <v>70</v>
      </c>
      <c r="BD33" s="28">
        <v>18</v>
      </c>
      <c r="BE33" s="28">
        <v>40</v>
      </c>
      <c r="BF33" s="28">
        <v>140</v>
      </c>
      <c r="BG33" s="32">
        <v>46</v>
      </c>
    </row>
    <row r="34" spans="1:59" x14ac:dyDescent="0.35">
      <c r="A34" s="2">
        <v>1903</v>
      </c>
      <c r="B34" s="19">
        <v>174</v>
      </c>
      <c r="C34" s="19">
        <v>105</v>
      </c>
      <c r="D34" s="19">
        <v>178</v>
      </c>
      <c r="E34" s="19">
        <v>183</v>
      </c>
      <c r="F34" s="19">
        <v>308</v>
      </c>
      <c r="G34" s="20">
        <v>35</v>
      </c>
      <c r="H34" s="19">
        <v>407</v>
      </c>
      <c r="I34" s="19">
        <v>34</v>
      </c>
      <c r="J34" s="19">
        <v>63</v>
      </c>
      <c r="K34" s="19">
        <v>427</v>
      </c>
      <c r="L34" s="19">
        <v>86</v>
      </c>
      <c r="M34" s="21">
        <v>433</v>
      </c>
      <c r="N34" s="21">
        <v>530</v>
      </c>
      <c r="O34" s="21">
        <v>82</v>
      </c>
      <c r="P34" s="21">
        <v>112</v>
      </c>
      <c r="Q34" s="21">
        <v>47</v>
      </c>
      <c r="R34" s="21">
        <v>94</v>
      </c>
      <c r="S34" s="21">
        <v>136</v>
      </c>
      <c r="T34" s="21">
        <v>42</v>
      </c>
      <c r="U34" s="21">
        <v>71</v>
      </c>
      <c r="V34" s="21">
        <v>142</v>
      </c>
      <c r="W34" s="23">
        <v>245</v>
      </c>
      <c r="X34" s="25">
        <v>15</v>
      </c>
      <c r="Y34" s="25">
        <v>100</v>
      </c>
      <c r="Z34" s="25">
        <v>115</v>
      </c>
      <c r="AA34" s="25">
        <v>118</v>
      </c>
      <c r="AB34" s="25">
        <v>13</v>
      </c>
      <c r="AC34" s="25">
        <v>14</v>
      </c>
      <c r="AD34" s="25">
        <v>88</v>
      </c>
      <c r="AE34" s="25">
        <v>94</v>
      </c>
      <c r="AF34" s="25">
        <v>94</v>
      </c>
      <c r="AG34" s="25">
        <v>65</v>
      </c>
      <c r="AH34" s="25">
        <v>59</v>
      </c>
      <c r="AI34" s="25">
        <v>46</v>
      </c>
      <c r="AJ34" s="27">
        <v>46</v>
      </c>
      <c r="AK34" s="27">
        <v>98</v>
      </c>
      <c r="AL34" s="27">
        <v>68</v>
      </c>
      <c r="AM34" s="27">
        <v>50</v>
      </c>
      <c r="AN34" s="27">
        <v>114</v>
      </c>
      <c r="AO34" s="27">
        <v>148</v>
      </c>
      <c r="AP34" s="27">
        <v>273</v>
      </c>
      <c r="AQ34" s="27">
        <v>106</v>
      </c>
      <c r="AR34" s="27">
        <v>237</v>
      </c>
      <c r="AS34" s="27">
        <v>230</v>
      </c>
      <c r="AT34" s="27">
        <v>247</v>
      </c>
      <c r="AU34" s="27">
        <v>29</v>
      </c>
      <c r="AV34" s="28">
        <v>33</v>
      </c>
      <c r="AW34" s="28">
        <v>267</v>
      </c>
      <c r="AX34" s="28">
        <v>175</v>
      </c>
      <c r="AY34" s="28">
        <v>71</v>
      </c>
      <c r="AZ34" s="28">
        <v>318</v>
      </c>
      <c r="BA34" s="28">
        <v>30</v>
      </c>
      <c r="BB34" s="28">
        <v>10</v>
      </c>
      <c r="BC34" s="28">
        <v>75</v>
      </c>
      <c r="BD34" s="28">
        <v>19</v>
      </c>
      <c r="BE34" s="28">
        <v>38</v>
      </c>
      <c r="BF34" s="28">
        <v>149</v>
      </c>
      <c r="BG34" s="32">
        <v>50</v>
      </c>
    </row>
    <row r="35" spans="1:59" x14ac:dyDescent="0.35">
      <c r="A35" s="2">
        <v>1904</v>
      </c>
      <c r="B35" s="19">
        <v>101</v>
      </c>
      <c r="C35" s="19">
        <v>97</v>
      </c>
      <c r="D35" s="19">
        <v>163</v>
      </c>
      <c r="E35" s="19">
        <v>169</v>
      </c>
      <c r="F35" s="19">
        <v>269</v>
      </c>
      <c r="G35" s="19">
        <v>38</v>
      </c>
      <c r="H35" s="19">
        <v>404</v>
      </c>
      <c r="I35" s="19">
        <v>42</v>
      </c>
      <c r="J35" s="19">
        <v>61</v>
      </c>
      <c r="K35" s="19">
        <v>421</v>
      </c>
      <c r="L35" s="19">
        <v>92</v>
      </c>
      <c r="M35" s="21">
        <v>426</v>
      </c>
      <c r="N35" s="21">
        <v>527</v>
      </c>
      <c r="O35" s="21">
        <v>89</v>
      </c>
      <c r="P35" s="21">
        <v>119</v>
      </c>
      <c r="Q35" s="21">
        <v>89</v>
      </c>
      <c r="R35" s="21">
        <v>99</v>
      </c>
      <c r="S35" s="21">
        <v>153</v>
      </c>
      <c r="T35" s="21">
        <v>44</v>
      </c>
      <c r="U35" s="21">
        <v>113</v>
      </c>
      <c r="V35" s="21">
        <v>162</v>
      </c>
      <c r="W35" s="23">
        <v>275</v>
      </c>
      <c r="X35" s="25">
        <v>18</v>
      </c>
      <c r="Y35" s="25">
        <v>126</v>
      </c>
      <c r="Z35" s="25">
        <v>144</v>
      </c>
      <c r="AA35" s="25">
        <v>145</v>
      </c>
      <c r="AB35" s="25">
        <v>13</v>
      </c>
      <c r="AC35" s="25">
        <v>15</v>
      </c>
      <c r="AD35" s="25">
        <v>113</v>
      </c>
      <c r="AE35" s="25">
        <v>119</v>
      </c>
      <c r="AF35" s="25">
        <v>118</v>
      </c>
      <c r="AG35" s="25">
        <v>68</v>
      </c>
      <c r="AH35" s="25">
        <v>63</v>
      </c>
      <c r="AI35" s="25">
        <v>57</v>
      </c>
      <c r="AJ35" s="27">
        <v>45</v>
      </c>
      <c r="AK35" s="27">
        <v>91</v>
      </c>
      <c r="AL35" s="27">
        <v>87</v>
      </c>
      <c r="AM35" s="27">
        <v>44</v>
      </c>
      <c r="AN35" s="27">
        <v>132</v>
      </c>
      <c r="AO35" s="27">
        <v>136</v>
      </c>
      <c r="AP35" s="27">
        <v>279</v>
      </c>
      <c r="AQ35" s="27">
        <v>121</v>
      </c>
      <c r="AR35" s="27">
        <v>269</v>
      </c>
      <c r="AS35" s="27">
        <v>263</v>
      </c>
      <c r="AT35" s="27">
        <v>279</v>
      </c>
      <c r="AU35" s="27">
        <v>30</v>
      </c>
      <c r="AV35" s="28">
        <v>34</v>
      </c>
      <c r="AW35" s="28">
        <v>300</v>
      </c>
      <c r="AX35" s="28">
        <v>161</v>
      </c>
      <c r="AY35" s="28">
        <v>73</v>
      </c>
      <c r="AZ35" s="28">
        <v>353</v>
      </c>
      <c r="BA35" s="28">
        <v>29</v>
      </c>
      <c r="BB35" s="28">
        <v>11</v>
      </c>
      <c r="BC35" s="28">
        <v>59</v>
      </c>
      <c r="BD35" s="28">
        <v>16</v>
      </c>
      <c r="BE35" s="28">
        <v>33</v>
      </c>
      <c r="BF35" s="28">
        <v>130</v>
      </c>
      <c r="BG35" s="32">
        <v>48</v>
      </c>
    </row>
    <row r="36" spans="1:59" x14ac:dyDescent="0.35">
      <c r="A36" s="2">
        <v>1905</v>
      </c>
      <c r="B36" s="19">
        <v>154</v>
      </c>
      <c r="C36" s="19">
        <v>107</v>
      </c>
      <c r="D36" s="19">
        <v>187</v>
      </c>
      <c r="E36" s="19">
        <v>191</v>
      </c>
      <c r="F36" s="19">
        <v>302</v>
      </c>
      <c r="G36" s="19">
        <v>40</v>
      </c>
      <c r="H36" s="19">
        <v>450</v>
      </c>
      <c r="I36" s="19">
        <v>66</v>
      </c>
      <c r="J36" s="19">
        <v>59</v>
      </c>
      <c r="K36" s="19">
        <v>436</v>
      </c>
      <c r="L36" s="19">
        <v>92</v>
      </c>
      <c r="M36" s="21">
        <v>442</v>
      </c>
      <c r="N36" s="21">
        <v>545</v>
      </c>
      <c r="O36" s="21">
        <v>88</v>
      </c>
      <c r="P36" s="21">
        <v>119</v>
      </c>
      <c r="Q36" s="21">
        <v>98</v>
      </c>
      <c r="R36" s="21">
        <v>115</v>
      </c>
      <c r="S36" s="21">
        <v>174</v>
      </c>
      <c r="T36" s="21">
        <v>45</v>
      </c>
      <c r="U36" s="21">
        <v>123</v>
      </c>
      <c r="V36" s="21">
        <v>185</v>
      </c>
      <c r="W36" s="23">
        <v>302</v>
      </c>
      <c r="X36" s="25">
        <v>17</v>
      </c>
      <c r="Y36" s="25">
        <v>115</v>
      </c>
      <c r="Z36" s="25">
        <v>132</v>
      </c>
      <c r="AA36" s="25">
        <v>134</v>
      </c>
      <c r="AB36" s="25">
        <v>15</v>
      </c>
      <c r="AC36" s="25">
        <v>15</v>
      </c>
      <c r="AD36" s="25">
        <v>133</v>
      </c>
      <c r="AE36" s="25">
        <v>139</v>
      </c>
      <c r="AF36" s="25">
        <v>138</v>
      </c>
      <c r="AG36" s="25">
        <v>86</v>
      </c>
      <c r="AH36" s="25">
        <v>80</v>
      </c>
      <c r="AI36" s="25">
        <v>64</v>
      </c>
      <c r="AJ36" s="27">
        <v>52</v>
      </c>
      <c r="AK36" s="27">
        <v>105</v>
      </c>
      <c r="AL36" s="27">
        <v>105</v>
      </c>
      <c r="AM36" s="27">
        <v>52</v>
      </c>
      <c r="AN36" s="27">
        <v>157</v>
      </c>
      <c r="AO36" s="27">
        <v>157</v>
      </c>
      <c r="AP36" s="27">
        <v>326</v>
      </c>
      <c r="AQ36" s="27">
        <v>144</v>
      </c>
      <c r="AR36" s="27">
        <v>320</v>
      </c>
      <c r="AS36" s="27">
        <v>312</v>
      </c>
      <c r="AT36" s="27">
        <v>330</v>
      </c>
      <c r="AU36" s="27">
        <v>35</v>
      </c>
      <c r="AV36" s="28">
        <v>39</v>
      </c>
      <c r="AW36" s="28">
        <v>353</v>
      </c>
      <c r="AX36" s="28">
        <v>189</v>
      </c>
      <c r="AY36" s="28">
        <v>84</v>
      </c>
      <c r="AZ36" s="28">
        <v>414</v>
      </c>
      <c r="BA36" s="28">
        <v>39</v>
      </c>
      <c r="BB36" s="28">
        <v>15</v>
      </c>
      <c r="BC36" s="28">
        <v>74</v>
      </c>
      <c r="BD36" s="28">
        <v>18</v>
      </c>
      <c r="BE36" s="28">
        <v>38</v>
      </c>
      <c r="BF36" s="28">
        <v>157</v>
      </c>
      <c r="BG36" s="32">
        <v>52</v>
      </c>
    </row>
    <row r="37" spans="1:59" x14ac:dyDescent="0.35">
      <c r="A37" s="2">
        <v>1906</v>
      </c>
      <c r="B37" s="19">
        <v>178</v>
      </c>
      <c r="C37" s="19">
        <v>113</v>
      </c>
      <c r="D37" s="19">
        <v>203</v>
      </c>
      <c r="E37" s="19">
        <v>207</v>
      </c>
      <c r="F37" s="19">
        <v>328</v>
      </c>
      <c r="G37" s="19">
        <v>47</v>
      </c>
      <c r="H37" s="19">
        <v>456</v>
      </c>
      <c r="I37" s="19">
        <v>52</v>
      </c>
      <c r="J37" s="19">
        <v>77</v>
      </c>
      <c r="K37" s="19">
        <v>480</v>
      </c>
      <c r="L37" s="19">
        <v>118</v>
      </c>
      <c r="M37" s="21">
        <v>487</v>
      </c>
      <c r="N37" s="21">
        <v>616</v>
      </c>
      <c r="O37" s="21">
        <v>94</v>
      </c>
      <c r="P37" s="21">
        <v>128</v>
      </c>
      <c r="Q37" s="21">
        <v>106</v>
      </c>
      <c r="R37" s="21">
        <v>140</v>
      </c>
      <c r="S37" s="21">
        <v>211</v>
      </c>
      <c r="T37" s="21">
        <v>50</v>
      </c>
      <c r="U37" s="21">
        <v>134</v>
      </c>
      <c r="V37" s="21">
        <v>223</v>
      </c>
      <c r="W37" s="23">
        <v>350</v>
      </c>
      <c r="X37" s="25">
        <v>18</v>
      </c>
      <c r="Y37" s="25">
        <v>113</v>
      </c>
      <c r="Z37" s="25">
        <v>131</v>
      </c>
      <c r="AA37" s="25">
        <v>134</v>
      </c>
      <c r="AB37" s="25">
        <v>16</v>
      </c>
      <c r="AC37" s="25">
        <v>22</v>
      </c>
      <c r="AD37" s="25">
        <v>116</v>
      </c>
      <c r="AE37" s="25">
        <v>123</v>
      </c>
      <c r="AF37" s="25">
        <v>123</v>
      </c>
      <c r="AG37" s="25">
        <v>102</v>
      </c>
      <c r="AH37" s="25">
        <v>92</v>
      </c>
      <c r="AI37" s="25">
        <v>71</v>
      </c>
      <c r="AJ37" s="27">
        <v>50</v>
      </c>
      <c r="AK37" s="27">
        <v>136</v>
      </c>
      <c r="AL37" s="27">
        <v>106</v>
      </c>
      <c r="AM37" s="27">
        <v>54</v>
      </c>
      <c r="AN37" s="27">
        <v>156</v>
      </c>
      <c r="AO37" s="27">
        <v>190</v>
      </c>
      <c r="AP37" s="27">
        <v>358</v>
      </c>
      <c r="AQ37" s="27">
        <v>163</v>
      </c>
      <c r="AR37" s="27">
        <v>346</v>
      </c>
      <c r="AS37" s="27">
        <v>331</v>
      </c>
      <c r="AT37" s="27">
        <v>358</v>
      </c>
      <c r="AU37" s="27">
        <v>44</v>
      </c>
      <c r="AV37" s="28">
        <v>49</v>
      </c>
      <c r="AW37" s="28">
        <v>385</v>
      </c>
      <c r="AX37" s="28">
        <v>232</v>
      </c>
      <c r="AY37" s="28">
        <v>99</v>
      </c>
      <c r="AZ37" s="28">
        <v>457</v>
      </c>
      <c r="BA37" s="28">
        <v>46</v>
      </c>
      <c r="BB37" s="28">
        <v>17</v>
      </c>
      <c r="BC37" s="28">
        <v>107</v>
      </c>
      <c r="BD37" s="28">
        <v>22</v>
      </c>
      <c r="BE37" s="28">
        <v>43</v>
      </c>
      <c r="BF37" s="28">
        <v>207</v>
      </c>
      <c r="BG37" s="32">
        <v>61</v>
      </c>
    </row>
    <row r="38" spans="1:59" x14ac:dyDescent="0.35">
      <c r="A38" s="2">
        <v>1907</v>
      </c>
      <c r="B38" s="19">
        <v>194</v>
      </c>
      <c r="C38" s="19">
        <v>105</v>
      </c>
      <c r="D38" s="19">
        <v>191</v>
      </c>
      <c r="E38" s="19">
        <v>195</v>
      </c>
      <c r="F38" s="19">
        <v>325</v>
      </c>
      <c r="G38" s="19">
        <v>44</v>
      </c>
      <c r="H38" s="19">
        <v>496</v>
      </c>
      <c r="I38" s="19">
        <v>36</v>
      </c>
      <c r="J38" s="19">
        <v>86</v>
      </c>
      <c r="K38" s="19">
        <v>531</v>
      </c>
      <c r="L38" s="19">
        <v>123</v>
      </c>
      <c r="M38" s="21">
        <v>540</v>
      </c>
      <c r="N38" s="21">
        <v>673</v>
      </c>
      <c r="O38" s="21">
        <v>102</v>
      </c>
      <c r="P38" s="21">
        <v>145</v>
      </c>
      <c r="Q38" s="22">
        <v>115</v>
      </c>
      <c r="R38" s="21">
        <v>157</v>
      </c>
      <c r="S38" s="21">
        <v>239</v>
      </c>
      <c r="T38" s="21">
        <v>60</v>
      </c>
      <c r="U38" s="21">
        <v>147</v>
      </c>
      <c r="V38" s="21">
        <v>253</v>
      </c>
      <c r="W38" s="23">
        <v>391</v>
      </c>
      <c r="X38" s="25">
        <v>26</v>
      </c>
      <c r="Y38" s="25">
        <v>121</v>
      </c>
      <c r="Z38" s="25">
        <v>147</v>
      </c>
      <c r="AA38" s="25">
        <v>150</v>
      </c>
      <c r="AB38" s="25">
        <v>19</v>
      </c>
      <c r="AC38" s="25">
        <v>26</v>
      </c>
      <c r="AD38" s="25">
        <v>126</v>
      </c>
      <c r="AE38" s="25">
        <v>134</v>
      </c>
      <c r="AF38" s="25">
        <v>135</v>
      </c>
      <c r="AG38" s="25">
        <v>97</v>
      </c>
      <c r="AH38" s="25">
        <v>87</v>
      </c>
      <c r="AI38" s="25">
        <v>71</v>
      </c>
      <c r="AJ38" s="27">
        <v>64</v>
      </c>
      <c r="AK38" s="27">
        <v>154</v>
      </c>
      <c r="AL38" s="27">
        <v>115</v>
      </c>
      <c r="AM38" s="27">
        <v>60</v>
      </c>
      <c r="AN38" s="27">
        <v>178</v>
      </c>
      <c r="AO38" s="27">
        <v>214</v>
      </c>
      <c r="AP38" s="27">
        <v>407</v>
      </c>
      <c r="AQ38" s="27">
        <v>157</v>
      </c>
      <c r="AR38" s="27">
        <v>360</v>
      </c>
      <c r="AS38" s="27">
        <v>349</v>
      </c>
      <c r="AT38" s="27">
        <v>373</v>
      </c>
      <c r="AU38" s="27">
        <v>50</v>
      </c>
      <c r="AV38" s="28">
        <v>58</v>
      </c>
      <c r="AW38" s="28">
        <v>402</v>
      </c>
      <c r="AX38" s="28">
        <v>264</v>
      </c>
      <c r="AY38" s="28">
        <v>111</v>
      </c>
      <c r="AZ38" s="28">
        <v>485</v>
      </c>
      <c r="BA38" s="28">
        <v>35</v>
      </c>
      <c r="BB38" s="28">
        <v>21</v>
      </c>
      <c r="BC38" s="28">
        <v>111</v>
      </c>
      <c r="BD38" s="28">
        <v>23</v>
      </c>
      <c r="BE38" s="28">
        <v>49</v>
      </c>
      <c r="BF38" s="28">
        <v>206</v>
      </c>
      <c r="BG38" s="32">
        <v>65</v>
      </c>
    </row>
    <row r="39" spans="1:59" x14ac:dyDescent="0.35">
      <c r="A39" s="2">
        <v>1908</v>
      </c>
      <c r="B39" s="19">
        <v>170</v>
      </c>
      <c r="C39" s="19">
        <v>93</v>
      </c>
      <c r="D39" s="19">
        <v>178</v>
      </c>
      <c r="E39" s="19">
        <v>182</v>
      </c>
      <c r="F39" s="19">
        <v>309</v>
      </c>
      <c r="G39" s="19">
        <v>42</v>
      </c>
      <c r="H39" s="19">
        <v>466</v>
      </c>
      <c r="I39" s="19">
        <v>35</v>
      </c>
      <c r="J39" s="19">
        <v>71</v>
      </c>
      <c r="K39" s="19">
        <v>492</v>
      </c>
      <c r="L39" s="19">
        <v>105</v>
      </c>
      <c r="M39" s="21">
        <v>500</v>
      </c>
      <c r="N39" s="21">
        <v>617</v>
      </c>
      <c r="O39" s="21">
        <v>116</v>
      </c>
      <c r="P39" s="21">
        <v>155</v>
      </c>
      <c r="Q39" s="21">
        <v>105</v>
      </c>
      <c r="R39" s="21">
        <v>127</v>
      </c>
      <c r="S39" s="21">
        <v>189</v>
      </c>
      <c r="T39" s="21">
        <v>57</v>
      </c>
      <c r="U39" s="21">
        <v>130</v>
      </c>
      <c r="V39" s="21">
        <v>198</v>
      </c>
      <c r="W39" s="23">
        <v>348</v>
      </c>
      <c r="X39" s="25">
        <v>23</v>
      </c>
      <c r="Y39" s="25">
        <v>115</v>
      </c>
      <c r="Z39" s="25">
        <v>137</v>
      </c>
      <c r="AA39" s="25">
        <v>140</v>
      </c>
      <c r="AB39" s="25">
        <v>18</v>
      </c>
      <c r="AC39" s="25">
        <v>23</v>
      </c>
      <c r="AD39" s="25">
        <v>126</v>
      </c>
      <c r="AE39" s="25">
        <v>133</v>
      </c>
      <c r="AF39" s="25">
        <v>134</v>
      </c>
      <c r="AG39" s="25">
        <v>69</v>
      </c>
      <c r="AH39" s="25">
        <v>66</v>
      </c>
      <c r="AI39" s="25">
        <v>60</v>
      </c>
      <c r="AJ39" s="27">
        <v>44</v>
      </c>
      <c r="AK39" s="27">
        <v>111</v>
      </c>
      <c r="AL39" s="27">
        <v>91</v>
      </c>
      <c r="AM39" s="27">
        <v>40</v>
      </c>
      <c r="AN39" s="27">
        <v>134</v>
      </c>
      <c r="AO39" s="27">
        <v>150</v>
      </c>
      <c r="AP39" s="27">
        <v>295</v>
      </c>
      <c r="AQ39" s="27">
        <v>126</v>
      </c>
      <c r="AR39" s="27">
        <v>285</v>
      </c>
      <c r="AS39" s="27">
        <v>272</v>
      </c>
      <c r="AT39" s="27">
        <v>297</v>
      </c>
      <c r="AU39" s="27">
        <v>39</v>
      </c>
      <c r="AV39" s="28">
        <v>46</v>
      </c>
      <c r="AW39" s="28">
        <v>319</v>
      </c>
      <c r="AX39" s="28">
        <v>189</v>
      </c>
      <c r="AY39" s="28">
        <v>85</v>
      </c>
      <c r="AZ39" s="28">
        <v>382</v>
      </c>
      <c r="BA39" s="28">
        <v>16</v>
      </c>
      <c r="BB39" s="28">
        <v>18</v>
      </c>
      <c r="BC39" s="28">
        <v>65</v>
      </c>
      <c r="BD39" s="28">
        <v>16</v>
      </c>
      <c r="BE39" s="28">
        <v>36</v>
      </c>
      <c r="BF39" s="28">
        <v>133</v>
      </c>
      <c r="BG39" s="32">
        <v>47</v>
      </c>
    </row>
    <row r="40" spans="1:59" x14ac:dyDescent="0.35">
      <c r="A40" s="2">
        <v>1909</v>
      </c>
      <c r="B40" s="19">
        <v>117</v>
      </c>
      <c r="C40" s="19">
        <v>74</v>
      </c>
      <c r="D40" s="19">
        <v>149</v>
      </c>
      <c r="E40" s="19">
        <v>156</v>
      </c>
      <c r="F40" s="20">
        <v>268</v>
      </c>
      <c r="G40" s="19">
        <v>48</v>
      </c>
      <c r="H40" s="19">
        <v>496</v>
      </c>
      <c r="I40" s="19">
        <v>43</v>
      </c>
      <c r="J40" s="19">
        <v>72</v>
      </c>
      <c r="K40" s="19">
        <v>516</v>
      </c>
      <c r="L40" s="19">
        <v>110</v>
      </c>
      <c r="M40" s="21">
        <v>524</v>
      </c>
      <c r="N40" s="21">
        <v>649</v>
      </c>
      <c r="O40" s="21">
        <v>111</v>
      </c>
      <c r="P40" s="21">
        <v>153</v>
      </c>
      <c r="Q40" s="21">
        <v>112</v>
      </c>
      <c r="R40" s="21">
        <v>125</v>
      </c>
      <c r="S40" s="21">
        <v>193</v>
      </c>
      <c r="T40" s="21">
        <v>56</v>
      </c>
      <c r="U40" s="21">
        <v>140</v>
      </c>
      <c r="V40" s="21">
        <v>203</v>
      </c>
      <c r="W40" s="23">
        <v>361</v>
      </c>
      <c r="X40" s="25">
        <v>30</v>
      </c>
      <c r="Y40" s="25">
        <v>134</v>
      </c>
      <c r="Z40" s="25">
        <v>164</v>
      </c>
      <c r="AA40" s="25">
        <v>168</v>
      </c>
      <c r="AB40" s="25">
        <v>20</v>
      </c>
      <c r="AC40" s="25">
        <v>24</v>
      </c>
      <c r="AD40" s="25">
        <v>135</v>
      </c>
      <c r="AE40" s="25">
        <v>145</v>
      </c>
      <c r="AF40" s="25">
        <v>145</v>
      </c>
      <c r="AG40" s="25">
        <v>120</v>
      </c>
      <c r="AH40" s="25">
        <v>116</v>
      </c>
      <c r="AI40" s="25">
        <v>101</v>
      </c>
      <c r="AJ40" s="27">
        <v>49</v>
      </c>
      <c r="AK40" s="27">
        <v>129</v>
      </c>
      <c r="AL40" s="27">
        <v>134</v>
      </c>
      <c r="AM40" s="27">
        <v>51</v>
      </c>
      <c r="AN40" s="27">
        <v>183</v>
      </c>
      <c r="AO40" s="27">
        <v>180</v>
      </c>
      <c r="AP40" s="27">
        <v>378</v>
      </c>
      <c r="AQ40" s="27">
        <v>217</v>
      </c>
      <c r="AR40" s="27">
        <v>425</v>
      </c>
      <c r="AS40" s="27">
        <v>415</v>
      </c>
      <c r="AT40" s="27">
        <v>440</v>
      </c>
      <c r="AU40" s="27">
        <v>48</v>
      </c>
      <c r="AV40" s="28">
        <v>58</v>
      </c>
      <c r="AW40" s="28">
        <v>470</v>
      </c>
      <c r="AX40" s="28">
        <v>223</v>
      </c>
      <c r="AY40" s="28">
        <v>118</v>
      </c>
      <c r="AZ40" s="28">
        <v>558</v>
      </c>
      <c r="BA40" s="28">
        <v>46</v>
      </c>
      <c r="BB40" s="28">
        <v>24</v>
      </c>
      <c r="BC40" s="28">
        <v>85</v>
      </c>
      <c r="BD40" s="28">
        <v>24</v>
      </c>
      <c r="BE40" s="28">
        <v>52</v>
      </c>
      <c r="BF40" s="28">
        <v>191</v>
      </c>
      <c r="BG40" s="32">
        <v>59</v>
      </c>
    </row>
    <row r="41" spans="1:59" x14ac:dyDescent="0.35">
      <c r="A41" s="2">
        <v>1910</v>
      </c>
      <c r="B41" s="19">
        <v>93</v>
      </c>
      <c r="C41" s="19">
        <v>60</v>
      </c>
      <c r="D41" s="19">
        <v>128</v>
      </c>
      <c r="E41" s="19">
        <v>135</v>
      </c>
      <c r="F41" s="19">
        <v>239</v>
      </c>
      <c r="G41" s="19">
        <v>57</v>
      </c>
      <c r="H41" s="19">
        <v>566</v>
      </c>
      <c r="I41" s="19">
        <v>44</v>
      </c>
      <c r="J41" s="19">
        <v>85</v>
      </c>
      <c r="K41" s="19">
        <v>585</v>
      </c>
      <c r="L41" s="19">
        <v>134</v>
      </c>
      <c r="M41" s="21">
        <v>592</v>
      </c>
      <c r="N41" s="21">
        <v>743</v>
      </c>
      <c r="O41" s="21">
        <v>101</v>
      </c>
      <c r="P41" s="21">
        <v>146</v>
      </c>
      <c r="Q41" s="21">
        <v>121</v>
      </c>
      <c r="R41" s="21">
        <v>163</v>
      </c>
      <c r="S41" s="21">
        <v>246</v>
      </c>
      <c r="T41" s="21">
        <v>60</v>
      </c>
      <c r="U41" s="21">
        <v>152</v>
      </c>
      <c r="V41" s="21">
        <v>260</v>
      </c>
      <c r="W41" s="23">
        <v>422</v>
      </c>
      <c r="X41" s="25">
        <v>28</v>
      </c>
      <c r="Y41" s="25">
        <v>120</v>
      </c>
      <c r="Z41" s="25">
        <v>148</v>
      </c>
      <c r="AA41" s="25">
        <v>153</v>
      </c>
      <c r="AB41" s="25">
        <v>23</v>
      </c>
      <c r="AC41" s="25">
        <v>27</v>
      </c>
      <c r="AD41" s="25">
        <v>157</v>
      </c>
      <c r="AE41" s="25">
        <v>164</v>
      </c>
      <c r="AF41" s="25">
        <v>169</v>
      </c>
      <c r="AG41" s="25">
        <v>103</v>
      </c>
      <c r="AH41" s="25">
        <v>99</v>
      </c>
      <c r="AI41" s="25">
        <v>144</v>
      </c>
      <c r="AJ41" s="27">
        <v>46</v>
      </c>
      <c r="AK41" s="27">
        <v>127</v>
      </c>
      <c r="AL41" s="27">
        <v>110</v>
      </c>
      <c r="AM41" s="27">
        <v>51</v>
      </c>
      <c r="AN41" s="27">
        <v>157</v>
      </c>
      <c r="AO41" s="27">
        <v>178</v>
      </c>
      <c r="AP41" s="27">
        <v>355</v>
      </c>
      <c r="AQ41" s="27">
        <v>243</v>
      </c>
      <c r="AR41" s="27">
        <v>424</v>
      </c>
      <c r="AS41" s="27">
        <v>426</v>
      </c>
      <c r="AT41" s="27">
        <v>451</v>
      </c>
      <c r="AU41" s="27">
        <v>53</v>
      </c>
      <c r="AV41" s="28">
        <v>66</v>
      </c>
      <c r="AW41" s="28">
        <v>474</v>
      </c>
      <c r="AX41" s="28">
        <v>222</v>
      </c>
      <c r="AY41" s="28">
        <v>130</v>
      </c>
      <c r="AZ41" s="28">
        <v>581</v>
      </c>
      <c r="BA41" s="28">
        <v>46</v>
      </c>
      <c r="BB41" s="28">
        <v>30</v>
      </c>
      <c r="BC41" s="28">
        <v>100</v>
      </c>
      <c r="BD41" s="28">
        <v>26</v>
      </c>
      <c r="BE41" s="28">
        <v>65</v>
      </c>
      <c r="BF41" s="28">
        <v>213</v>
      </c>
      <c r="BG41" s="32">
        <v>65</v>
      </c>
    </row>
    <row r="42" spans="1:59" x14ac:dyDescent="0.35">
      <c r="A42" s="2">
        <v>1911</v>
      </c>
      <c r="B42" s="19">
        <v>115</v>
      </c>
      <c r="C42" s="19">
        <v>71</v>
      </c>
      <c r="D42" s="19">
        <v>157</v>
      </c>
      <c r="E42" s="19">
        <v>164</v>
      </c>
      <c r="F42" s="19">
        <v>293</v>
      </c>
      <c r="G42" s="19">
        <v>61</v>
      </c>
      <c r="H42" s="20">
        <v>563</v>
      </c>
      <c r="I42" s="19">
        <v>58</v>
      </c>
      <c r="J42" s="19">
        <v>96</v>
      </c>
      <c r="K42" s="19">
        <v>582</v>
      </c>
      <c r="L42" s="19">
        <v>150</v>
      </c>
      <c r="M42" s="21">
        <v>591</v>
      </c>
      <c r="N42" s="21">
        <v>757</v>
      </c>
      <c r="O42" s="21">
        <v>113</v>
      </c>
      <c r="P42" s="21">
        <v>169</v>
      </c>
      <c r="Q42" s="21">
        <v>145</v>
      </c>
      <c r="R42" s="21">
        <v>199</v>
      </c>
      <c r="S42" s="21">
        <v>298</v>
      </c>
      <c r="T42" s="21">
        <v>75</v>
      </c>
      <c r="U42" s="21">
        <v>181</v>
      </c>
      <c r="V42" s="21">
        <v>314</v>
      </c>
      <c r="W42" s="23">
        <v>504</v>
      </c>
      <c r="X42" s="25">
        <v>34</v>
      </c>
      <c r="Y42" s="25">
        <v>151</v>
      </c>
      <c r="Z42" s="25">
        <v>185</v>
      </c>
      <c r="AA42" s="25">
        <v>190</v>
      </c>
      <c r="AB42" s="25">
        <v>26</v>
      </c>
      <c r="AC42" s="25">
        <v>29</v>
      </c>
      <c r="AD42" s="25">
        <v>144</v>
      </c>
      <c r="AE42" s="25">
        <v>151</v>
      </c>
      <c r="AF42" s="25">
        <v>157</v>
      </c>
      <c r="AG42" s="25">
        <v>96</v>
      </c>
      <c r="AH42" s="25">
        <v>92</v>
      </c>
      <c r="AI42" s="25">
        <v>123</v>
      </c>
      <c r="AJ42" s="27">
        <v>52</v>
      </c>
      <c r="AK42" s="27">
        <v>125</v>
      </c>
      <c r="AL42" s="27">
        <v>97</v>
      </c>
      <c r="AM42" s="27">
        <v>40</v>
      </c>
      <c r="AN42" s="27">
        <v>149</v>
      </c>
      <c r="AO42" s="27">
        <v>165</v>
      </c>
      <c r="AP42" s="27">
        <v>333</v>
      </c>
      <c r="AQ42" s="27">
        <v>214</v>
      </c>
      <c r="AR42" s="27">
        <v>395</v>
      </c>
      <c r="AS42" s="27">
        <v>386</v>
      </c>
      <c r="AT42" s="27">
        <v>418</v>
      </c>
      <c r="AU42" s="27">
        <v>49</v>
      </c>
      <c r="AV42" s="29">
        <v>63</v>
      </c>
      <c r="AW42" s="28">
        <v>444</v>
      </c>
      <c r="AX42" s="28">
        <v>206</v>
      </c>
      <c r="AY42" s="28">
        <v>124</v>
      </c>
      <c r="AZ42" s="28">
        <v>542</v>
      </c>
      <c r="BA42" s="28">
        <v>45</v>
      </c>
      <c r="BB42" s="28">
        <v>23</v>
      </c>
      <c r="BC42" s="28">
        <v>100</v>
      </c>
      <c r="BD42" s="28">
        <v>25</v>
      </c>
      <c r="BE42" s="28">
        <v>58</v>
      </c>
      <c r="BF42" s="28">
        <v>217</v>
      </c>
      <c r="BG42" s="32">
        <v>65</v>
      </c>
    </row>
    <row r="43" spans="1:59" x14ac:dyDescent="0.35">
      <c r="A43" s="2">
        <v>1912</v>
      </c>
      <c r="B43" s="19">
        <v>142</v>
      </c>
      <c r="C43" s="19">
        <v>66</v>
      </c>
      <c r="D43" s="19">
        <v>146</v>
      </c>
      <c r="E43" s="19">
        <v>153</v>
      </c>
      <c r="F43" s="19">
        <v>288</v>
      </c>
      <c r="G43" s="19">
        <v>68</v>
      </c>
      <c r="H43" s="19">
        <v>676</v>
      </c>
      <c r="I43" s="19">
        <v>67</v>
      </c>
      <c r="J43" s="19">
        <v>105</v>
      </c>
      <c r="K43" s="19">
        <v>693</v>
      </c>
      <c r="L43" s="19">
        <v>161</v>
      </c>
      <c r="M43" s="21">
        <v>703</v>
      </c>
      <c r="N43" s="21">
        <v>884</v>
      </c>
      <c r="O43" s="21">
        <v>134</v>
      </c>
      <c r="P43" s="21">
        <v>193</v>
      </c>
      <c r="Q43" s="21">
        <v>189</v>
      </c>
      <c r="R43" s="21">
        <v>237</v>
      </c>
      <c r="S43" s="21">
        <v>347</v>
      </c>
      <c r="T43" s="21">
        <v>82</v>
      </c>
      <c r="U43" s="21">
        <v>229</v>
      </c>
      <c r="V43" s="21">
        <v>364</v>
      </c>
      <c r="W43" s="23">
        <v>587</v>
      </c>
      <c r="X43" s="25">
        <v>46</v>
      </c>
      <c r="Y43" s="25">
        <v>187</v>
      </c>
      <c r="Z43" s="25">
        <v>233</v>
      </c>
      <c r="AA43" s="25">
        <v>239</v>
      </c>
      <c r="AB43" s="25">
        <v>27</v>
      </c>
      <c r="AC43" s="25">
        <v>34</v>
      </c>
      <c r="AD43" s="25">
        <v>168</v>
      </c>
      <c r="AE43" s="25">
        <v>177</v>
      </c>
      <c r="AF43" s="25">
        <v>183</v>
      </c>
      <c r="AG43" s="25">
        <v>139</v>
      </c>
      <c r="AH43" s="25">
        <v>132</v>
      </c>
      <c r="AI43" s="25">
        <v>149</v>
      </c>
      <c r="AJ43" s="27">
        <v>68</v>
      </c>
      <c r="AK43" s="27">
        <v>142</v>
      </c>
      <c r="AL43" s="27">
        <v>125</v>
      </c>
      <c r="AM43" s="27">
        <v>39</v>
      </c>
      <c r="AN43" s="27">
        <v>194</v>
      </c>
      <c r="AO43" s="27">
        <v>181</v>
      </c>
      <c r="AP43" s="27">
        <v>396</v>
      </c>
      <c r="AQ43" s="27">
        <v>281</v>
      </c>
      <c r="AR43" s="27">
        <v>508</v>
      </c>
      <c r="AS43" s="27">
        <v>498</v>
      </c>
      <c r="AT43" s="27">
        <v>531</v>
      </c>
      <c r="AU43" s="27">
        <v>55</v>
      </c>
      <c r="AV43" s="28">
        <v>70</v>
      </c>
      <c r="AW43" s="28">
        <v>564</v>
      </c>
      <c r="AX43" s="28">
        <v>225</v>
      </c>
      <c r="AY43" s="28">
        <v>137</v>
      </c>
      <c r="AZ43" s="28">
        <v>668</v>
      </c>
      <c r="BA43" s="28">
        <v>45</v>
      </c>
      <c r="BB43" s="28">
        <v>32</v>
      </c>
      <c r="BC43" s="28">
        <v>122</v>
      </c>
      <c r="BD43" s="28">
        <v>26</v>
      </c>
      <c r="BE43" s="28">
        <v>72</v>
      </c>
      <c r="BF43" s="28">
        <v>238</v>
      </c>
      <c r="BG43" s="32">
        <v>67</v>
      </c>
    </row>
    <row r="44" spans="1:59" x14ac:dyDescent="0.35">
      <c r="A44" s="2">
        <v>1913</v>
      </c>
      <c r="B44" s="19">
        <v>169</v>
      </c>
      <c r="C44" s="19">
        <v>73</v>
      </c>
      <c r="D44" s="19">
        <v>158</v>
      </c>
      <c r="E44" s="19">
        <v>167</v>
      </c>
      <c r="F44" s="19">
        <v>305</v>
      </c>
      <c r="G44" s="19">
        <v>63</v>
      </c>
      <c r="H44" s="19">
        <v>631</v>
      </c>
      <c r="I44" s="19">
        <v>69</v>
      </c>
      <c r="J44" s="19">
        <v>114</v>
      </c>
      <c r="K44" s="19">
        <v>654</v>
      </c>
      <c r="L44" s="19">
        <v>160</v>
      </c>
      <c r="M44" s="21">
        <v>663</v>
      </c>
      <c r="N44" s="21">
        <v>844</v>
      </c>
      <c r="O44" s="21">
        <v>161</v>
      </c>
      <c r="P44" s="21">
        <v>231</v>
      </c>
      <c r="Q44" s="21">
        <v>203</v>
      </c>
      <c r="R44" s="21">
        <v>251</v>
      </c>
      <c r="S44" s="21">
        <v>370</v>
      </c>
      <c r="T44" s="21">
        <v>97</v>
      </c>
      <c r="U44" s="21">
        <v>251</v>
      </c>
      <c r="V44" s="21">
        <v>380</v>
      </c>
      <c r="W44" s="23">
        <v>625</v>
      </c>
      <c r="X44" s="25">
        <v>46</v>
      </c>
      <c r="Y44" s="25">
        <v>164</v>
      </c>
      <c r="Z44" s="25">
        <v>210</v>
      </c>
      <c r="AA44" s="25">
        <v>226</v>
      </c>
      <c r="AB44" s="25">
        <v>34</v>
      </c>
      <c r="AC44" s="25">
        <v>36</v>
      </c>
      <c r="AD44" s="25">
        <v>149</v>
      </c>
      <c r="AE44" s="25">
        <v>157</v>
      </c>
      <c r="AF44" s="25">
        <v>169</v>
      </c>
      <c r="AG44" s="25">
        <v>126</v>
      </c>
      <c r="AH44" s="25">
        <v>119</v>
      </c>
      <c r="AI44" s="25">
        <v>117</v>
      </c>
      <c r="AJ44" s="27">
        <v>70</v>
      </c>
      <c r="AK44" s="27">
        <v>153</v>
      </c>
      <c r="AL44" s="27">
        <v>123</v>
      </c>
      <c r="AM44" s="27">
        <v>43</v>
      </c>
      <c r="AN44" s="27">
        <v>193</v>
      </c>
      <c r="AO44" s="27">
        <v>196</v>
      </c>
      <c r="AP44" s="27">
        <v>414</v>
      </c>
      <c r="AQ44" s="27">
        <v>236</v>
      </c>
      <c r="AR44" s="27">
        <v>465</v>
      </c>
      <c r="AS44" s="27">
        <v>453</v>
      </c>
      <c r="AT44" s="27">
        <v>489</v>
      </c>
      <c r="AU44" s="27">
        <v>58</v>
      </c>
      <c r="AV44" s="28">
        <v>74</v>
      </c>
      <c r="AW44" s="28">
        <v>522</v>
      </c>
      <c r="AX44" s="28">
        <v>247</v>
      </c>
      <c r="AY44" s="28">
        <v>143</v>
      </c>
      <c r="AZ44" s="28">
        <v>632</v>
      </c>
      <c r="BA44" s="28">
        <v>47</v>
      </c>
      <c r="BB44" s="28">
        <v>37</v>
      </c>
      <c r="BC44" s="28">
        <v>123</v>
      </c>
      <c r="BD44" s="28">
        <v>31</v>
      </c>
      <c r="BE44" s="28">
        <v>86</v>
      </c>
      <c r="BF44" s="28">
        <v>245</v>
      </c>
      <c r="BG44" s="32">
        <v>81</v>
      </c>
    </row>
    <row r="45" spans="1:59" x14ac:dyDescent="0.35">
      <c r="A45" s="2">
        <v>1914</v>
      </c>
      <c r="B45" s="19">
        <v>274</v>
      </c>
      <c r="C45" s="19">
        <v>71</v>
      </c>
      <c r="D45" s="19">
        <v>140</v>
      </c>
      <c r="E45" s="19">
        <v>150</v>
      </c>
      <c r="F45" s="19">
        <v>293</v>
      </c>
      <c r="G45" s="19">
        <v>71</v>
      </c>
      <c r="H45" s="19">
        <v>394</v>
      </c>
      <c r="I45" s="19">
        <v>71</v>
      </c>
      <c r="J45" s="19">
        <v>74</v>
      </c>
      <c r="K45" s="19">
        <v>421</v>
      </c>
      <c r="L45" s="19">
        <v>126</v>
      </c>
      <c r="M45" s="21">
        <v>429</v>
      </c>
      <c r="N45" s="21">
        <v>568</v>
      </c>
      <c r="O45" s="21">
        <v>149</v>
      </c>
      <c r="P45" s="21">
        <v>206</v>
      </c>
      <c r="Q45" s="21">
        <v>172</v>
      </c>
      <c r="R45" s="21">
        <v>180</v>
      </c>
      <c r="S45" s="21">
        <v>257</v>
      </c>
      <c r="T45" s="21">
        <v>73</v>
      </c>
      <c r="U45" s="21">
        <v>225</v>
      </c>
      <c r="V45" s="21">
        <v>265</v>
      </c>
      <c r="W45" s="23">
        <v>486</v>
      </c>
      <c r="X45" s="25">
        <v>51</v>
      </c>
      <c r="Y45" s="25">
        <v>165</v>
      </c>
      <c r="Z45" s="25">
        <v>216</v>
      </c>
      <c r="AA45" s="25">
        <v>242</v>
      </c>
      <c r="AB45" s="25">
        <v>66</v>
      </c>
      <c r="AC45" s="25">
        <v>35</v>
      </c>
      <c r="AD45" s="25">
        <v>174</v>
      </c>
      <c r="AE45" s="25">
        <v>182</v>
      </c>
      <c r="AF45" s="25">
        <v>226</v>
      </c>
      <c r="AG45" s="25">
        <v>138</v>
      </c>
      <c r="AH45" s="25">
        <v>121</v>
      </c>
      <c r="AI45" s="25">
        <v>111</v>
      </c>
      <c r="AJ45" s="27">
        <v>72</v>
      </c>
      <c r="AK45" s="27">
        <v>142</v>
      </c>
      <c r="AL45" s="27">
        <v>151</v>
      </c>
      <c r="AM45" s="27">
        <v>65</v>
      </c>
      <c r="AN45" s="27">
        <v>223</v>
      </c>
      <c r="AO45" s="27">
        <v>207</v>
      </c>
      <c r="AP45" s="27">
        <v>457</v>
      </c>
      <c r="AQ45" s="27">
        <v>232</v>
      </c>
      <c r="AR45" s="27">
        <v>490</v>
      </c>
      <c r="AS45" s="27">
        <v>477</v>
      </c>
      <c r="AT45" s="27">
        <v>511</v>
      </c>
      <c r="AU45" s="27">
        <v>57</v>
      </c>
      <c r="AV45" s="28">
        <v>77</v>
      </c>
      <c r="AW45" s="28">
        <v>533</v>
      </c>
      <c r="AX45" s="28">
        <v>261</v>
      </c>
      <c r="AY45" s="28">
        <v>139</v>
      </c>
      <c r="AZ45" s="28">
        <v>651</v>
      </c>
      <c r="BA45" s="28">
        <v>20</v>
      </c>
      <c r="BB45" s="28">
        <v>28</v>
      </c>
      <c r="BC45" s="28">
        <v>82</v>
      </c>
      <c r="BD45" s="28">
        <v>29</v>
      </c>
      <c r="BE45" s="28">
        <v>65</v>
      </c>
      <c r="BF45" s="28">
        <v>176</v>
      </c>
      <c r="BG45" s="32">
        <v>77</v>
      </c>
    </row>
    <row r="46" spans="1:59" x14ac:dyDescent="0.35">
      <c r="A46" s="2">
        <v>1915</v>
      </c>
      <c r="B46" s="19">
        <v>459</v>
      </c>
      <c r="C46" s="19">
        <v>184</v>
      </c>
      <c r="D46" s="19">
        <v>276</v>
      </c>
      <c r="E46" s="19">
        <v>292</v>
      </c>
      <c r="F46" s="19">
        <v>523</v>
      </c>
      <c r="G46" s="19">
        <v>161</v>
      </c>
      <c r="H46" s="19">
        <v>513</v>
      </c>
      <c r="I46" s="19">
        <v>152</v>
      </c>
      <c r="J46" s="19">
        <v>54</v>
      </c>
      <c r="K46" s="19">
        <v>608</v>
      </c>
      <c r="L46" s="19">
        <v>146</v>
      </c>
      <c r="M46" s="21">
        <v>619</v>
      </c>
      <c r="N46" s="21">
        <v>770</v>
      </c>
      <c r="O46" s="21">
        <v>160</v>
      </c>
      <c r="P46" s="21">
        <v>224</v>
      </c>
      <c r="Q46" s="21">
        <v>260</v>
      </c>
      <c r="R46" s="21">
        <v>319</v>
      </c>
      <c r="S46" s="21">
        <v>489</v>
      </c>
      <c r="T46" s="21">
        <v>73</v>
      </c>
      <c r="U46" s="21">
        <v>375</v>
      </c>
      <c r="V46" s="21">
        <v>544</v>
      </c>
      <c r="W46" s="23">
        <v>983</v>
      </c>
      <c r="X46" s="25">
        <v>38</v>
      </c>
      <c r="Y46" s="25">
        <v>185</v>
      </c>
      <c r="Z46" s="25">
        <v>223</v>
      </c>
      <c r="AA46" s="25">
        <v>244</v>
      </c>
      <c r="AB46" s="25">
        <v>40</v>
      </c>
      <c r="AC46" s="25">
        <v>29</v>
      </c>
      <c r="AD46" s="25">
        <v>217</v>
      </c>
      <c r="AE46" s="25">
        <v>223</v>
      </c>
      <c r="AF46" s="25">
        <v>247</v>
      </c>
      <c r="AG46" s="25">
        <v>144</v>
      </c>
      <c r="AH46" s="25">
        <v>134</v>
      </c>
      <c r="AI46" s="25">
        <v>157</v>
      </c>
      <c r="AJ46" s="27">
        <v>71</v>
      </c>
      <c r="AK46" s="27">
        <v>106</v>
      </c>
      <c r="AL46" s="27">
        <v>189</v>
      </c>
      <c r="AM46" s="27">
        <v>37</v>
      </c>
      <c r="AN46" s="27">
        <v>260</v>
      </c>
      <c r="AO46" s="27">
        <v>143</v>
      </c>
      <c r="AP46" s="27">
        <v>426</v>
      </c>
      <c r="AQ46" s="27">
        <v>291</v>
      </c>
      <c r="AR46" s="27">
        <v>572</v>
      </c>
      <c r="AS46" s="27">
        <v>569</v>
      </c>
      <c r="AT46" s="27">
        <v>590</v>
      </c>
      <c r="AU46" s="27">
        <v>51</v>
      </c>
      <c r="AV46" s="28">
        <v>68</v>
      </c>
      <c r="AW46" s="28">
        <v>615</v>
      </c>
      <c r="AX46" s="28">
        <v>188</v>
      </c>
      <c r="AY46" s="28">
        <v>125</v>
      </c>
      <c r="AZ46" s="28">
        <v>715</v>
      </c>
      <c r="BA46" s="28">
        <v>26</v>
      </c>
      <c r="BB46" s="28">
        <v>39</v>
      </c>
      <c r="BC46" s="28">
        <v>88</v>
      </c>
      <c r="BD46" s="28">
        <v>21</v>
      </c>
      <c r="BE46" s="28">
        <v>75</v>
      </c>
      <c r="BF46" s="28">
        <v>178</v>
      </c>
      <c r="BG46" s="32">
        <v>52</v>
      </c>
    </row>
    <row r="47" spans="1:59" x14ac:dyDescent="0.35">
      <c r="A47" s="2">
        <v>1916</v>
      </c>
      <c r="B47" s="19">
        <v>416</v>
      </c>
      <c r="C47" s="19">
        <v>198</v>
      </c>
      <c r="D47" s="19">
        <v>312</v>
      </c>
      <c r="E47" s="19">
        <v>330</v>
      </c>
      <c r="F47" s="19">
        <v>604</v>
      </c>
      <c r="G47" s="19">
        <v>163</v>
      </c>
      <c r="H47" s="19">
        <v>675</v>
      </c>
      <c r="I47" s="19">
        <v>191</v>
      </c>
      <c r="J47" s="19">
        <v>58</v>
      </c>
      <c r="K47" s="19">
        <v>718</v>
      </c>
      <c r="L47" s="19">
        <v>182</v>
      </c>
      <c r="M47" s="21">
        <v>729</v>
      </c>
      <c r="N47" s="21">
        <v>920</v>
      </c>
      <c r="O47" s="21">
        <v>221</v>
      </c>
      <c r="P47" s="21">
        <v>294</v>
      </c>
      <c r="Q47" s="21">
        <v>617</v>
      </c>
      <c r="R47" s="21">
        <v>456</v>
      </c>
      <c r="S47" s="21">
        <v>829</v>
      </c>
      <c r="T47" s="21">
        <v>86</v>
      </c>
      <c r="U47" s="21">
        <v>847</v>
      </c>
      <c r="V47" s="21">
        <v>1105</v>
      </c>
      <c r="W47" s="23">
        <v>2203</v>
      </c>
      <c r="X47" s="25">
        <v>52</v>
      </c>
      <c r="Y47" s="25">
        <v>195</v>
      </c>
      <c r="Z47" s="25">
        <v>247</v>
      </c>
      <c r="AA47" s="25">
        <v>259</v>
      </c>
      <c r="AB47" s="25">
        <v>37</v>
      </c>
      <c r="AC47" s="25">
        <v>36</v>
      </c>
      <c r="AD47" s="25">
        <v>282</v>
      </c>
      <c r="AE47" s="25">
        <v>291</v>
      </c>
      <c r="AF47" s="25">
        <v>306</v>
      </c>
      <c r="AG47" s="25">
        <v>195</v>
      </c>
      <c r="AH47" s="25">
        <v>179</v>
      </c>
      <c r="AI47" s="25">
        <v>219</v>
      </c>
      <c r="AJ47" s="27">
        <v>103</v>
      </c>
      <c r="AK47" s="27">
        <v>127</v>
      </c>
      <c r="AL47" s="27">
        <v>274</v>
      </c>
      <c r="AM47" s="27">
        <v>44</v>
      </c>
      <c r="AN47" s="27">
        <v>377</v>
      </c>
      <c r="AO47" s="27">
        <v>171</v>
      </c>
      <c r="AP47" s="27">
        <v>582</v>
      </c>
      <c r="AQ47" s="27">
        <v>398</v>
      </c>
      <c r="AR47" s="27">
        <v>801</v>
      </c>
      <c r="AS47" s="27">
        <v>808</v>
      </c>
      <c r="AT47" s="27">
        <v>835</v>
      </c>
      <c r="AU47" s="27">
        <v>60</v>
      </c>
      <c r="AV47" s="28">
        <v>87</v>
      </c>
      <c r="AW47" s="28">
        <v>863</v>
      </c>
      <c r="AX47" s="28">
        <v>221</v>
      </c>
      <c r="AY47" s="28">
        <v>186</v>
      </c>
      <c r="AZ47" s="28">
        <v>1020</v>
      </c>
      <c r="BA47" s="28">
        <v>52</v>
      </c>
      <c r="BB47" s="28">
        <v>85</v>
      </c>
      <c r="BC47" s="28">
        <v>154</v>
      </c>
      <c r="BD47" s="28">
        <v>22</v>
      </c>
      <c r="BE47" s="28">
        <v>139</v>
      </c>
      <c r="BF47" s="28">
        <v>298</v>
      </c>
      <c r="BG47" s="32">
        <v>65</v>
      </c>
    </row>
    <row r="48" spans="1:59" x14ac:dyDescent="0.35">
      <c r="A48" s="2">
        <v>1917</v>
      </c>
      <c r="B48" s="19">
        <v>495</v>
      </c>
      <c r="C48" s="19">
        <v>274</v>
      </c>
      <c r="D48" s="19">
        <v>435</v>
      </c>
      <c r="E48" s="19">
        <v>455</v>
      </c>
      <c r="F48" s="19">
        <v>781</v>
      </c>
      <c r="G48" s="19">
        <v>126</v>
      </c>
      <c r="H48" s="19">
        <v>734</v>
      </c>
      <c r="I48" s="19">
        <v>206</v>
      </c>
      <c r="J48" s="19">
        <v>68</v>
      </c>
      <c r="K48" s="19">
        <v>686</v>
      </c>
      <c r="L48" s="19">
        <v>172</v>
      </c>
      <c r="M48" s="21">
        <v>698</v>
      </c>
      <c r="N48" s="21">
        <v>882</v>
      </c>
      <c r="O48" s="21">
        <v>275</v>
      </c>
      <c r="P48" s="21">
        <v>394</v>
      </c>
      <c r="Q48" s="21">
        <v>963</v>
      </c>
      <c r="R48" s="21">
        <v>549</v>
      </c>
      <c r="S48" s="21">
        <v>980</v>
      </c>
      <c r="T48" s="21">
        <v>134</v>
      </c>
      <c r="U48" s="21">
        <v>1243</v>
      </c>
      <c r="V48" s="21">
        <v>1147</v>
      </c>
      <c r="W48" s="23">
        <v>2273</v>
      </c>
      <c r="X48" s="25">
        <v>134</v>
      </c>
      <c r="Y48" s="25">
        <v>216</v>
      </c>
      <c r="Z48" s="25">
        <v>350</v>
      </c>
      <c r="AA48" s="25">
        <v>371</v>
      </c>
      <c r="AB48" s="25">
        <v>45</v>
      </c>
      <c r="AC48" s="25">
        <v>45</v>
      </c>
      <c r="AD48" s="25">
        <v>287</v>
      </c>
      <c r="AE48" s="25">
        <v>296</v>
      </c>
      <c r="AF48" s="25">
        <v>319</v>
      </c>
      <c r="AG48" s="25">
        <v>237</v>
      </c>
      <c r="AH48" s="25">
        <v>218</v>
      </c>
      <c r="AI48" s="25">
        <v>309</v>
      </c>
      <c r="AJ48" s="27">
        <v>138</v>
      </c>
      <c r="AK48" s="27">
        <v>135</v>
      </c>
      <c r="AL48" s="27">
        <v>359</v>
      </c>
      <c r="AM48" s="27">
        <v>50</v>
      </c>
      <c r="AN48" s="27">
        <v>497</v>
      </c>
      <c r="AO48" s="27">
        <v>185</v>
      </c>
      <c r="AP48" s="27">
        <v>725</v>
      </c>
      <c r="AQ48" s="27">
        <v>527</v>
      </c>
      <c r="AR48" s="27">
        <v>1057</v>
      </c>
      <c r="AS48" s="27">
        <v>1085</v>
      </c>
      <c r="AT48" s="27">
        <v>1119</v>
      </c>
      <c r="AU48" s="27">
        <v>68</v>
      </c>
      <c r="AV48" s="28">
        <v>110</v>
      </c>
      <c r="AW48" s="28">
        <v>1125</v>
      </c>
      <c r="AX48" s="28">
        <v>259</v>
      </c>
      <c r="AY48" s="28">
        <v>226</v>
      </c>
      <c r="AZ48" s="28">
        <v>1345</v>
      </c>
      <c r="BA48" s="28">
        <v>41</v>
      </c>
      <c r="BB48" s="28">
        <v>86</v>
      </c>
      <c r="BC48" s="28">
        <v>201</v>
      </c>
      <c r="BD48" s="28">
        <v>23</v>
      </c>
      <c r="BE48" s="28">
        <v>150</v>
      </c>
      <c r="BF48" s="28">
        <v>345</v>
      </c>
      <c r="BG48" s="32">
        <v>66</v>
      </c>
    </row>
    <row r="49" spans="1:59" x14ac:dyDescent="0.35">
      <c r="A49" s="2">
        <v>1918</v>
      </c>
      <c r="B49" s="19">
        <v>534</v>
      </c>
      <c r="C49" s="19">
        <v>668</v>
      </c>
      <c r="D49" s="19">
        <v>938</v>
      </c>
      <c r="E49" s="19">
        <v>967</v>
      </c>
      <c r="F49" s="19">
        <v>1373</v>
      </c>
      <c r="G49" s="19">
        <v>93</v>
      </c>
      <c r="H49" s="19">
        <v>855</v>
      </c>
      <c r="I49" s="19">
        <v>247</v>
      </c>
      <c r="J49" s="19">
        <v>86</v>
      </c>
      <c r="K49" s="19">
        <v>825</v>
      </c>
      <c r="L49" s="19">
        <v>155</v>
      </c>
      <c r="M49" s="21">
        <v>838</v>
      </c>
      <c r="N49" s="21">
        <v>1003</v>
      </c>
      <c r="O49" s="21">
        <v>371</v>
      </c>
      <c r="P49" s="21">
        <v>491</v>
      </c>
      <c r="Q49" s="21">
        <v>681</v>
      </c>
      <c r="R49" s="21">
        <v>531</v>
      </c>
      <c r="S49" s="21">
        <v>833</v>
      </c>
      <c r="T49" s="21">
        <v>136</v>
      </c>
      <c r="U49" s="21">
        <v>954</v>
      </c>
      <c r="V49" s="21">
        <v>874</v>
      </c>
      <c r="W49" s="23">
        <v>1624</v>
      </c>
      <c r="X49" s="25">
        <v>101</v>
      </c>
      <c r="Y49" s="25">
        <v>198</v>
      </c>
      <c r="Z49" s="25">
        <v>298</v>
      </c>
      <c r="AA49" s="25">
        <v>327</v>
      </c>
      <c r="AB49" s="25">
        <v>81</v>
      </c>
      <c r="AC49" s="25">
        <v>50</v>
      </c>
      <c r="AD49" s="25">
        <v>308</v>
      </c>
      <c r="AE49" s="25">
        <v>309</v>
      </c>
      <c r="AF49" s="25">
        <v>372</v>
      </c>
      <c r="AG49" s="25">
        <v>128</v>
      </c>
      <c r="AH49" s="25">
        <v>115</v>
      </c>
      <c r="AI49" s="25">
        <v>234</v>
      </c>
      <c r="AJ49" s="27">
        <v>156</v>
      </c>
      <c r="AK49" s="27">
        <v>153</v>
      </c>
      <c r="AL49" s="27">
        <v>434</v>
      </c>
      <c r="AM49" s="27">
        <v>43</v>
      </c>
      <c r="AN49" s="27">
        <v>590</v>
      </c>
      <c r="AO49" s="27">
        <v>196</v>
      </c>
      <c r="AP49" s="27">
        <v>826</v>
      </c>
      <c r="AQ49" s="27">
        <v>349</v>
      </c>
      <c r="AR49" s="27">
        <v>991</v>
      </c>
      <c r="AS49" s="27">
        <v>1045</v>
      </c>
      <c r="AT49" s="27">
        <v>1097</v>
      </c>
      <c r="AU49" s="27">
        <v>74</v>
      </c>
      <c r="AV49" s="28">
        <v>105</v>
      </c>
      <c r="AW49" s="28">
        <v>1064</v>
      </c>
      <c r="AX49" s="28">
        <v>272</v>
      </c>
      <c r="AY49" s="28">
        <v>214</v>
      </c>
      <c r="AZ49" s="28">
        <v>1311</v>
      </c>
      <c r="BA49" s="28">
        <v>24</v>
      </c>
      <c r="BB49" s="28">
        <v>108</v>
      </c>
      <c r="BC49" s="28">
        <v>213</v>
      </c>
      <c r="BD49" s="28">
        <v>26</v>
      </c>
      <c r="BE49" s="28">
        <v>172</v>
      </c>
      <c r="BF49" s="28">
        <v>364</v>
      </c>
      <c r="BG49" s="32">
        <v>79</v>
      </c>
    </row>
    <row r="50" spans="1:59" x14ac:dyDescent="0.35">
      <c r="A50" s="2">
        <v>1919</v>
      </c>
      <c r="B50" s="19">
        <v>646</v>
      </c>
      <c r="C50" s="19">
        <v>698</v>
      </c>
      <c r="D50" s="19">
        <v>1149</v>
      </c>
      <c r="E50" s="19">
        <v>1194</v>
      </c>
      <c r="F50" s="19">
        <v>1904</v>
      </c>
      <c r="G50" s="19">
        <v>314</v>
      </c>
      <c r="H50" s="19">
        <v>1410</v>
      </c>
      <c r="I50" s="19">
        <v>368</v>
      </c>
      <c r="J50" s="19">
        <v>135</v>
      </c>
      <c r="K50" s="19">
        <v>1448</v>
      </c>
      <c r="L50" s="19">
        <v>397</v>
      </c>
      <c r="M50" s="21">
        <v>1522</v>
      </c>
      <c r="N50" s="21">
        <v>1937</v>
      </c>
      <c r="O50" s="21">
        <v>377</v>
      </c>
      <c r="P50" s="21">
        <v>503</v>
      </c>
      <c r="Q50" s="21">
        <v>395</v>
      </c>
      <c r="R50" s="21">
        <v>770</v>
      </c>
      <c r="S50" s="21">
        <v>1108</v>
      </c>
      <c r="T50" s="21">
        <v>154</v>
      </c>
      <c r="U50" s="21">
        <v>605</v>
      </c>
      <c r="V50" s="21">
        <v>1145</v>
      </c>
      <c r="W50" s="23">
        <v>1795</v>
      </c>
      <c r="X50" s="25">
        <v>116</v>
      </c>
      <c r="Y50" s="25">
        <v>368</v>
      </c>
      <c r="Z50" s="25">
        <v>484</v>
      </c>
      <c r="AA50" s="25">
        <v>542</v>
      </c>
      <c r="AB50" s="25">
        <v>69</v>
      </c>
      <c r="AC50" s="25">
        <v>88</v>
      </c>
      <c r="AD50" s="25">
        <v>487</v>
      </c>
      <c r="AE50" s="25">
        <v>488</v>
      </c>
      <c r="AF50" s="25">
        <v>534</v>
      </c>
      <c r="AG50" s="25">
        <v>335</v>
      </c>
      <c r="AH50" s="25">
        <v>316</v>
      </c>
      <c r="AI50" s="25">
        <v>330</v>
      </c>
      <c r="AJ50" s="27">
        <v>154</v>
      </c>
      <c r="AK50" s="27">
        <v>150</v>
      </c>
      <c r="AL50" s="27">
        <v>550</v>
      </c>
      <c r="AM50" s="27">
        <v>61</v>
      </c>
      <c r="AN50" s="27">
        <v>704</v>
      </c>
      <c r="AO50" s="27">
        <v>211</v>
      </c>
      <c r="AP50" s="27">
        <v>964</v>
      </c>
      <c r="AQ50" s="27">
        <v>646</v>
      </c>
      <c r="AR50" s="27">
        <v>1425</v>
      </c>
      <c r="AS50" s="27">
        <v>1440</v>
      </c>
      <c r="AT50" s="27">
        <v>1515</v>
      </c>
      <c r="AU50" s="27">
        <v>87</v>
      </c>
      <c r="AV50" s="28">
        <v>125</v>
      </c>
      <c r="AW50" s="28">
        <v>1541</v>
      </c>
      <c r="AX50" s="28">
        <v>300</v>
      </c>
      <c r="AY50" s="28">
        <v>296</v>
      </c>
      <c r="AZ50" s="28">
        <v>1811</v>
      </c>
      <c r="BA50" s="28">
        <v>105</v>
      </c>
      <c r="BB50" s="28">
        <v>74</v>
      </c>
      <c r="BC50" s="28">
        <v>146</v>
      </c>
      <c r="BD50" s="28">
        <v>34</v>
      </c>
      <c r="BE50" s="29">
        <v>156</v>
      </c>
      <c r="BF50" s="28">
        <v>311</v>
      </c>
      <c r="BG50" s="32">
        <v>93</v>
      </c>
    </row>
    <row r="51" spans="1:59" x14ac:dyDescent="0.35">
      <c r="A51" s="2">
        <v>1920</v>
      </c>
      <c r="B51" s="19">
        <v>883</v>
      </c>
      <c r="C51" s="19">
        <v>279</v>
      </c>
      <c r="D51" s="19">
        <v>538</v>
      </c>
      <c r="E51" s="19">
        <v>566</v>
      </c>
      <c r="F51" s="19">
        <v>1077</v>
      </c>
      <c r="G51" s="19">
        <v>197</v>
      </c>
      <c r="H51" s="19">
        <v>1538</v>
      </c>
      <c r="I51" s="19">
        <v>496</v>
      </c>
      <c r="J51" s="19">
        <v>185</v>
      </c>
      <c r="K51" s="19">
        <v>1433</v>
      </c>
      <c r="L51" s="19">
        <v>334</v>
      </c>
      <c r="M51" s="21">
        <v>1470</v>
      </c>
      <c r="N51" s="21">
        <v>1833</v>
      </c>
      <c r="O51" s="21">
        <v>593</v>
      </c>
      <c r="P51" s="21">
        <v>953</v>
      </c>
      <c r="Q51" s="21">
        <v>421</v>
      </c>
      <c r="R51" s="21">
        <v>995</v>
      </c>
      <c r="S51" s="21">
        <v>1382</v>
      </c>
      <c r="T51" s="21">
        <v>410</v>
      </c>
      <c r="U51" s="21">
        <v>715</v>
      </c>
      <c r="V51" s="21">
        <v>1425</v>
      </c>
      <c r="W51" s="23">
        <v>2340</v>
      </c>
      <c r="X51" s="25">
        <v>188</v>
      </c>
      <c r="Y51" s="25">
        <v>364</v>
      </c>
      <c r="Z51" s="25">
        <v>552</v>
      </c>
      <c r="AA51" s="25">
        <v>583</v>
      </c>
      <c r="AB51" s="25">
        <v>92</v>
      </c>
      <c r="AC51" s="25">
        <v>101</v>
      </c>
      <c r="AD51" s="25">
        <v>1125</v>
      </c>
      <c r="AE51" s="25">
        <v>1129</v>
      </c>
      <c r="AF51" s="25">
        <v>1197</v>
      </c>
      <c r="AG51" s="25">
        <v>280</v>
      </c>
      <c r="AH51" s="25">
        <v>256</v>
      </c>
      <c r="AI51" s="25">
        <v>385</v>
      </c>
      <c r="AJ51" s="27">
        <v>219</v>
      </c>
      <c r="AK51" s="27">
        <v>285</v>
      </c>
      <c r="AL51" s="27">
        <v>417</v>
      </c>
      <c r="AM51" s="27">
        <v>113</v>
      </c>
      <c r="AN51" s="27">
        <v>636</v>
      </c>
      <c r="AO51" s="27">
        <v>398</v>
      </c>
      <c r="AP51" s="27">
        <v>1128</v>
      </c>
      <c r="AQ51" s="27">
        <v>641</v>
      </c>
      <c r="AR51" s="27">
        <v>1359</v>
      </c>
      <c r="AS51" s="27">
        <v>1370</v>
      </c>
      <c r="AT51" s="27">
        <v>1451</v>
      </c>
      <c r="AU51" s="27">
        <v>146</v>
      </c>
      <c r="AV51" s="28">
        <v>236</v>
      </c>
      <c r="AW51" s="28">
        <v>1529</v>
      </c>
      <c r="AX51" s="28">
        <v>538</v>
      </c>
      <c r="AY51" s="28">
        <v>483</v>
      </c>
      <c r="AZ51" s="28">
        <v>1934</v>
      </c>
      <c r="BA51" s="28">
        <v>76</v>
      </c>
      <c r="BB51" s="28">
        <v>86</v>
      </c>
      <c r="BC51" s="28">
        <v>203</v>
      </c>
      <c r="BD51" s="28">
        <v>62</v>
      </c>
      <c r="BE51" s="28">
        <v>222</v>
      </c>
      <c r="BF51" s="28">
        <v>438</v>
      </c>
      <c r="BG51" s="32">
        <v>159</v>
      </c>
    </row>
    <row r="52" spans="1:59" x14ac:dyDescent="0.35">
      <c r="A52" s="2">
        <v>1921</v>
      </c>
      <c r="B52" s="19">
        <v>673</v>
      </c>
      <c r="C52" s="19">
        <v>157</v>
      </c>
      <c r="D52" s="19">
        <v>338</v>
      </c>
      <c r="E52" s="19">
        <v>351</v>
      </c>
      <c r="F52" s="19">
        <v>657</v>
      </c>
      <c r="G52" s="19">
        <v>65</v>
      </c>
      <c r="H52" s="19">
        <v>651</v>
      </c>
      <c r="I52" s="19">
        <v>153</v>
      </c>
      <c r="J52" s="19">
        <v>89</v>
      </c>
      <c r="K52" s="19">
        <v>763</v>
      </c>
      <c r="L52" s="19">
        <v>123</v>
      </c>
      <c r="M52" s="21">
        <v>775</v>
      </c>
      <c r="N52" s="21">
        <v>915</v>
      </c>
      <c r="O52" s="21">
        <v>401</v>
      </c>
      <c r="P52" s="21">
        <v>572</v>
      </c>
      <c r="Q52" s="21">
        <v>185</v>
      </c>
      <c r="R52" s="21">
        <v>547</v>
      </c>
      <c r="S52" s="21">
        <v>774</v>
      </c>
      <c r="T52" s="21">
        <v>205</v>
      </c>
      <c r="U52" s="21">
        <v>307</v>
      </c>
      <c r="V52" s="21">
        <v>796</v>
      </c>
      <c r="W52" s="23">
        <v>1327</v>
      </c>
      <c r="X52" s="25">
        <v>86</v>
      </c>
      <c r="Y52" s="25">
        <v>207</v>
      </c>
      <c r="Z52" s="25">
        <v>293</v>
      </c>
      <c r="AA52" s="25">
        <v>302</v>
      </c>
      <c r="AB52" s="25">
        <v>54</v>
      </c>
      <c r="AC52" s="25">
        <v>53</v>
      </c>
      <c r="AD52" s="25">
        <v>294</v>
      </c>
      <c r="AE52" s="25">
        <v>296</v>
      </c>
      <c r="AF52" s="25">
        <v>333</v>
      </c>
      <c r="AG52" s="25">
        <v>92</v>
      </c>
      <c r="AH52" s="25">
        <v>74</v>
      </c>
      <c r="AI52" s="25">
        <v>129</v>
      </c>
      <c r="AJ52" s="27">
        <v>67</v>
      </c>
      <c r="AK52" s="27">
        <v>157</v>
      </c>
      <c r="AL52" s="27">
        <v>322</v>
      </c>
      <c r="AM52" s="27">
        <v>82</v>
      </c>
      <c r="AN52" s="27">
        <v>388</v>
      </c>
      <c r="AO52" s="27">
        <v>239</v>
      </c>
      <c r="AP52" s="27">
        <v>675</v>
      </c>
      <c r="AQ52" s="27">
        <v>203</v>
      </c>
      <c r="AR52" s="27">
        <v>646</v>
      </c>
      <c r="AS52" s="27">
        <v>626</v>
      </c>
      <c r="AT52" s="27">
        <v>681</v>
      </c>
      <c r="AU52" s="27">
        <v>85</v>
      </c>
      <c r="AV52" s="28">
        <v>125</v>
      </c>
      <c r="AW52" s="28">
        <v>724</v>
      </c>
      <c r="AX52" s="28">
        <v>375</v>
      </c>
      <c r="AY52" s="28">
        <v>235</v>
      </c>
      <c r="AZ52" s="28">
        <v>916</v>
      </c>
      <c r="BA52" s="28">
        <v>38</v>
      </c>
      <c r="BB52" s="28">
        <v>33</v>
      </c>
      <c r="BC52" s="28">
        <v>76</v>
      </c>
      <c r="BD52" s="28">
        <v>47</v>
      </c>
      <c r="BE52" s="28">
        <v>132</v>
      </c>
      <c r="BF52" s="28">
        <v>184</v>
      </c>
      <c r="BG52" s="32">
        <v>128</v>
      </c>
    </row>
    <row r="53" spans="1:59" x14ac:dyDescent="0.35">
      <c r="A53" s="2">
        <v>1922</v>
      </c>
      <c r="B53" s="19">
        <v>459</v>
      </c>
      <c r="C53" s="19">
        <v>141</v>
      </c>
      <c r="D53" s="19">
        <v>276</v>
      </c>
      <c r="E53" s="19">
        <v>290</v>
      </c>
      <c r="F53" s="19">
        <v>559</v>
      </c>
      <c r="G53" s="19">
        <v>66</v>
      </c>
      <c r="H53" s="20">
        <v>812</v>
      </c>
      <c r="I53" s="19">
        <v>175</v>
      </c>
      <c r="J53" s="19">
        <v>99</v>
      </c>
      <c r="K53" s="19">
        <v>843</v>
      </c>
      <c r="L53" s="19">
        <v>161</v>
      </c>
      <c r="M53" s="21">
        <v>856</v>
      </c>
      <c r="N53" s="21">
        <v>1039</v>
      </c>
      <c r="O53" s="21">
        <v>346</v>
      </c>
      <c r="P53" s="21">
        <v>441</v>
      </c>
      <c r="Q53" s="21">
        <v>172</v>
      </c>
      <c r="R53" s="21">
        <v>371</v>
      </c>
      <c r="S53" s="21">
        <v>500</v>
      </c>
      <c r="T53" s="21">
        <v>129</v>
      </c>
      <c r="U53" s="21">
        <v>271</v>
      </c>
      <c r="V53" s="21">
        <v>515</v>
      </c>
      <c r="W53" s="23">
        <v>1001</v>
      </c>
      <c r="X53" s="25">
        <v>79</v>
      </c>
      <c r="Y53" s="25">
        <v>246</v>
      </c>
      <c r="Z53" s="25">
        <v>326</v>
      </c>
      <c r="AA53" s="25">
        <v>334</v>
      </c>
      <c r="AB53" s="25">
        <v>59</v>
      </c>
      <c r="AC53" s="25">
        <v>48</v>
      </c>
      <c r="AD53" s="25">
        <v>303</v>
      </c>
      <c r="AE53" s="25">
        <v>304</v>
      </c>
      <c r="AF53" s="25">
        <v>345</v>
      </c>
      <c r="AG53" s="25">
        <v>130</v>
      </c>
      <c r="AH53" s="25">
        <v>113</v>
      </c>
      <c r="AI53" s="25">
        <v>171</v>
      </c>
      <c r="AJ53" s="27">
        <v>83</v>
      </c>
      <c r="AK53" s="27">
        <v>191</v>
      </c>
      <c r="AL53" s="27">
        <v>456</v>
      </c>
      <c r="AM53" s="27">
        <v>80</v>
      </c>
      <c r="AN53" s="27">
        <v>539</v>
      </c>
      <c r="AO53" s="27">
        <v>271</v>
      </c>
      <c r="AP53" s="27">
        <v>859</v>
      </c>
      <c r="AQ53" s="27">
        <v>285</v>
      </c>
      <c r="AR53" s="27">
        <v>890</v>
      </c>
      <c r="AS53" s="27">
        <v>877</v>
      </c>
      <c r="AT53" s="27">
        <v>943</v>
      </c>
      <c r="AU53" s="27">
        <v>112</v>
      </c>
      <c r="AV53" s="28">
        <v>175</v>
      </c>
      <c r="AW53" s="28">
        <v>1002</v>
      </c>
      <c r="AX53" s="28">
        <v>407</v>
      </c>
      <c r="AY53" s="28">
        <v>318</v>
      </c>
      <c r="AZ53" s="28">
        <v>1262</v>
      </c>
      <c r="BA53" s="28">
        <v>68</v>
      </c>
      <c r="BB53" s="28">
        <v>40</v>
      </c>
      <c r="BC53" s="28">
        <v>151</v>
      </c>
      <c r="BD53" s="28">
        <v>52</v>
      </c>
      <c r="BE53" s="28">
        <v>183</v>
      </c>
      <c r="BF53" s="28">
        <v>303</v>
      </c>
      <c r="BG53" s="32">
        <v>148</v>
      </c>
    </row>
    <row r="54" spans="1:59" x14ac:dyDescent="0.35">
      <c r="A54" s="2">
        <v>1923</v>
      </c>
      <c r="B54" s="19">
        <v>257</v>
      </c>
      <c r="C54" s="19">
        <v>154</v>
      </c>
      <c r="D54" s="19">
        <v>330</v>
      </c>
      <c r="E54" s="19">
        <v>345</v>
      </c>
      <c r="F54" s="19">
        <v>553</v>
      </c>
      <c r="G54" s="19">
        <v>70</v>
      </c>
      <c r="H54" s="19">
        <v>945</v>
      </c>
      <c r="I54" s="19">
        <v>177</v>
      </c>
      <c r="J54" s="19">
        <v>147</v>
      </c>
      <c r="K54" s="19">
        <v>987</v>
      </c>
      <c r="L54" s="19">
        <v>208</v>
      </c>
      <c r="M54" s="21">
        <v>1001</v>
      </c>
      <c r="N54" s="21">
        <v>1233</v>
      </c>
      <c r="O54" s="21">
        <v>366</v>
      </c>
      <c r="P54" s="21">
        <v>532</v>
      </c>
      <c r="Q54" s="21">
        <v>242</v>
      </c>
      <c r="R54" s="21">
        <v>490</v>
      </c>
      <c r="S54" s="21">
        <v>650</v>
      </c>
      <c r="T54" s="21">
        <v>203</v>
      </c>
      <c r="U54" s="21">
        <v>346</v>
      </c>
      <c r="V54" s="21">
        <v>670</v>
      </c>
      <c r="W54" s="23">
        <v>1179</v>
      </c>
      <c r="X54" s="25">
        <v>73</v>
      </c>
      <c r="Y54" s="25">
        <v>285</v>
      </c>
      <c r="Z54" s="25">
        <v>358</v>
      </c>
      <c r="AA54" s="25">
        <v>365</v>
      </c>
      <c r="AB54" s="25">
        <v>74</v>
      </c>
      <c r="AC54" s="25">
        <v>43</v>
      </c>
      <c r="AD54" s="25">
        <v>429</v>
      </c>
      <c r="AE54" s="25">
        <v>430</v>
      </c>
      <c r="AF54" s="25">
        <v>490</v>
      </c>
      <c r="AG54" s="25">
        <v>147</v>
      </c>
      <c r="AH54" s="25">
        <v>127</v>
      </c>
      <c r="AI54" s="25">
        <v>282</v>
      </c>
      <c r="AJ54" s="27">
        <v>97</v>
      </c>
      <c r="AK54" s="27">
        <v>227</v>
      </c>
      <c r="AL54" s="27">
        <v>528</v>
      </c>
      <c r="AM54" s="27">
        <v>92</v>
      </c>
      <c r="AN54" s="27">
        <v>625</v>
      </c>
      <c r="AO54" s="27">
        <v>318</v>
      </c>
      <c r="AP54" s="27">
        <v>1008</v>
      </c>
      <c r="AQ54" s="27">
        <v>409</v>
      </c>
      <c r="AR54" s="27">
        <v>1091</v>
      </c>
      <c r="AS54" s="27">
        <v>1102</v>
      </c>
      <c r="AT54" s="27">
        <v>1160</v>
      </c>
      <c r="AU54" s="27">
        <v>140</v>
      </c>
      <c r="AV54" s="28">
        <v>214</v>
      </c>
      <c r="AW54" s="28">
        <v>1234</v>
      </c>
      <c r="AX54" s="28">
        <v>491</v>
      </c>
      <c r="AY54" s="28">
        <v>410</v>
      </c>
      <c r="AZ54" s="28">
        <v>1570</v>
      </c>
      <c r="BA54" s="28">
        <v>78</v>
      </c>
      <c r="BB54" s="28">
        <v>58</v>
      </c>
      <c r="BC54" s="28">
        <v>198</v>
      </c>
      <c r="BD54" s="29">
        <v>58</v>
      </c>
      <c r="BE54" s="28">
        <v>170</v>
      </c>
      <c r="BF54" s="33">
        <v>391</v>
      </c>
      <c r="BG54" s="32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BE54-1F4F-4EFF-BF56-325D06FA3DCE}">
  <sheetPr>
    <tabColor theme="4" tint="0.59999389629810485"/>
  </sheetPr>
  <dimension ref="A1:AR54"/>
  <sheetViews>
    <sheetView workbookViewId="0">
      <pane xSplit="1" ySplit="9" topLeftCell="T10" activePane="bottomRight" state="frozen"/>
      <selection activeCell="DV4" sqref="DV4"/>
      <selection pane="topRight" activeCell="DV4" sqref="DV4"/>
      <selection pane="bottomLeft" activeCell="DV4" sqref="DV4"/>
      <selection pane="bottomRight" activeCell="DV4" sqref="DV4"/>
    </sheetView>
  </sheetViews>
  <sheetFormatPr defaultRowHeight="14.5" x14ac:dyDescent="0.35"/>
  <sheetData>
    <row r="1" spans="1:44" x14ac:dyDescent="0.35">
      <c r="A1" t="s">
        <v>144</v>
      </c>
      <c r="B1" t="s">
        <v>140</v>
      </c>
      <c r="C1" t="s">
        <v>140</v>
      </c>
      <c r="D1" t="s">
        <v>140</v>
      </c>
      <c r="E1" t="s">
        <v>140</v>
      </c>
      <c r="F1" t="s">
        <v>140</v>
      </c>
      <c r="G1" t="s">
        <v>140</v>
      </c>
      <c r="H1" t="s">
        <v>140</v>
      </c>
      <c r="I1" t="s">
        <v>140</v>
      </c>
      <c r="J1" t="s">
        <v>140</v>
      </c>
      <c r="K1" t="s">
        <v>140</v>
      </c>
      <c r="L1" t="s">
        <v>140</v>
      </c>
      <c r="M1" t="s">
        <v>140</v>
      </c>
      <c r="N1" t="s">
        <v>140</v>
      </c>
      <c r="O1" t="s">
        <v>140</v>
      </c>
      <c r="P1" t="s">
        <v>140</v>
      </c>
      <c r="Q1" t="s">
        <v>140</v>
      </c>
      <c r="R1" t="s">
        <v>140</v>
      </c>
      <c r="S1" t="s">
        <v>140</v>
      </c>
      <c r="T1" t="s">
        <v>140</v>
      </c>
      <c r="U1" t="s">
        <v>140</v>
      </c>
      <c r="V1" t="s">
        <v>140</v>
      </c>
      <c r="W1" t="s">
        <v>143</v>
      </c>
      <c r="X1" t="s">
        <v>143</v>
      </c>
      <c r="Y1" t="s">
        <v>143</v>
      </c>
      <c r="Z1" t="s">
        <v>143</v>
      </c>
      <c r="AA1" t="s">
        <v>143</v>
      </c>
      <c r="AB1" t="s">
        <v>143</v>
      </c>
      <c r="AC1" t="s">
        <v>143</v>
      </c>
      <c r="AD1" t="s">
        <v>143</v>
      </c>
      <c r="AE1" t="s">
        <v>143</v>
      </c>
      <c r="AF1" t="s">
        <v>143</v>
      </c>
      <c r="AG1" t="s">
        <v>143</v>
      </c>
      <c r="AH1" t="s">
        <v>143</v>
      </c>
      <c r="AI1" t="s">
        <v>143</v>
      </c>
      <c r="AJ1" t="s">
        <v>143</v>
      </c>
      <c r="AK1" t="s">
        <v>143</v>
      </c>
      <c r="AL1" t="s">
        <v>143</v>
      </c>
      <c r="AM1" t="s">
        <v>143</v>
      </c>
      <c r="AN1" t="s">
        <v>143</v>
      </c>
      <c r="AO1" t="s">
        <v>143</v>
      </c>
      <c r="AP1" t="s">
        <v>143</v>
      </c>
      <c r="AQ1" t="s">
        <v>143</v>
      </c>
      <c r="AR1" t="s">
        <v>143</v>
      </c>
    </row>
    <row r="2" spans="1:44" x14ac:dyDescent="0.35">
      <c r="A2" t="s">
        <v>82</v>
      </c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142</v>
      </c>
      <c r="AG2" t="s">
        <v>142</v>
      </c>
      <c r="AH2" t="s">
        <v>142</v>
      </c>
      <c r="AI2" t="s">
        <v>142</v>
      </c>
      <c r="AJ2" t="s">
        <v>142</v>
      </c>
      <c r="AK2" t="s">
        <v>142</v>
      </c>
      <c r="AL2" t="s">
        <v>142</v>
      </c>
      <c r="AM2" t="s">
        <v>142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</row>
    <row r="3" spans="1:44" x14ac:dyDescent="0.35">
      <c r="A3" t="s">
        <v>145</v>
      </c>
      <c r="B3" t="str">
        <f>IF(B$1="Export",INDEX(CodesIndex!$J$3:$J$24,MATCH(B$4,CodesIndex!$I$3:$I$24,0)),IF(B$1="Import",INDEX(CodesIndex!$L$3:$L$200,MATCH(B$4,CodesIndex!$K$3:$K$200,0))))</f>
        <v>Crude foodstuffs, excluding tobacco</v>
      </c>
      <c r="C3" t="str">
        <f>IF(C$1="Export",INDEX(CodesIndex!$J$3:$J$24,MATCH(C$4,CodesIndex!$I$3:$I$24,0)),IF(C$1="Import",INDEX(CodesIndex!$L$3:$L$200,MATCH(C$4,CodesIndex!$K$3:$K$200,0))))</f>
        <v>Crude foodstuffs, including tobacco</v>
      </c>
      <c r="D3" t="str">
        <f>IF(D$1="Export",INDEX(CodesIndex!$J$3:$J$24,MATCH(D$4,CodesIndex!$I$3:$I$24,0)),IF(D$1="Import",INDEX(CodesIndex!$L$3:$L$200,MATCH(D$4,CodesIndex!$K$3:$K$200,0))))</f>
        <v>Manufactured foodstuffs, excluding tobacco</v>
      </c>
      <c r="E3" t="str">
        <f>IF(E$1="Export",INDEX(CodesIndex!$J$3:$J$24,MATCH(E$4,CodesIndex!$I$3:$I$24,0)),IF(E$1="Import",INDEX(CodesIndex!$L$3:$L$200,MATCH(E$4,CodesIndex!$K$3:$K$200,0))))</f>
        <v>Manufactured foodstuffs, including tobacco</v>
      </c>
      <c r="F3" t="str">
        <f>IF(F$1="Export",INDEX(CodesIndex!$J$3:$J$24,MATCH(F$4,CodesIndex!$I$3:$I$24,0)),IF(F$1="Import",INDEX(CodesIndex!$L$3:$L$200,MATCH(F$4,CodesIndex!$K$3:$K$200,0))))</f>
        <v>Agricultural foodstuffs, excluding tobacco</v>
      </c>
      <c r="G3" t="str">
        <f>IF(G$1="Export",INDEX(CodesIndex!$J$3:$J$24,MATCH(G$4,CodesIndex!$I$3:$I$24,0)),IF(G$1="Import",INDEX(CodesIndex!$L$3:$L$200,MATCH(G$4,CodesIndex!$K$3:$K$200,0))))</f>
        <v>Agricultural foodstuffs, including tobacco</v>
      </c>
      <c r="H3" t="str">
        <f>IF(H$1="Export",INDEX(CodesIndex!$J$3:$J$24,MATCH(H$4,CodesIndex!$I$3:$I$24,0)),IF(H$1="Import",INDEX(CodesIndex!$L$3:$L$200,MATCH(H$4,CodesIndex!$K$3:$K$200,0))))</f>
        <v>Foodstuffs, excluding tobacco and products</v>
      </c>
      <c r="I3" t="str">
        <f>IF(I$1="Export",INDEX(CodesIndex!$J$3:$J$24,MATCH(I$4,CodesIndex!$I$3:$I$24,0)),IF(I$1="Import",INDEX(CodesIndex!$L$3:$L$200,MATCH(I$4,CodesIndex!$K$3:$K$200,0))))</f>
        <v>Foodstuffs, including tobacco and products</v>
      </c>
      <c r="J3" t="str">
        <f>IF(J$1="Export",INDEX(CodesIndex!$J$3:$J$24,MATCH(J$4,CodesIndex!$I$3:$I$24,0)),IF(J$1="Import",INDEX(CodesIndex!$L$3:$L$200,MATCH(J$4,CodesIndex!$K$3:$K$200,0))))</f>
        <v>Agricultural products</v>
      </c>
      <c r="K3" t="str">
        <f>IF(K$1="Export",INDEX(CodesIndex!$J$3:$J$24,MATCH(K$4,CodesIndex!$I$3:$I$24,0)),IF(K$1="Import",INDEX(CodesIndex!$L$3:$L$200,MATCH(K$4,CodesIndex!$K$3:$K$200,0))))</f>
        <v>Products of animal or vegetable origin, excluding printed matter and rubber products</v>
      </c>
      <c r="L3" t="str">
        <f>IF(L$1="Export",INDEX(CodesIndex!$J$3:$J$24,MATCH(L$4,CodesIndex!$I$3:$I$24,0)),IF(L$1="Import",INDEX(CodesIndex!$L$3:$L$200,MATCH(L$4,CodesIndex!$K$3:$K$200,0))))</f>
        <v>Crude materials, excluding tobacco</v>
      </c>
      <c r="M3" t="str">
        <f>IF(M$1="Export",INDEX(CodesIndex!$J$3:$J$24,MATCH(M$4,CodesIndex!$I$3:$I$24,0)),IF(M$1="Import",INDEX(CodesIndex!$L$3:$L$200,MATCH(M$4,CodesIndex!$K$3:$K$200,0))))</f>
        <v>Crude materials, including tobacco</v>
      </c>
      <c r="N3" t="str">
        <f>IF(N$1="Export",INDEX(CodesIndex!$J$3:$J$24,MATCH(N$4,CodesIndex!$I$3:$I$24,0)),IF(N$1="Import",INDEX(CodesIndex!$L$3:$L$200,MATCH(N$4,CodesIndex!$K$3:$K$200,0))))</f>
        <v>Semimanufactured products</v>
      </c>
      <c r="O3" t="str">
        <f>IF(O$1="Export",INDEX(CodesIndex!$J$3:$J$24,MATCH(O$4,CodesIndex!$I$3:$I$24,0)),IF(O$1="Import",INDEX(CodesIndex!$L$3:$L$200,MATCH(O$4,CodesIndex!$K$3:$K$200,0))))</f>
        <v>Manufactured products, excluding tobacco manufactures</v>
      </c>
      <c r="P3" t="str">
        <f>IF(P$1="Export",INDEX(CodesIndex!$J$3:$J$24,MATCH(P$4,CodesIndex!$I$3:$I$24,0)),IF(P$1="Import",INDEX(CodesIndex!$L$3:$L$200,MATCH(P$4,CodesIndex!$K$3:$K$200,0))))</f>
        <v>Manufactured products, including tobacco manufactures</v>
      </c>
      <c r="Q3" t="str">
        <f>IF(Q$1="Export",INDEX(CodesIndex!$J$3:$J$24,MATCH(Q$4,CodesIndex!$I$3:$I$24,0)),IF(Q$1="Import",INDEX(CodesIndex!$L$3:$L$200,MATCH(Q$4,CodesIndex!$K$3:$K$200,0))))</f>
        <v>Crude materials and semimanufactures, excluding tobacco</v>
      </c>
      <c r="R3" t="str">
        <f>IF(R$1="Export",INDEX(CodesIndex!$J$3:$J$24,MATCH(R$4,CodesIndex!$I$3:$I$24,0)),IF(R$1="Import",INDEX(CodesIndex!$L$3:$L$200,MATCH(R$4,CodesIndex!$K$3:$K$200,0))))</f>
        <v>Crude materials and semimanufactures, including tobacco</v>
      </c>
      <c r="S3" t="str">
        <f>IF(S$1="Export",INDEX(CodesIndex!$J$3:$J$24,MATCH(S$4,CodesIndex!$I$3:$I$24,0)),IF(S$1="Import",INDEX(CodesIndex!$L$3:$L$200,MATCH(S$4,CodesIndex!$K$3:$K$200,0))))</f>
        <v>Crude materials, semimanufactures and foods, including tobacco and products</v>
      </c>
      <c r="T3" t="str">
        <f>IF(T$1="Export",INDEX(CodesIndex!$J$3:$J$24,MATCH(T$4,CodesIndex!$I$3:$I$24,0)),IF(T$1="Import",INDEX(CodesIndex!$L$3:$L$200,MATCH(T$4,CodesIndex!$K$3:$K$200,0))))</f>
        <v>Total exports, excluding "all other articles, n.e.s."</v>
      </c>
      <c r="U3" t="str">
        <f>IF(U$1="Export",INDEX(CodesIndex!$J$3:$J$24,MATCH(U$4,CodesIndex!$I$3:$I$24,0)),IF(U$1="Import",INDEX(CodesIndex!$L$3:$L$200,MATCH(U$4,CodesIndex!$K$3:$K$200,0))))</f>
        <v>Total products other than those of animal or vegetable origin</v>
      </c>
      <c r="V3" t="str">
        <f>IF(V$1="Export",INDEX(CodesIndex!$J$3:$J$24,MATCH(V$4,CodesIndex!$I$3:$I$24,0)),IF(V$1="Import",INDEX(CodesIndex!$L$3:$L$200,MATCH(V$4,CodesIndex!$K$3:$K$200,0))))</f>
        <v>Total nonagricultural products</v>
      </c>
      <c r="W3" t="str">
        <f>IF(W$1="Export",INDEX(CodesIndex!$J$3:$J$24,MATCH(W$4,CodesIndex!$I$3:$I$24,0)),IF(W$1="Import",INDEX(CodesIndex!$L$3:$L$200,MATCH(W$4,CodesIndex!$K$3:$K$200,0))))</f>
        <v>Crude foodstuffs, excluding tobacco</v>
      </c>
      <c r="X3" t="str">
        <f>IF(X$1="Export",INDEX(CodesIndex!$J$3:$J$24,MATCH(X$4,CodesIndex!$I$3:$I$24,0)),IF(X$1="Import",INDEX(CodesIndex!$L$3:$L$200,MATCH(X$4,CodesIndex!$K$3:$K$200,0))))</f>
        <v>Crude foodstuffs, including tobacco</v>
      </c>
      <c r="Y3" t="str">
        <f>IF(Y$1="Export",INDEX(CodesIndex!$J$3:$J$24,MATCH(Y$4,CodesIndex!$I$3:$I$24,0)),IF(Y$1="Import",INDEX(CodesIndex!$L$3:$L$200,MATCH(Y$4,CodesIndex!$K$3:$K$200,0))))</f>
        <v>Manufactured foodstuffs, excluding tobacco</v>
      </c>
      <c r="Z3" t="str">
        <f>IF(Z$1="Export",INDEX(CodesIndex!$J$3:$J$24,MATCH(Z$4,CodesIndex!$I$3:$I$24,0)),IF(Z$1="Import",INDEX(CodesIndex!$L$3:$L$200,MATCH(Z$4,CodesIndex!$K$3:$K$200,0))))</f>
        <v>Manufactured foodstuffs, including tobacco</v>
      </c>
      <c r="AA3" t="str">
        <f>IF(AA$1="Export",INDEX(CodesIndex!$J$3:$J$24,MATCH(AA$4,CodesIndex!$I$3:$I$24,0)),IF(AA$1="Import",INDEX(CodesIndex!$L$3:$L$200,MATCH(AA$4,CodesIndex!$K$3:$K$200,0))))</f>
        <v>Agricultural foodstuffs, excluding tobacco</v>
      </c>
      <c r="AB3" t="str">
        <f>IF(AB$1="Export",INDEX(CodesIndex!$J$3:$J$24,MATCH(AB$4,CodesIndex!$I$3:$I$24,0)),IF(AB$1="Import",INDEX(CodesIndex!$L$3:$L$200,MATCH(AB$4,CodesIndex!$K$3:$K$200,0))))</f>
        <v>Agricultural foodstuffs, including tobacco</v>
      </c>
      <c r="AC3" t="str">
        <f>IF(AC$1="Export",INDEX(CodesIndex!$J$3:$J$24,MATCH(AC$4,CodesIndex!$I$3:$I$24,0)),IF(AC$1="Import",INDEX(CodesIndex!$L$3:$L$200,MATCH(AC$4,CodesIndex!$K$3:$K$200,0))))</f>
        <v>Foodstuffs, excluding tobacco and products</v>
      </c>
      <c r="AD3" t="str">
        <f>IF(AD$1="Export",INDEX(CodesIndex!$J$3:$J$24,MATCH(AD$4,CodesIndex!$I$3:$I$24,0)),IF(AD$1="Import",INDEX(CodesIndex!$L$3:$L$200,MATCH(AD$4,CodesIndex!$K$3:$K$200,0))))</f>
        <v>Foodstuffs, including tobacco and products</v>
      </c>
      <c r="AE3" t="str">
        <f>IF(AE$1="Export",INDEX(CodesIndex!$J$3:$J$24,MATCH(AE$4,CodesIndex!$I$3:$I$24,0)),IF(AE$1="Import",INDEX(CodesIndex!$L$3:$L$200,MATCH(AE$4,CodesIndex!$K$3:$K$200,0))))</f>
        <v>Agricultural products</v>
      </c>
      <c r="AF3" t="str">
        <f>IF(AF$1="Export",INDEX(CodesIndex!$J$3:$J$24,MATCH(AF$4,CodesIndex!$I$3:$I$24,0)),IF(AF$1="Import",INDEX(CodesIndex!$L$3:$L$200,MATCH(AF$4,CodesIndex!$K$3:$K$200,0))))</f>
        <v>Products of animal or vegetable origin</v>
      </c>
      <c r="AG3" t="str">
        <f>IF(AG$1="Export",INDEX(CodesIndex!$J$3:$J$24,MATCH(AG$4,CodesIndex!$I$3:$I$24,0)),IF(AG$1="Import",INDEX(CodesIndex!$L$3:$L$200,MATCH(AG$4,CodesIndex!$K$3:$K$200,0))))</f>
        <v>Crude materials, excluding tobacco</v>
      </c>
      <c r="AH3" t="str">
        <f>IF(AH$1="Export",INDEX(CodesIndex!$J$3:$J$24,MATCH(AH$4,CodesIndex!$I$3:$I$24,0)),IF(AH$1="Import",INDEX(CodesIndex!$L$3:$L$200,MATCH(AH$4,CodesIndex!$K$3:$K$200,0))))</f>
        <v>Crude materials, including tobacco</v>
      </c>
      <c r="AI3" t="str">
        <f>IF(AI$1="Export",INDEX(CodesIndex!$J$3:$J$24,MATCH(AI$4,CodesIndex!$I$3:$I$24,0)),IF(AI$1="Import",INDEX(CodesIndex!$L$3:$L$200,MATCH(AI$4,CodesIndex!$K$3:$K$200,0))))</f>
        <v>Semimanufactured products</v>
      </c>
      <c r="AJ3" t="str">
        <f>IF(AJ$1="Export",INDEX(CodesIndex!$J$3:$J$24,MATCH(AJ$4,CodesIndex!$I$3:$I$24,0)),IF(AJ$1="Import",INDEX(CodesIndex!$L$3:$L$200,MATCH(AJ$4,CodesIndex!$K$3:$K$200,0))))</f>
        <v>Crude materials and semimanufactured products</v>
      </c>
      <c r="AK3" t="str">
        <f>IF(AK$1="Export",INDEX(CodesIndex!$J$3:$J$24,MATCH(AK$4,CodesIndex!$I$3:$I$24,0)),IF(AK$1="Import",INDEX(CodesIndex!$L$3:$L$200,MATCH(AK$4,CodesIndex!$K$3:$K$200,0))))</f>
        <v>Crude materials, including tobacco; and semimanufactured products</v>
      </c>
      <c r="AL3" t="str">
        <f>IF(AL$1="Export",INDEX(CodesIndex!$J$3:$J$24,MATCH(AL$4,CodesIndex!$I$3:$I$24,0)),IF(AL$1="Import",INDEX(CodesIndex!$L$3:$L$200,MATCH(AL$4,CodesIndex!$K$3:$K$200,0))))</f>
        <v>Crude materials, semimanufactured products, and foods, including tobacco and products</v>
      </c>
      <c r="AM3" t="str">
        <f>IF(AM$1="Export",INDEX(CodesIndex!$J$3:$J$24,MATCH(AM$4,CodesIndex!$I$3:$I$24,0)),IF(AM$1="Import",INDEX(CodesIndex!$L$3:$L$200,MATCH(AM$4,CodesIndex!$K$3:$K$200,0))))</f>
        <v>Manufactured products, excluding tobacco</v>
      </c>
      <c r="AN3" t="str">
        <f>IF(AN$1="Export",INDEX(CodesIndex!$J$3:$J$24,MATCH(AN$4,CodesIndex!$I$3:$I$24,0)),IF(AN$1="Import",INDEX(CodesIndex!$L$3:$L$200,MATCH(AN$4,CodesIndex!$K$3:$K$200,0))))</f>
        <v>Manufactured products, including tobacco</v>
      </c>
      <c r="AO3" t="str">
        <f>IF(AO$1="Export",INDEX(CodesIndex!$J$3:$J$24,MATCH(AO$4,CodesIndex!$I$3:$I$24,0)),IF(AO$1="Import",INDEX(CodesIndex!$L$3:$L$200,MATCH(AO$4,CodesIndex!$K$3:$K$200,0))))</f>
        <v>Total, excluding "all other articles n.e.s." and art works</v>
      </c>
      <c r="AP3" t="str">
        <f>IF(AP$1="Export",INDEX(CodesIndex!$J$3:$J$24,MATCH(AP$4,CodesIndex!$I$3:$I$24,0)),IF(AP$1="Import",INDEX(CodesIndex!$L$3:$L$200,MATCH(AP$4,CodesIndex!$K$3:$K$200,0))))</f>
        <v>Manufactured products, including tobacco products and art works</v>
      </c>
      <c r="AQ3" t="str">
        <f>IF(AQ$1="Export",INDEX(CodesIndex!$J$3:$J$24,MATCH(AQ$4,CodesIndex!$I$3:$I$24,0)),IF(AQ$1="Import",INDEX(CodesIndex!$L$3:$L$200,MATCH(AQ$4,CodesIndex!$K$3:$K$200,0))))</f>
        <v>Total products of mineral origin</v>
      </c>
      <c r="AR3" t="str">
        <f>IF(AR$1="Export",INDEX(CodesIndex!$J$3:$J$24,MATCH(AR$4,CodesIndex!$I$3:$I$24,0)),IF(AR$1="Import",INDEX(CodesIndex!$L$3:$L$200,MATCH(AR$4,CodesIndex!$K$3:$K$200,0))))</f>
        <v>Total nonagricultural products</v>
      </c>
    </row>
    <row r="4" spans="1:44" x14ac:dyDescent="0.35">
      <c r="A4" s="5" t="s">
        <v>146</v>
      </c>
      <c r="B4" s="6">
        <v>201</v>
      </c>
      <c r="C4" s="6">
        <v>202</v>
      </c>
      <c r="D4" s="6">
        <v>203</v>
      </c>
      <c r="E4" s="6">
        <v>204</v>
      </c>
      <c r="F4" s="6">
        <v>205</v>
      </c>
      <c r="G4" s="6">
        <v>206</v>
      </c>
      <c r="H4" s="6">
        <v>207</v>
      </c>
      <c r="I4" s="6">
        <v>208</v>
      </c>
      <c r="J4" s="6">
        <v>209</v>
      </c>
      <c r="K4" s="6">
        <v>210</v>
      </c>
      <c r="L4" s="6">
        <v>211</v>
      </c>
      <c r="M4" s="6">
        <v>212</v>
      </c>
      <c r="N4" s="6">
        <v>213</v>
      </c>
      <c r="O4" s="6">
        <v>214</v>
      </c>
      <c r="P4" s="6">
        <v>215</v>
      </c>
      <c r="Q4" s="6">
        <v>216</v>
      </c>
      <c r="R4" s="6">
        <v>217</v>
      </c>
      <c r="S4" s="6">
        <v>218</v>
      </c>
      <c r="T4" s="6">
        <v>219</v>
      </c>
      <c r="U4" s="6">
        <v>221</v>
      </c>
      <c r="V4" s="6">
        <v>222</v>
      </c>
      <c r="W4" s="6">
        <v>201</v>
      </c>
      <c r="X4" s="6">
        <v>202</v>
      </c>
      <c r="Y4" s="6">
        <v>203</v>
      </c>
      <c r="Z4" s="6">
        <v>204</v>
      </c>
      <c r="AA4" s="6">
        <v>205</v>
      </c>
      <c r="AB4" s="6">
        <v>206</v>
      </c>
      <c r="AC4" s="6">
        <v>207</v>
      </c>
      <c r="AD4" s="6">
        <v>208</v>
      </c>
      <c r="AE4" s="6">
        <v>209</v>
      </c>
      <c r="AF4" s="6">
        <v>210</v>
      </c>
      <c r="AG4" s="6">
        <v>211</v>
      </c>
      <c r="AH4" s="6">
        <v>212</v>
      </c>
      <c r="AI4" s="6">
        <v>213</v>
      </c>
      <c r="AJ4" s="6">
        <v>214</v>
      </c>
      <c r="AK4" s="6">
        <v>215</v>
      </c>
      <c r="AL4" s="6">
        <v>216</v>
      </c>
      <c r="AM4" s="6">
        <v>217</v>
      </c>
      <c r="AN4" s="6">
        <v>218</v>
      </c>
      <c r="AO4" s="6">
        <v>219</v>
      </c>
      <c r="AP4" s="6">
        <v>220</v>
      </c>
      <c r="AQ4" s="6">
        <v>222</v>
      </c>
      <c r="AR4" s="6">
        <v>223</v>
      </c>
    </row>
    <row r="5" spans="1:44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3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3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35">
      <c r="A10" s="7">
        <v>1879</v>
      </c>
      <c r="B10" s="6">
        <v>230</v>
      </c>
      <c r="C10" s="6">
        <v>244</v>
      </c>
      <c r="D10" s="6">
        <v>175</v>
      </c>
      <c r="E10" s="6">
        <v>177</v>
      </c>
      <c r="F10" s="6">
        <v>398</v>
      </c>
      <c r="G10" s="6">
        <v>412</v>
      </c>
      <c r="H10" s="6">
        <v>405</v>
      </c>
      <c r="I10" s="6">
        <v>421</v>
      </c>
      <c r="J10" s="6">
        <v>617</v>
      </c>
      <c r="K10" s="6">
        <v>653</v>
      </c>
      <c r="L10" s="6">
        <v>214</v>
      </c>
      <c r="M10" s="6">
        <v>229</v>
      </c>
      <c r="N10" s="6">
        <v>30</v>
      </c>
      <c r="O10" s="6">
        <v>82</v>
      </c>
      <c r="P10" s="6">
        <v>85</v>
      </c>
      <c r="Q10" s="6">
        <v>244</v>
      </c>
      <c r="R10" s="6">
        <v>258</v>
      </c>
      <c r="S10" s="6">
        <v>665</v>
      </c>
      <c r="T10" s="8">
        <v>747</v>
      </c>
      <c r="U10" s="8">
        <v>75</v>
      </c>
      <c r="V10" s="8">
        <v>129</v>
      </c>
      <c r="W10" s="6">
        <v>102</v>
      </c>
      <c r="X10" s="6">
        <v>106</v>
      </c>
      <c r="Y10" s="6">
        <v>82</v>
      </c>
      <c r="Z10" s="6">
        <v>85</v>
      </c>
      <c r="AA10" s="6">
        <v>180</v>
      </c>
      <c r="AB10" s="6">
        <v>183</v>
      </c>
      <c r="AC10" s="6">
        <v>184</v>
      </c>
      <c r="AD10" s="6">
        <v>190</v>
      </c>
      <c r="AE10" s="6">
        <v>252</v>
      </c>
      <c r="AF10" s="6">
        <v>392</v>
      </c>
      <c r="AG10" s="6">
        <v>82</v>
      </c>
      <c r="AH10" s="6">
        <v>85</v>
      </c>
      <c r="AI10" s="6">
        <v>77</v>
      </c>
      <c r="AJ10" s="6">
        <v>159</v>
      </c>
      <c r="AK10" s="6">
        <v>162</v>
      </c>
      <c r="AL10" s="6">
        <v>349</v>
      </c>
      <c r="AM10" s="6">
        <v>132</v>
      </c>
      <c r="AN10" s="6">
        <v>134</v>
      </c>
      <c r="AO10" s="6">
        <v>481</v>
      </c>
      <c r="AP10" s="6">
        <v>136</v>
      </c>
      <c r="AQ10" s="6">
        <v>89</v>
      </c>
      <c r="AR10" s="6">
        <v>226</v>
      </c>
    </row>
    <row r="11" spans="1:44" x14ac:dyDescent="0.35">
      <c r="A11" s="7">
        <v>1880</v>
      </c>
      <c r="B11" s="6">
        <v>258</v>
      </c>
      <c r="C11" s="6">
        <v>276</v>
      </c>
      <c r="D11" s="6">
        <v>212</v>
      </c>
      <c r="E11" s="6">
        <v>214</v>
      </c>
      <c r="F11" s="6">
        <v>463</v>
      </c>
      <c r="G11" s="6">
        <v>481</v>
      </c>
      <c r="H11" s="6">
        <v>470</v>
      </c>
      <c r="I11" s="6">
        <v>491</v>
      </c>
      <c r="J11" s="6">
        <v>735</v>
      </c>
      <c r="K11" s="6">
        <v>776</v>
      </c>
      <c r="L11" s="6">
        <v>265</v>
      </c>
      <c r="M11" s="6">
        <v>284</v>
      </c>
      <c r="N11" s="6">
        <v>31</v>
      </c>
      <c r="O11" s="6">
        <v>82</v>
      </c>
      <c r="P11" s="6">
        <v>84</v>
      </c>
      <c r="Q11" s="6">
        <v>296</v>
      </c>
      <c r="R11" s="8">
        <v>315</v>
      </c>
      <c r="S11" s="8">
        <v>787</v>
      </c>
      <c r="T11" s="8">
        <v>869</v>
      </c>
      <c r="U11" s="8">
        <v>72</v>
      </c>
      <c r="V11" s="8">
        <v>131</v>
      </c>
      <c r="W11" s="6">
        <v>104</v>
      </c>
      <c r="X11" s="6">
        <v>109</v>
      </c>
      <c r="Y11" s="6">
        <v>110</v>
      </c>
      <c r="Z11" s="6">
        <v>112</v>
      </c>
      <c r="AA11" s="6">
        <v>209</v>
      </c>
      <c r="AB11" s="6">
        <v>214</v>
      </c>
      <c r="AC11" s="6">
        <v>214</v>
      </c>
      <c r="AD11" s="6">
        <v>222</v>
      </c>
      <c r="AE11" s="6">
        <v>309</v>
      </c>
      <c r="AF11" s="6">
        <v>498</v>
      </c>
      <c r="AG11" s="6">
        <v>115</v>
      </c>
      <c r="AH11" s="6">
        <v>120</v>
      </c>
      <c r="AI11" s="6">
        <v>129</v>
      </c>
      <c r="AJ11" s="6">
        <v>244</v>
      </c>
      <c r="AK11" s="6">
        <v>249</v>
      </c>
      <c r="AL11" s="6">
        <v>465</v>
      </c>
      <c r="AM11" s="6">
        <v>191</v>
      </c>
      <c r="AN11" s="6">
        <v>194</v>
      </c>
      <c r="AO11" s="6">
        <v>657</v>
      </c>
      <c r="AP11" s="6">
        <v>196</v>
      </c>
      <c r="AQ11" s="6">
        <v>158</v>
      </c>
      <c r="AR11" s="6">
        <v>346</v>
      </c>
    </row>
    <row r="12" spans="1:44" x14ac:dyDescent="0.35">
      <c r="A12" s="7">
        <v>1881</v>
      </c>
      <c r="B12" s="6">
        <v>200</v>
      </c>
      <c r="C12" s="6">
        <v>219</v>
      </c>
      <c r="D12" s="6">
        <v>201</v>
      </c>
      <c r="E12" s="6">
        <v>203</v>
      </c>
      <c r="F12" s="6">
        <v>393</v>
      </c>
      <c r="G12" s="6">
        <v>412</v>
      </c>
      <c r="H12" s="6">
        <v>401</v>
      </c>
      <c r="I12" s="6">
        <v>421</v>
      </c>
      <c r="J12" s="6">
        <v>647</v>
      </c>
      <c r="K12" s="6">
        <v>691</v>
      </c>
      <c r="L12" s="6">
        <v>248</v>
      </c>
      <c r="M12" s="6">
        <v>266</v>
      </c>
      <c r="N12" s="6">
        <v>36</v>
      </c>
      <c r="O12" s="8">
        <v>103</v>
      </c>
      <c r="P12" s="8">
        <v>105</v>
      </c>
      <c r="Q12" s="8">
        <v>284</v>
      </c>
      <c r="R12" s="8">
        <v>302</v>
      </c>
      <c r="S12" s="8">
        <v>705</v>
      </c>
      <c r="T12" s="6">
        <v>808</v>
      </c>
      <c r="U12" s="6">
        <v>93</v>
      </c>
      <c r="V12" s="6">
        <v>159</v>
      </c>
      <c r="W12" s="6">
        <v>111</v>
      </c>
      <c r="X12" s="6">
        <v>116</v>
      </c>
      <c r="Y12" s="6">
        <v>112</v>
      </c>
      <c r="Z12" s="6">
        <v>115</v>
      </c>
      <c r="AA12" s="6">
        <v>217</v>
      </c>
      <c r="AB12" s="6">
        <v>222</v>
      </c>
      <c r="AC12" s="6">
        <v>223</v>
      </c>
      <c r="AD12" s="6">
        <v>231</v>
      </c>
      <c r="AE12" s="6">
        <v>305</v>
      </c>
      <c r="AF12" s="6">
        <v>486</v>
      </c>
      <c r="AG12" s="6">
        <v>102</v>
      </c>
      <c r="AH12" s="6">
        <v>107</v>
      </c>
      <c r="AI12" s="6">
        <v>110</v>
      </c>
      <c r="AJ12" s="6">
        <v>212</v>
      </c>
      <c r="AK12" s="6">
        <v>217</v>
      </c>
      <c r="AL12" s="6">
        <v>443</v>
      </c>
      <c r="AM12" s="6">
        <v>181</v>
      </c>
      <c r="AN12" s="6">
        <v>184</v>
      </c>
      <c r="AO12" s="6">
        <v>624</v>
      </c>
      <c r="AP12" s="6">
        <v>187</v>
      </c>
      <c r="AQ12" s="6">
        <v>138</v>
      </c>
      <c r="AR12" s="6">
        <v>316</v>
      </c>
    </row>
    <row r="13" spans="1:44" x14ac:dyDescent="0.35">
      <c r="A13" s="7">
        <v>1882</v>
      </c>
      <c r="B13" s="6">
        <v>147</v>
      </c>
      <c r="C13" s="6">
        <v>166</v>
      </c>
      <c r="D13" s="6">
        <v>170</v>
      </c>
      <c r="E13" s="6">
        <v>172</v>
      </c>
      <c r="F13" s="6">
        <v>309</v>
      </c>
      <c r="G13" s="6">
        <v>328</v>
      </c>
      <c r="H13" s="6">
        <v>316</v>
      </c>
      <c r="I13" s="6">
        <v>338</v>
      </c>
      <c r="J13" s="6">
        <v>570</v>
      </c>
      <c r="K13" s="6">
        <v>621</v>
      </c>
      <c r="L13" s="6">
        <v>256</v>
      </c>
      <c r="M13" s="6">
        <v>275</v>
      </c>
      <c r="N13" s="8">
        <v>42</v>
      </c>
      <c r="O13" s="8">
        <v>108</v>
      </c>
      <c r="P13" s="8">
        <v>110</v>
      </c>
      <c r="Q13" s="8">
        <v>299</v>
      </c>
      <c r="R13" s="6">
        <v>318</v>
      </c>
      <c r="S13" s="6">
        <v>637</v>
      </c>
      <c r="T13" s="6">
        <v>744</v>
      </c>
      <c r="U13" s="6">
        <v>98</v>
      </c>
      <c r="V13" s="6">
        <v>171</v>
      </c>
      <c r="W13" s="6">
        <v>116</v>
      </c>
      <c r="X13" s="6">
        <v>122</v>
      </c>
      <c r="Y13" s="6">
        <v>133</v>
      </c>
      <c r="Z13" s="6">
        <v>136</v>
      </c>
      <c r="AA13" s="6">
        <v>242</v>
      </c>
      <c r="AB13" s="6">
        <v>247</v>
      </c>
      <c r="AC13" s="6">
        <v>249</v>
      </c>
      <c r="AD13" s="6">
        <v>258</v>
      </c>
      <c r="AE13" s="6">
        <v>343</v>
      </c>
      <c r="AF13" s="6">
        <v>559</v>
      </c>
      <c r="AG13" s="6">
        <v>120</v>
      </c>
      <c r="AH13" s="6">
        <v>125</v>
      </c>
      <c r="AI13" s="6">
        <v>130</v>
      </c>
      <c r="AJ13" s="6">
        <v>250</v>
      </c>
      <c r="AK13" s="6">
        <v>256</v>
      </c>
      <c r="AL13" s="6">
        <v>508</v>
      </c>
      <c r="AM13" s="6">
        <v>212</v>
      </c>
      <c r="AN13" s="6">
        <v>215</v>
      </c>
      <c r="AO13" s="6">
        <v>720</v>
      </c>
      <c r="AP13" s="6">
        <v>218</v>
      </c>
      <c r="AQ13" s="6">
        <v>160</v>
      </c>
      <c r="AR13" s="6">
        <v>373</v>
      </c>
    </row>
    <row r="14" spans="1:44" x14ac:dyDescent="0.35">
      <c r="A14" s="7">
        <v>1883</v>
      </c>
      <c r="B14" s="6">
        <v>142</v>
      </c>
      <c r="C14" s="6">
        <v>162</v>
      </c>
      <c r="D14" s="6">
        <v>197</v>
      </c>
      <c r="E14" s="6">
        <v>200</v>
      </c>
      <c r="F14" s="6">
        <v>333</v>
      </c>
      <c r="G14" s="6">
        <v>352</v>
      </c>
      <c r="H14" s="6">
        <v>340</v>
      </c>
      <c r="I14" s="6">
        <v>362</v>
      </c>
      <c r="J14" s="6">
        <v>593</v>
      </c>
      <c r="K14" s="6">
        <v>640</v>
      </c>
      <c r="L14" s="6">
        <v>257</v>
      </c>
      <c r="M14" s="6">
        <v>277</v>
      </c>
      <c r="N14" s="8">
        <v>43</v>
      </c>
      <c r="O14" s="6">
        <v>111</v>
      </c>
      <c r="P14" s="6">
        <v>114</v>
      </c>
      <c r="Q14" s="6">
        <v>300</v>
      </c>
      <c r="R14" s="6">
        <v>320</v>
      </c>
      <c r="S14" s="6">
        <v>662</v>
      </c>
      <c r="T14" s="6">
        <v>773</v>
      </c>
      <c r="U14" s="6">
        <v>109</v>
      </c>
      <c r="V14" s="6">
        <v>178</v>
      </c>
      <c r="W14" s="6">
        <v>102</v>
      </c>
      <c r="X14" s="6">
        <v>110</v>
      </c>
      <c r="Y14" s="6">
        <v>125</v>
      </c>
      <c r="Z14" s="6">
        <v>128</v>
      </c>
      <c r="AA14" s="6">
        <v>219</v>
      </c>
      <c r="AB14" s="6">
        <v>228</v>
      </c>
      <c r="AC14" s="6">
        <v>227</v>
      </c>
      <c r="AD14" s="6">
        <v>238</v>
      </c>
      <c r="AE14" s="6">
        <v>315</v>
      </c>
      <c r="AF14" s="6">
        <v>518</v>
      </c>
      <c r="AG14" s="6">
        <v>109</v>
      </c>
      <c r="AH14" s="6">
        <v>117</v>
      </c>
      <c r="AI14" s="6">
        <v>116</v>
      </c>
      <c r="AJ14" s="6">
        <v>225</v>
      </c>
      <c r="AK14" s="6">
        <v>233</v>
      </c>
      <c r="AL14" s="6">
        <v>463</v>
      </c>
      <c r="AM14" s="6">
        <v>191</v>
      </c>
      <c r="AN14" s="6">
        <v>194</v>
      </c>
      <c r="AO14" s="6">
        <v>654</v>
      </c>
      <c r="AP14" s="6">
        <v>196</v>
      </c>
      <c r="AQ14" s="6">
        <v>137</v>
      </c>
      <c r="AR14" s="6">
        <v>336</v>
      </c>
    </row>
    <row r="15" spans="1:44" x14ac:dyDescent="0.35">
      <c r="A15" s="7">
        <v>1884</v>
      </c>
      <c r="B15" s="6">
        <v>118</v>
      </c>
      <c r="C15" s="6">
        <v>137</v>
      </c>
      <c r="D15" s="6">
        <v>186</v>
      </c>
      <c r="E15" s="6">
        <v>188</v>
      </c>
      <c r="F15" s="6">
        <v>291</v>
      </c>
      <c r="G15" s="6">
        <v>311</v>
      </c>
      <c r="H15" s="6">
        <v>303</v>
      </c>
      <c r="I15" s="6">
        <v>326</v>
      </c>
      <c r="J15" s="6">
        <v>548</v>
      </c>
      <c r="K15" s="6">
        <v>601</v>
      </c>
      <c r="L15" s="6">
        <v>259</v>
      </c>
      <c r="M15" s="8">
        <v>279</v>
      </c>
      <c r="N15" s="6">
        <v>42</v>
      </c>
      <c r="O15" s="6">
        <v>104</v>
      </c>
      <c r="P15" s="6">
        <v>106</v>
      </c>
      <c r="Q15" s="6">
        <v>301</v>
      </c>
      <c r="R15" s="6">
        <v>321</v>
      </c>
      <c r="S15" s="6">
        <v>627</v>
      </c>
      <c r="T15" s="6">
        <v>731</v>
      </c>
      <c r="U15" s="6">
        <v>109</v>
      </c>
      <c r="V15" s="6">
        <v>180</v>
      </c>
      <c r="W15" s="6">
        <v>101</v>
      </c>
      <c r="X15" s="6">
        <v>108</v>
      </c>
      <c r="Y15" s="6">
        <v>109</v>
      </c>
      <c r="Z15" s="6">
        <v>113</v>
      </c>
      <c r="AA15" s="6">
        <v>204</v>
      </c>
      <c r="AB15" s="6">
        <v>210</v>
      </c>
      <c r="AC15" s="6">
        <v>211</v>
      </c>
      <c r="AD15" s="6">
        <v>220</v>
      </c>
      <c r="AE15" s="6">
        <v>299</v>
      </c>
      <c r="AF15" s="6">
        <v>491</v>
      </c>
      <c r="AG15" s="6">
        <v>110</v>
      </c>
      <c r="AH15" s="6">
        <v>117</v>
      </c>
      <c r="AI15" s="6">
        <v>101</v>
      </c>
      <c r="AJ15" s="6">
        <v>212</v>
      </c>
      <c r="AK15" s="6">
        <v>218</v>
      </c>
      <c r="AL15" s="6">
        <v>432</v>
      </c>
      <c r="AM15" s="6">
        <v>178</v>
      </c>
      <c r="AN15" s="6">
        <v>181</v>
      </c>
      <c r="AO15" s="6">
        <v>610</v>
      </c>
      <c r="AP15" s="6">
        <v>183</v>
      </c>
      <c r="AQ15" s="6">
        <v>119</v>
      </c>
      <c r="AR15" s="6">
        <v>307</v>
      </c>
    </row>
    <row r="16" spans="1:44" x14ac:dyDescent="0.35">
      <c r="A16" s="7">
        <v>1885</v>
      </c>
      <c r="B16" s="6">
        <v>101</v>
      </c>
      <c r="C16" s="6">
        <v>127</v>
      </c>
      <c r="D16" s="6">
        <v>186</v>
      </c>
      <c r="E16" s="6">
        <v>189</v>
      </c>
      <c r="F16" s="6">
        <v>279</v>
      </c>
      <c r="G16" s="6">
        <v>305</v>
      </c>
      <c r="H16" s="6">
        <v>286</v>
      </c>
      <c r="I16" s="6">
        <v>316</v>
      </c>
      <c r="J16" s="6">
        <v>502</v>
      </c>
      <c r="K16" s="6">
        <v>546</v>
      </c>
      <c r="L16" s="6">
        <v>215</v>
      </c>
      <c r="M16" s="8">
        <v>241</v>
      </c>
      <c r="N16" s="6">
        <v>40</v>
      </c>
      <c r="O16" s="6">
        <v>100</v>
      </c>
      <c r="P16" s="6">
        <v>103</v>
      </c>
      <c r="Q16" s="6">
        <v>255</v>
      </c>
      <c r="R16" s="6">
        <v>282</v>
      </c>
      <c r="S16" s="6">
        <v>571</v>
      </c>
      <c r="T16" s="6">
        <v>671</v>
      </c>
      <c r="U16" s="6">
        <v>103</v>
      </c>
      <c r="V16" s="6">
        <v>166</v>
      </c>
      <c r="W16" s="6">
        <v>95</v>
      </c>
      <c r="X16" s="6">
        <v>104</v>
      </c>
      <c r="Y16" s="6">
        <v>102</v>
      </c>
      <c r="Z16" s="6">
        <v>105</v>
      </c>
      <c r="AA16" s="6">
        <v>191</v>
      </c>
      <c r="AB16" s="6">
        <v>199</v>
      </c>
      <c r="AC16" s="6">
        <v>197</v>
      </c>
      <c r="AD16" s="6">
        <v>209</v>
      </c>
      <c r="AE16" s="6">
        <v>288</v>
      </c>
      <c r="AF16" s="6">
        <v>459</v>
      </c>
      <c r="AG16" s="6">
        <v>108</v>
      </c>
      <c r="AH16" s="6">
        <v>116</v>
      </c>
      <c r="AI16" s="6">
        <v>99</v>
      </c>
      <c r="AJ16" s="6">
        <v>201</v>
      </c>
      <c r="AK16" s="6">
        <v>210</v>
      </c>
      <c r="AL16" s="6">
        <v>410</v>
      </c>
      <c r="AM16" s="6">
        <v>156</v>
      </c>
      <c r="AN16" s="6">
        <v>159</v>
      </c>
      <c r="AO16" s="6">
        <v>566</v>
      </c>
      <c r="AP16" s="6">
        <v>161</v>
      </c>
      <c r="AQ16" s="6">
        <v>107</v>
      </c>
      <c r="AR16" s="6">
        <v>274</v>
      </c>
    </row>
    <row r="17" spans="1:44" x14ac:dyDescent="0.35">
      <c r="A17" s="7">
        <v>1886</v>
      </c>
      <c r="B17" s="6">
        <v>119</v>
      </c>
      <c r="C17" s="6">
        <v>148</v>
      </c>
      <c r="D17" s="6">
        <v>167</v>
      </c>
      <c r="E17" s="6">
        <v>171</v>
      </c>
      <c r="F17" s="6">
        <v>281</v>
      </c>
      <c r="G17" s="6">
        <v>309</v>
      </c>
      <c r="H17" s="6">
        <v>287</v>
      </c>
      <c r="I17" s="6">
        <v>318</v>
      </c>
      <c r="J17" s="6">
        <v>535</v>
      </c>
      <c r="K17" s="6">
        <v>576</v>
      </c>
      <c r="L17" s="6">
        <v>241</v>
      </c>
      <c r="M17" s="6">
        <v>270</v>
      </c>
      <c r="N17" s="6">
        <v>38</v>
      </c>
      <c r="O17" s="6">
        <v>100</v>
      </c>
      <c r="P17" s="6">
        <v>103</v>
      </c>
      <c r="Q17" s="6">
        <v>279</v>
      </c>
      <c r="R17" s="6">
        <v>308</v>
      </c>
      <c r="S17" s="6">
        <v>598</v>
      </c>
      <c r="T17" s="6">
        <v>697</v>
      </c>
      <c r="U17" s="6">
        <v>96</v>
      </c>
      <c r="V17" s="8">
        <v>159</v>
      </c>
      <c r="W17" s="6">
        <v>97</v>
      </c>
      <c r="X17" s="6">
        <v>104</v>
      </c>
      <c r="Y17" s="6">
        <v>109</v>
      </c>
      <c r="Z17" s="6">
        <v>112</v>
      </c>
      <c r="AA17" s="6">
        <v>200</v>
      </c>
      <c r="AB17" s="6">
        <v>207</v>
      </c>
      <c r="AC17" s="6">
        <v>205</v>
      </c>
      <c r="AD17" s="6">
        <v>216</v>
      </c>
      <c r="AE17" s="3">
        <v>314</v>
      </c>
      <c r="AF17" s="6">
        <v>507</v>
      </c>
      <c r="AG17" s="6">
        <v>129</v>
      </c>
      <c r="AH17" s="6">
        <v>136</v>
      </c>
      <c r="AI17" s="6">
        <v>112</v>
      </c>
      <c r="AJ17" s="6">
        <v>241</v>
      </c>
      <c r="AK17" s="6">
        <v>249</v>
      </c>
      <c r="AL17" s="6">
        <v>457</v>
      </c>
      <c r="AM17" s="6">
        <v>182</v>
      </c>
      <c r="AN17" s="6">
        <v>185</v>
      </c>
      <c r="AO17" s="6">
        <v>639</v>
      </c>
      <c r="AP17" s="6">
        <v>187</v>
      </c>
      <c r="AQ17" s="6">
        <v>132</v>
      </c>
      <c r="AR17" s="6">
        <v>321</v>
      </c>
    </row>
    <row r="18" spans="1:44" x14ac:dyDescent="0.35">
      <c r="A18" s="7">
        <v>1887</v>
      </c>
      <c r="B18" s="6">
        <v>116</v>
      </c>
      <c r="C18" s="6">
        <v>137</v>
      </c>
      <c r="D18" s="6">
        <v>172</v>
      </c>
      <c r="E18" s="6">
        <v>175</v>
      </c>
      <c r="F18" s="6">
        <v>283</v>
      </c>
      <c r="G18" s="6">
        <v>304</v>
      </c>
      <c r="H18" s="6">
        <v>288</v>
      </c>
      <c r="I18" s="6">
        <v>312</v>
      </c>
      <c r="J18" s="6">
        <v>532</v>
      </c>
      <c r="K18" s="6">
        <v>577</v>
      </c>
      <c r="L18" s="6">
        <v>247</v>
      </c>
      <c r="M18" s="6">
        <v>268</v>
      </c>
      <c r="N18" s="6">
        <v>42</v>
      </c>
      <c r="O18" s="6">
        <v>100</v>
      </c>
      <c r="P18" s="6">
        <v>103</v>
      </c>
      <c r="Q18" s="6">
        <v>289</v>
      </c>
      <c r="R18" s="6">
        <v>310</v>
      </c>
      <c r="S18" s="6">
        <v>601</v>
      </c>
      <c r="T18" s="8">
        <v>701</v>
      </c>
      <c r="U18" s="8">
        <v>100</v>
      </c>
      <c r="V18" s="8">
        <v>165</v>
      </c>
      <c r="W18" s="6">
        <v>120</v>
      </c>
      <c r="X18" s="6">
        <v>131</v>
      </c>
      <c r="Y18" s="6">
        <v>97</v>
      </c>
      <c r="Z18" s="6">
        <v>100</v>
      </c>
      <c r="AA18" s="6">
        <v>210</v>
      </c>
      <c r="AB18" s="6">
        <v>221</v>
      </c>
      <c r="AC18" s="6">
        <v>217</v>
      </c>
      <c r="AD18" s="6">
        <v>231</v>
      </c>
      <c r="AE18" s="6">
        <v>327</v>
      </c>
      <c r="AF18" s="6">
        <v>528</v>
      </c>
      <c r="AG18" s="6">
        <v>128</v>
      </c>
      <c r="AH18" s="6">
        <v>139</v>
      </c>
      <c r="AI18" s="6">
        <v>127</v>
      </c>
      <c r="AJ18" s="6">
        <v>255</v>
      </c>
      <c r="AK18" s="6">
        <v>266</v>
      </c>
      <c r="AL18" s="6">
        <v>486</v>
      </c>
      <c r="AM18" s="6">
        <v>194</v>
      </c>
      <c r="AN18" s="6">
        <v>197</v>
      </c>
      <c r="AO18" s="6">
        <v>680</v>
      </c>
      <c r="AP18" s="6">
        <v>200</v>
      </c>
      <c r="AQ18" s="6">
        <v>152</v>
      </c>
      <c r="AR18" s="6">
        <v>349</v>
      </c>
    </row>
    <row r="19" spans="1:44" x14ac:dyDescent="0.35">
      <c r="A19" s="7">
        <v>1888</v>
      </c>
      <c r="B19" s="6">
        <v>81</v>
      </c>
      <c r="C19" s="6">
        <v>100</v>
      </c>
      <c r="D19" s="6">
        <v>161</v>
      </c>
      <c r="E19" s="6">
        <v>165</v>
      </c>
      <c r="F19" s="6">
        <v>236</v>
      </c>
      <c r="G19" s="6">
        <v>254</v>
      </c>
      <c r="H19" s="6">
        <v>243</v>
      </c>
      <c r="I19" s="6">
        <v>265</v>
      </c>
      <c r="J19" s="6">
        <v>494</v>
      </c>
      <c r="K19" s="6">
        <v>541</v>
      </c>
      <c r="L19" s="6">
        <v>263</v>
      </c>
      <c r="M19" s="6">
        <v>282</v>
      </c>
      <c r="N19" s="6">
        <v>46</v>
      </c>
      <c r="O19" s="6">
        <v>103</v>
      </c>
      <c r="P19" s="6">
        <v>107</v>
      </c>
      <c r="Q19" s="6">
        <v>309</v>
      </c>
      <c r="R19" s="6">
        <v>328</v>
      </c>
      <c r="S19" s="6">
        <v>574</v>
      </c>
      <c r="T19" s="9">
        <v>677</v>
      </c>
      <c r="U19" s="9">
        <v>114</v>
      </c>
      <c r="V19" s="6">
        <v>180</v>
      </c>
      <c r="W19" s="6">
        <v>123</v>
      </c>
      <c r="X19" s="6">
        <v>132</v>
      </c>
      <c r="Y19" s="6">
        <v>112</v>
      </c>
      <c r="Z19" s="6">
        <v>115</v>
      </c>
      <c r="AA19" s="6">
        <v>228</v>
      </c>
      <c r="AB19" s="6">
        <v>237</v>
      </c>
      <c r="AC19" s="6">
        <v>235</v>
      </c>
      <c r="AD19" s="6">
        <v>247</v>
      </c>
      <c r="AE19" s="6">
        <v>348</v>
      </c>
      <c r="AF19" s="6">
        <v>556</v>
      </c>
      <c r="AG19" s="6">
        <v>134</v>
      </c>
      <c r="AH19" s="6">
        <v>143</v>
      </c>
      <c r="AI19" s="6">
        <v>116</v>
      </c>
      <c r="AJ19" s="6">
        <v>250</v>
      </c>
      <c r="AK19" s="6">
        <v>259</v>
      </c>
      <c r="AL19" s="6">
        <v>497</v>
      </c>
      <c r="AM19" s="6">
        <v>198</v>
      </c>
      <c r="AN19" s="6">
        <v>202</v>
      </c>
      <c r="AO19" s="6">
        <v>696</v>
      </c>
      <c r="AP19" s="6">
        <v>204</v>
      </c>
      <c r="AQ19" s="6">
        <v>139</v>
      </c>
      <c r="AR19" s="6">
        <v>344</v>
      </c>
    </row>
    <row r="20" spans="1:44" x14ac:dyDescent="0.35">
      <c r="A20" s="7">
        <v>1889</v>
      </c>
      <c r="B20" s="6">
        <v>108</v>
      </c>
      <c r="C20" s="6">
        <v>130</v>
      </c>
      <c r="D20" s="6">
        <v>198</v>
      </c>
      <c r="E20" s="6">
        <v>202</v>
      </c>
      <c r="F20" s="6">
        <v>297</v>
      </c>
      <c r="G20" s="6">
        <v>319</v>
      </c>
      <c r="H20" s="6">
        <v>306</v>
      </c>
      <c r="I20" s="6">
        <v>331</v>
      </c>
      <c r="J20" s="6">
        <v>602</v>
      </c>
      <c r="K20" s="6">
        <v>661</v>
      </c>
      <c r="L20" s="6">
        <v>309</v>
      </c>
      <c r="M20" s="6">
        <v>331</v>
      </c>
      <c r="N20" s="6">
        <v>50</v>
      </c>
      <c r="O20" s="6">
        <v>120</v>
      </c>
      <c r="P20" s="6">
        <v>124</v>
      </c>
      <c r="Q20" s="6">
        <v>359</v>
      </c>
      <c r="R20" s="6">
        <v>381</v>
      </c>
      <c r="S20" s="6">
        <v>691</v>
      </c>
      <c r="T20" s="8">
        <v>810</v>
      </c>
      <c r="U20" s="8">
        <v>128</v>
      </c>
      <c r="V20" s="8">
        <v>205</v>
      </c>
      <c r="W20" s="6">
        <v>123</v>
      </c>
      <c r="X20" s="6">
        <v>137</v>
      </c>
      <c r="Y20" s="6">
        <v>128</v>
      </c>
      <c r="Z20" s="6">
        <v>132</v>
      </c>
      <c r="AA20" s="6">
        <v>245</v>
      </c>
      <c r="AB20" s="6">
        <v>259</v>
      </c>
      <c r="AC20" s="6">
        <v>252</v>
      </c>
      <c r="AD20" s="6">
        <v>270</v>
      </c>
      <c r="AE20" s="6">
        <v>381</v>
      </c>
      <c r="AF20" s="6">
        <v>603</v>
      </c>
      <c r="AG20" s="6">
        <v>147</v>
      </c>
      <c r="AH20" s="6">
        <v>160</v>
      </c>
      <c r="AI20" s="6">
        <v>124</v>
      </c>
      <c r="AJ20" s="6">
        <v>271</v>
      </c>
      <c r="AK20" s="6">
        <v>285</v>
      </c>
      <c r="AL20" s="6">
        <v>541</v>
      </c>
      <c r="AM20" s="6">
        <v>199</v>
      </c>
      <c r="AN20" s="6">
        <v>203</v>
      </c>
      <c r="AO20" s="6">
        <v>740</v>
      </c>
      <c r="AP20" s="6">
        <v>205</v>
      </c>
      <c r="AQ20" s="6">
        <v>137</v>
      </c>
      <c r="AR20" s="6">
        <v>355</v>
      </c>
    </row>
    <row r="21" spans="1:44" x14ac:dyDescent="0.35">
      <c r="A21" s="7">
        <v>1890</v>
      </c>
      <c r="B21" s="6">
        <v>123</v>
      </c>
      <c r="C21" s="6">
        <v>144</v>
      </c>
      <c r="D21" s="6">
        <v>222</v>
      </c>
      <c r="E21" s="6">
        <v>226</v>
      </c>
      <c r="F21" s="6">
        <v>339</v>
      </c>
      <c r="G21" s="6">
        <v>360</v>
      </c>
      <c r="H21" s="6">
        <v>346</v>
      </c>
      <c r="I21" s="6">
        <v>371</v>
      </c>
      <c r="J21" s="6">
        <v>634</v>
      </c>
      <c r="K21" s="6">
        <v>689</v>
      </c>
      <c r="L21" s="6">
        <v>296</v>
      </c>
      <c r="M21" s="6">
        <v>317</v>
      </c>
      <c r="N21" s="6">
        <v>51</v>
      </c>
      <c r="O21" s="6">
        <v>123</v>
      </c>
      <c r="P21" s="6">
        <v>127</v>
      </c>
      <c r="Q21" s="6">
        <v>347</v>
      </c>
      <c r="R21" s="8">
        <v>368</v>
      </c>
      <c r="S21" s="8">
        <v>718</v>
      </c>
      <c r="T21" s="8">
        <v>840</v>
      </c>
      <c r="U21" s="8">
        <v>129</v>
      </c>
      <c r="V21" s="8">
        <v>202</v>
      </c>
      <c r="W21" s="6">
        <v>137</v>
      </c>
      <c r="X21" s="6">
        <v>156</v>
      </c>
      <c r="Y21" s="6">
        <v>128</v>
      </c>
      <c r="Z21" s="6">
        <v>132</v>
      </c>
      <c r="AA21" s="6">
        <v>257</v>
      </c>
      <c r="AB21" s="6">
        <v>275</v>
      </c>
      <c r="AC21" s="6">
        <v>265</v>
      </c>
      <c r="AD21" s="6">
        <v>288</v>
      </c>
      <c r="AE21" s="6">
        <v>395</v>
      </c>
      <c r="AF21" s="6">
        <v>633</v>
      </c>
      <c r="AG21" s="6">
        <v>146</v>
      </c>
      <c r="AH21" s="6">
        <v>164</v>
      </c>
      <c r="AI21" s="6">
        <v>136</v>
      </c>
      <c r="AJ21" s="6">
        <v>281</v>
      </c>
      <c r="AK21" s="6">
        <v>300</v>
      </c>
      <c r="AL21" s="6">
        <v>569</v>
      </c>
      <c r="AM21" s="6">
        <v>218</v>
      </c>
      <c r="AN21" s="6">
        <v>222</v>
      </c>
      <c r="AO21" s="6">
        <v>787</v>
      </c>
      <c r="AP21" s="6">
        <v>224</v>
      </c>
      <c r="AQ21" s="6">
        <v>153</v>
      </c>
      <c r="AR21" s="6">
        <v>388</v>
      </c>
    </row>
    <row r="22" spans="1:44" x14ac:dyDescent="0.35">
      <c r="A22" s="7">
        <v>1891</v>
      </c>
      <c r="B22" s="6">
        <v>199</v>
      </c>
      <c r="C22" s="6">
        <v>219</v>
      </c>
      <c r="D22" s="6">
        <v>225</v>
      </c>
      <c r="E22" s="6">
        <v>230</v>
      </c>
      <c r="F22" s="6">
        <v>417</v>
      </c>
      <c r="G22" s="6">
        <v>438</v>
      </c>
      <c r="H22" s="6">
        <v>424</v>
      </c>
      <c r="I22" s="6">
        <v>449</v>
      </c>
      <c r="J22" s="6">
        <v>735</v>
      </c>
      <c r="K22" s="6">
        <v>789</v>
      </c>
      <c r="L22" s="6">
        <v>323</v>
      </c>
      <c r="M22" s="6">
        <v>343</v>
      </c>
      <c r="N22" s="6">
        <v>58</v>
      </c>
      <c r="O22" s="6">
        <v>123</v>
      </c>
      <c r="P22" s="8">
        <v>128</v>
      </c>
      <c r="Q22" s="8">
        <v>381</v>
      </c>
      <c r="R22" s="8">
        <v>401</v>
      </c>
      <c r="S22" s="8">
        <v>830</v>
      </c>
      <c r="T22" s="6">
        <v>953</v>
      </c>
      <c r="U22" s="6">
        <v>139</v>
      </c>
      <c r="V22" s="6">
        <v>214</v>
      </c>
      <c r="W22" s="6">
        <v>139</v>
      </c>
      <c r="X22" s="6">
        <v>147</v>
      </c>
      <c r="Y22" s="6">
        <v>167</v>
      </c>
      <c r="Z22" s="6">
        <v>170</v>
      </c>
      <c r="AA22" s="6">
        <v>299</v>
      </c>
      <c r="AB22" s="6">
        <v>307</v>
      </c>
      <c r="AC22" s="6">
        <v>306</v>
      </c>
      <c r="AD22" s="6">
        <v>317</v>
      </c>
      <c r="AE22" s="6">
        <v>436</v>
      </c>
      <c r="AF22" s="6">
        <v>638</v>
      </c>
      <c r="AG22" s="6">
        <v>158</v>
      </c>
      <c r="AH22" s="6">
        <v>167</v>
      </c>
      <c r="AI22" s="6">
        <v>137</v>
      </c>
      <c r="AJ22" s="6">
        <v>295</v>
      </c>
      <c r="AK22" s="6">
        <v>303</v>
      </c>
      <c r="AL22" s="6">
        <v>612</v>
      </c>
      <c r="AM22" s="6">
        <v>182</v>
      </c>
      <c r="AN22" s="6">
        <v>184</v>
      </c>
      <c r="AO22" s="6">
        <v>794</v>
      </c>
      <c r="AP22" s="6">
        <v>187</v>
      </c>
      <c r="AQ22" s="6">
        <v>156</v>
      </c>
      <c r="AR22" s="6">
        <v>355</v>
      </c>
    </row>
    <row r="23" spans="1:44" x14ac:dyDescent="0.35">
      <c r="A23" s="7">
        <v>1892</v>
      </c>
      <c r="B23" s="6">
        <v>203</v>
      </c>
      <c r="C23" s="6">
        <v>225</v>
      </c>
      <c r="D23" s="6">
        <v>262</v>
      </c>
      <c r="E23" s="6">
        <v>266</v>
      </c>
      <c r="F23" s="6">
        <v>458</v>
      </c>
      <c r="G23" s="6">
        <v>480</v>
      </c>
      <c r="H23" s="6">
        <v>465</v>
      </c>
      <c r="I23" s="6">
        <v>491</v>
      </c>
      <c r="J23" s="6">
        <v>715</v>
      </c>
      <c r="K23" s="6">
        <v>768</v>
      </c>
      <c r="L23" s="6">
        <v>260</v>
      </c>
      <c r="M23" s="8">
        <v>282</v>
      </c>
      <c r="N23" s="8">
        <v>52</v>
      </c>
      <c r="O23" s="8">
        <v>116</v>
      </c>
      <c r="P23" s="8">
        <v>120</v>
      </c>
      <c r="Q23" s="8">
        <v>312</v>
      </c>
      <c r="R23" s="6">
        <v>334</v>
      </c>
      <c r="S23" s="6">
        <v>803</v>
      </c>
      <c r="T23" s="6">
        <v>919</v>
      </c>
      <c r="U23" s="6">
        <v>127</v>
      </c>
      <c r="V23" s="6">
        <v>201</v>
      </c>
      <c r="W23" s="6">
        <v>134</v>
      </c>
      <c r="X23" s="6">
        <v>148</v>
      </c>
      <c r="Y23" s="6">
        <v>139</v>
      </c>
      <c r="Z23" s="6">
        <v>142</v>
      </c>
      <c r="AA23" s="6">
        <v>264</v>
      </c>
      <c r="AB23" s="6">
        <v>278</v>
      </c>
      <c r="AC23" s="6">
        <v>273</v>
      </c>
      <c r="AD23" s="6">
        <v>290</v>
      </c>
      <c r="AE23" s="6">
        <v>412</v>
      </c>
      <c r="AF23" s="6">
        <v>630</v>
      </c>
      <c r="AG23" s="6">
        <v>165</v>
      </c>
      <c r="AH23" s="6">
        <v>179</v>
      </c>
      <c r="AI23" s="6">
        <v>132</v>
      </c>
      <c r="AJ23" s="6">
        <v>297</v>
      </c>
      <c r="AK23" s="6">
        <v>310</v>
      </c>
      <c r="AL23" s="6">
        <v>586</v>
      </c>
      <c r="AM23" s="6">
        <v>195</v>
      </c>
      <c r="AN23" s="6">
        <v>197</v>
      </c>
      <c r="AO23" s="6">
        <v>781</v>
      </c>
      <c r="AP23" s="6">
        <v>200</v>
      </c>
      <c r="AQ23" s="6">
        <v>151</v>
      </c>
      <c r="AR23" s="6">
        <v>366</v>
      </c>
    </row>
    <row r="24" spans="1:44" x14ac:dyDescent="0.35">
      <c r="A24" s="7">
        <v>1893</v>
      </c>
      <c r="B24" s="6">
        <v>140</v>
      </c>
      <c r="C24" s="6">
        <v>163</v>
      </c>
      <c r="D24" s="6">
        <v>239</v>
      </c>
      <c r="E24" s="6">
        <v>243</v>
      </c>
      <c r="F24" s="6">
        <v>370</v>
      </c>
      <c r="G24" s="6">
        <v>393</v>
      </c>
      <c r="H24" s="6">
        <v>378</v>
      </c>
      <c r="I24" s="6">
        <v>406</v>
      </c>
      <c r="J24" s="6">
        <v>621</v>
      </c>
      <c r="K24" s="6">
        <v>678</v>
      </c>
      <c r="L24" s="6">
        <v>256</v>
      </c>
      <c r="M24" s="8">
        <v>280</v>
      </c>
      <c r="N24" s="8">
        <v>64</v>
      </c>
      <c r="O24" s="8">
        <v>124</v>
      </c>
      <c r="P24" s="6">
        <v>128</v>
      </c>
      <c r="Q24" s="6">
        <v>320</v>
      </c>
      <c r="R24" s="6">
        <v>344</v>
      </c>
      <c r="S24" s="6">
        <v>726</v>
      </c>
      <c r="T24" s="6">
        <v>850</v>
      </c>
      <c r="U24" s="6">
        <v>147</v>
      </c>
      <c r="V24" s="6">
        <v>225</v>
      </c>
      <c r="W24" s="6">
        <v>135</v>
      </c>
      <c r="X24" s="6">
        <v>147</v>
      </c>
      <c r="Y24" s="6">
        <v>151</v>
      </c>
      <c r="Z24" s="6">
        <v>154</v>
      </c>
      <c r="AA24" s="6">
        <v>278</v>
      </c>
      <c r="AB24" s="6">
        <v>289</v>
      </c>
      <c r="AC24" s="6">
        <v>287</v>
      </c>
      <c r="AD24" s="6">
        <v>301</v>
      </c>
      <c r="AE24" s="6">
        <v>402</v>
      </c>
      <c r="AF24" s="6">
        <v>608</v>
      </c>
      <c r="AG24" s="6">
        <v>144</v>
      </c>
      <c r="AH24" s="6">
        <v>156</v>
      </c>
      <c r="AI24" s="6">
        <v>121</v>
      </c>
      <c r="AJ24" s="6">
        <v>266</v>
      </c>
      <c r="AK24" s="6">
        <v>277</v>
      </c>
      <c r="AL24" s="6">
        <v>566</v>
      </c>
      <c r="AM24" s="6">
        <v>181</v>
      </c>
      <c r="AN24" s="6">
        <v>183</v>
      </c>
      <c r="AO24" s="6">
        <v>747</v>
      </c>
      <c r="AP24" s="6">
        <v>186</v>
      </c>
      <c r="AQ24" s="6">
        <v>139</v>
      </c>
      <c r="AR24" s="6">
        <v>343</v>
      </c>
    </row>
    <row r="25" spans="1:44" x14ac:dyDescent="0.35">
      <c r="A25" s="7">
        <v>1894</v>
      </c>
      <c r="B25" s="6">
        <v>110</v>
      </c>
      <c r="C25" s="6">
        <v>135</v>
      </c>
      <c r="D25" s="6">
        <v>233</v>
      </c>
      <c r="E25" s="6">
        <v>236</v>
      </c>
      <c r="F25" s="6">
        <v>332</v>
      </c>
      <c r="G25" s="6">
        <v>358</v>
      </c>
      <c r="H25" s="6">
        <v>342</v>
      </c>
      <c r="I25" s="6">
        <v>372</v>
      </c>
      <c r="J25" s="6">
        <v>575</v>
      </c>
      <c r="K25" s="6">
        <v>634</v>
      </c>
      <c r="L25" s="6">
        <v>242</v>
      </c>
      <c r="M25" s="6">
        <v>268</v>
      </c>
      <c r="N25" s="6">
        <v>67</v>
      </c>
      <c r="O25" s="6">
        <v>122</v>
      </c>
      <c r="P25" s="6">
        <v>126</v>
      </c>
      <c r="Q25" s="6">
        <v>309</v>
      </c>
      <c r="R25" s="6">
        <v>335</v>
      </c>
      <c r="S25" s="6">
        <v>681</v>
      </c>
      <c r="T25" s="6">
        <v>803</v>
      </c>
      <c r="U25" s="8">
        <v>141</v>
      </c>
      <c r="V25" s="8">
        <v>224</v>
      </c>
      <c r="W25" s="6">
        <v>136</v>
      </c>
      <c r="X25" s="6">
        <v>152</v>
      </c>
      <c r="Y25" s="6">
        <v>134</v>
      </c>
      <c r="Z25" s="6">
        <v>136</v>
      </c>
      <c r="AA25" s="6">
        <v>261</v>
      </c>
      <c r="AB25" s="6">
        <v>276</v>
      </c>
      <c r="AC25" s="6">
        <v>270</v>
      </c>
      <c r="AD25" s="6">
        <v>288</v>
      </c>
      <c r="AE25" s="6">
        <v>379</v>
      </c>
      <c r="AF25" s="6">
        <v>543</v>
      </c>
      <c r="AG25" s="6">
        <v>128</v>
      </c>
      <c r="AH25" s="6">
        <v>143</v>
      </c>
      <c r="AI25" s="6">
        <v>97</v>
      </c>
      <c r="AJ25" s="6">
        <v>225</v>
      </c>
      <c r="AK25" s="6">
        <v>240</v>
      </c>
      <c r="AL25" s="6">
        <v>512</v>
      </c>
      <c r="AM25" s="6">
        <v>138</v>
      </c>
      <c r="AN25" s="6">
        <v>140</v>
      </c>
      <c r="AO25" s="6">
        <v>650</v>
      </c>
      <c r="AP25" s="6">
        <v>143</v>
      </c>
      <c r="AQ25" s="6">
        <v>107</v>
      </c>
      <c r="AR25" s="6">
        <v>268</v>
      </c>
    </row>
    <row r="26" spans="1:44" x14ac:dyDescent="0.35">
      <c r="A26" s="7">
        <v>1895</v>
      </c>
      <c r="B26" s="6">
        <v>106</v>
      </c>
      <c r="C26" s="6">
        <v>131</v>
      </c>
      <c r="D26" s="6">
        <v>217</v>
      </c>
      <c r="E26" s="6">
        <v>221</v>
      </c>
      <c r="F26" s="6">
        <v>316</v>
      </c>
      <c r="G26" s="6">
        <v>341</v>
      </c>
      <c r="H26" s="6">
        <v>324</v>
      </c>
      <c r="I26" s="6">
        <v>352</v>
      </c>
      <c r="J26" s="6">
        <v>547</v>
      </c>
      <c r="K26" s="6">
        <v>610</v>
      </c>
      <c r="L26" s="6">
        <v>233</v>
      </c>
      <c r="M26" s="6">
        <v>258</v>
      </c>
      <c r="N26" s="6">
        <v>72</v>
      </c>
      <c r="O26" s="6">
        <v>146</v>
      </c>
      <c r="P26" s="6">
        <v>151</v>
      </c>
      <c r="Q26" s="6">
        <v>305</v>
      </c>
      <c r="R26" s="6">
        <v>330</v>
      </c>
      <c r="S26" s="6">
        <v>657</v>
      </c>
      <c r="T26" s="8">
        <v>804</v>
      </c>
      <c r="U26" s="8">
        <v>165</v>
      </c>
      <c r="V26" s="8">
        <v>252</v>
      </c>
      <c r="W26" s="6">
        <v>141</v>
      </c>
      <c r="X26" s="6">
        <v>156</v>
      </c>
      <c r="Y26" s="6">
        <v>97</v>
      </c>
      <c r="Z26" s="6">
        <v>99</v>
      </c>
      <c r="AA26" s="6">
        <v>227</v>
      </c>
      <c r="AB26" s="6">
        <v>242</v>
      </c>
      <c r="AC26" s="6">
        <v>238</v>
      </c>
      <c r="AD26" s="6">
        <v>256</v>
      </c>
      <c r="AE26" s="6">
        <v>399</v>
      </c>
      <c r="AF26" s="6">
        <v>646</v>
      </c>
      <c r="AG26" s="6">
        <v>183</v>
      </c>
      <c r="AH26" s="6">
        <v>199</v>
      </c>
      <c r="AI26" s="6">
        <v>116</v>
      </c>
      <c r="AJ26" s="6">
        <v>299</v>
      </c>
      <c r="AK26" s="6">
        <v>314</v>
      </c>
      <c r="AL26" s="6">
        <v>555</v>
      </c>
      <c r="AM26" s="6">
        <v>218</v>
      </c>
      <c r="AN26" s="6">
        <v>220</v>
      </c>
      <c r="AO26" s="6">
        <v>772</v>
      </c>
      <c r="AP26" s="6">
        <v>225</v>
      </c>
      <c r="AQ26" s="6">
        <v>127</v>
      </c>
      <c r="AR26" s="6">
        <v>371</v>
      </c>
    </row>
    <row r="27" spans="1:44" x14ac:dyDescent="0.35">
      <c r="A27" s="7">
        <v>1896</v>
      </c>
      <c r="B27" s="6">
        <v>166</v>
      </c>
      <c r="C27" s="6">
        <v>190</v>
      </c>
      <c r="D27" s="6">
        <v>226</v>
      </c>
      <c r="E27" s="6">
        <v>231</v>
      </c>
      <c r="F27" s="6">
        <v>384</v>
      </c>
      <c r="G27" s="6">
        <v>408</v>
      </c>
      <c r="H27" s="6">
        <v>392</v>
      </c>
      <c r="I27" s="6">
        <v>420</v>
      </c>
      <c r="J27" s="6">
        <v>667</v>
      </c>
      <c r="K27" s="6">
        <v>735</v>
      </c>
      <c r="L27" s="6">
        <v>285</v>
      </c>
      <c r="M27" s="6">
        <v>309</v>
      </c>
      <c r="N27" s="6">
        <v>95</v>
      </c>
      <c r="O27" s="6">
        <v>180</v>
      </c>
      <c r="P27" s="6">
        <v>185</v>
      </c>
      <c r="Q27" s="6">
        <v>380</v>
      </c>
      <c r="R27" s="8">
        <v>404</v>
      </c>
      <c r="S27" s="8">
        <v>800</v>
      </c>
      <c r="T27" s="8">
        <v>980</v>
      </c>
      <c r="U27" s="6">
        <v>209</v>
      </c>
      <c r="V27" s="6">
        <v>309</v>
      </c>
      <c r="W27" s="6">
        <v>120</v>
      </c>
      <c r="X27" s="6">
        <v>130</v>
      </c>
      <c r="Y27" s="6">
        <v>121</v>
      </c>
      <c r="Z27" s="6">
        <v>123</v>
      </c>
      <c r="AA27" s="6">
        <v>226</v>
      </c>
      <c r="AB27" s="6">
        <v>237</v>
      </c>
      <c r="AC27" s="6">
        <v>241</v>
      </c>
      <c r="AD27" s="6">
        <v>253</v>
      </c>
      <c r="AE27" s="6">
        <v>346</v>
      </c>
      <c r="AF27" s="6">
        <v>542</v>
      </c>
      <c r="AG27" s="6">
        <v>131</v>
      </c>
      <c r="AH27" s="6">
        <v>142</v>
      </c>
      <c r="AI27" s="6">
        <v>95</v>
      </c>
      <c r="AJ27" s="6">
        <v>226</v>
      </c>
      <c r="AK27" s="6">
        <v>237</v>
      </c>
      <c r="AL27" s="6">
        <v>480</v>
      </c>
      <c r="AM27" s="6">
        <v>174</v>
      </c>
      <c r="AN27" s="6">
        <v>176</v>
      </c>
      <c r="AO27" s="6">
        <v>654</v>
      </c>
      <c r="AP27" s="6">
        <v>181</v>
      </c>
      <c r="AQ27" s="6">
        <v>112</v>
      </c>
      <c r="AR27" s="6">
        <v>306</v>
      </c>
    </row>
    <row r="28" spans="1:44" x14ac:dyDescent="0.35">
      <c r="A28" s="7">
        <v>1897</v>
      </c>
      <c r="B28" s="6">
        <v>235</v>
      </c>
      <c r="C28" s="6">
        <v>258</v>
      </c>
      <c r="D28" s="6">
        <v>247</v>
      </c>
      <c r="E28" s="6">
        <v>252</v>
      </c>
      <c r="F28" s="6">
        <v>475</v>
      </c>
      <c r="G28" s="6">
        <v>498</v>
      </c>
      <c r="H28" s="6">
        <v>482</v>
      </c>
      <c r="I28" s="6">
        <v>510</v>
      </c>
      <c r="J28" s="6">
        <v>733</v>
      </c>
      <c r="K28" s="6">
        <v>805</v>
      </c>
      <c r="L28" s="6">
        <v>259</v>
      </c>
      <c r="M28" s="6">
        <v>282</v>
      </c>
      <c r="N28" s="6">
        <v>109</v>
      </c>
      <c r="O28" s="6">
        <v>196</v>
      </c>
      <c r="P28" s="6">
        <v>201</v>
      </c>
      <c r="Q28" s="8">
        <v>368</v>
      </c>
      <c r="R28" s="8">
        <v>391</v>
      </c>
      <c r="S28" s="8">
        <v>877</v>
      </c>
      <c r="T28" s="6">
        <v>1073</v>
      </c>
      <c r="U28" s="6">
        <v>229</v>
      </c>
      <c r="V28" s="6">
        <v>335</v>
      </c>
      <c r="W28" s="6">
        <v>120</v>
      </c>
      <c r="X28" s="6">
        <v>129</v>
      </c>
      <c r="Y28" s="6">
        <v>108</v>
      </c>
      <c r="Z28" s="6">
        <v>110</v>
      </c>
      <c r="AA28" s="6">
        <v>215</v>
      </c>
      <c r="AB28" s="6">
        <v>224</v>
      </c>
      <c r="AC28" s="6">
        <v>228</v>
      </c>
      <c r="AD28" s="6">
        <v>239</v>
      </c>
      <c r="AE28" s="6">
        <v>399</v>
      </c>
      <c r="AF28" s="6">
        <v>608</v>
      </c>
      <c r="AG28" s="6">
        <v>199</v>
      </c>
      <c r="AH28" s="6">
        <v>208</v>
      </c>
      <c r="AI28" s="6">
        <v>101</v>
      </c>
      <c r="AJ28" s="6">
        <v>299</v>
      </c>
      <c r="AK28" s="6">
        <v>308</v>
      </c>
      <c r="AL28" s="6">
        <v>539</v>
      </c>
      <c r="AM28" s="6">
        <v>177</v>
      </c>
      <c r="AN28" s="6">
        <v>179</v>
      </c>
      <c r="AO28" s="6">
        <v>716</v>
      </c>
      <c r="AP28" s="6">
        <v>182</v>
      </c>
      <c r="AQ28" s="6">
        <v>108</v>
      </c>
      <c r="AR28" s="6">
        <v>315</v>
      </c>
    </row>
    <row r="29" spans="1:44" x14ac:dyDescent="0.35">
      <c r="A29" s="7">
        <v>1898</v>
      </c>
      <c r="B29" s="6">
        <v>279</v>
      </c>
      <c r="C29" s="6">
        <v>303</v>
      </c>
      <c r="D29" s="6">
        <v>297</v>
      </c>
      <c r="E29" s="6">
        <v>302</v>
      </c>
      <c r="F29" s="6">
        <v>569</v>
      </c>
      <c r="G29" s="6">
        <v>593</v>
      </c>
      <c r="H29" s="6">
        <v>576</v>
      </c>
      <c r="I29" s="6">
        <v>605</v>
      </c>
      <c r="J29" s="6">
        <v>856</v>
      </c>
      <c r="K29" s="6">
        <v>929</v>
      </c>
      <c r="L29" s="6">
        <v>286</v>
      </c>
      <c r="M29" s="6">
        <v>310</v>
      </c>
      <c r="N29" s="6">
        <v>117</v>
      </c>
      <c r="O29" s="6">
        <v>218</v>
      </c>
      <c r="P29" s="6">
        <v>223</v>
      </c>
      <c r="Q29" s="9">
        <v>403</v>
      </c>
      <c r="R29" s="6">
        <v>427</v>
      </c>
      <c r="S29" s="6">
        <v>1008</v>
      </c>
      <c r="T29" s="6">
        <v>1226</v>
      </c>
      <c r="U29" s="6">
        <v>255</v>
      </c>
      <c r="V29" s="6">
        <v>365</v>
      </c>
      <c r="W29" s="6">
        <v>92</v>
      </c>
      <c r="X29" s="6">
        <v>100</v>
      </c>
      <c r="Y29" s="6">
        <v>105</v>
      </c>
      <c r="Z29" s="6">
        <v>106</v>
      </c>
      <c r="AA29" s="6">
        <v>187</v>
      </c>
      <c r="AB29" s="6">
        <v>195</v>
      </c>
      <c r="AC29" s="6">
        <v>196</v>
      </c>
      <c r="AD29" s="6">
        <v>207</v>
      </c>
      <c r="AE29" s="6">
        <v>338</v>
      </c>
      <c r="AF29" s="6">
        <v>506</v>
      </c>
      <c r="AG29" s="6">
        <v>168</v>
      </c>
      <c r="AH29" s="6">
        <v>176</v>
      </c>
      <c r="AI29" s="6">
        <v>96</v>
      </c>
      <c r="AJ29" s="6">
        <v>263</v>
      </c>
      <c r="AK29" s="6">
        <v>272</v>
      </c>
      <c r="AL29" s="6">
        <v>470</v>
      </c>
      <c r="AM29" s="6">
        <v>145</v>
      </c>
      <c r="AN29" s="6">
        <v>147</v>
      </c>
      <c r="AO29" s="6">
        <v>615</v>
      </c>
      <c r="AP29" s="6">
        <v>149</v>
      </c>
      <c r="AQ29" s="6">
        <v>110</v>
      </c>
      <c r="AR29" s="6">
        <v>276</v>
      </c>
    </row>
    <row r="30" spans="1:44" x14ac:dyDescent="0.35">
      <c r="A30" s="7">
        <v>1899</v>
      </c>
      <c r="B30" s="6">
        <v>230</v>
      </c>
      <c r="C30" s="6">
        <v>260</v>
      </c>
      <c r="D30" s="6">
        <v>311</v>
      </c>
      <c r="E30" s="6">
        <v>316</v>
      </c>
      <c r="F30" s="6">
        <v>534</v>
      </c>
      <c r="G30" s="6">
        <v>564</v>
      </c>
      <c r="H30" s="6">
        <v>541</v>
      </c>
      <c r="I30" s="6">
        <v>576</v>
      </c>
      <c r="J30" s="6">
        <v>788</v>
      </c>
      <c r="K30" s="6">
        <v>874</v>
      </c>
      <c r="L30" s="6">
        <v>253</v>
      </c>
      <c r="M30" s="6">
        <v>283</v>
      </c>
      <c r="N30" s="6">
        <v>144</v>
      </c>
      <c r="O30" s="6">
        <v>271</v>
      </c>
      <c r="P30" s="6">
        <v>276</v>
      </c>
      <c r="Q30" s="6">
        <v>397</v>
      </c>
      <c r="R30" s="6">
        <v>427</v>
      </c>
      <c r="S30" s="6">
        <v>973</v>
      </c>
      <c r="T30" s="6">
        <v>1243</v>
      </c>
      <c r="U30" s="8">
        <v>318</v>
      </c>
      <c r="V30" s="8">
        <v>451</v>
      </c>
      <c r="W30" s="6">
        <v>100</v>
      </c>
      <c r="X30" s="6">
        <v>112</v>
      </c>
      <c r="Y30" s="6">
        <v>141</v>
      </c>
      <c r="Z30" s="6">
        <v>144</v>
      </c>
      <c r="AA30" s="6">
        <v>230</v>
      </c>
      <c r="AB30" s="6">
        <v>242</v>
      </c>
      <c r="AC30" s="6">
        <v>242</v>
      </c>
      <c r="AD30" s="6">
        <v>256</v>
      </c>
      <c r="AE30" s="6">
        <v>431</v>
      </c>
      <c r="AF30" s="6">
        <v>626</v>
      </c>
      <c r="AG30" s="6">
        <v>225</v>
      </c>
      <c r="AH30" s="6">
        <v>237</v>
      </c>
      <c r="AI30" s="6">
        <v>134</v>
      </c>
      <c r="AJ30" s="6">
        <v>360</v>
      </c>
      <c r="AK30" s="6">
        <v>371</v>
      </c>
      <c r="AL30" s="6">
        <v>615</v>
      </c>
      <c r="AM30" s="6">
        <v>163</v>
      </c>
      <c r="AN30" s="6">
        <v>165</v>
      </c>
      <c r="AO30" s="6">
        <v>778</v>
      </c>
      <c r="AP30" s="6">
        <v>168</v>
      </c>
      <c r="AQ30" s="6">
        <v>152</v>
      </c>
      <c r="AR30" s="6">
        <v>344</v>
      </c>
    </row>
    <row r="31" spans="1:44" x14ac:dyDescent="0.35">
      <c r="A31" s="7">
        <v>1900</v>
      </c>
      <c r="B31" s="6">
        <v>217</v>
      </c>
      <c r="C31" s="6">
        <v>244</v>
      </c>
      <c r="D31" s="6">
        <v>319</v>
      </c>
      <c r="E31" s="6">
        <v>325</v>
      </c>
      <c r="F31" s="6">
        <v>526</v>
      </c>
      <c r="G31" s="6">
        <v>553</v>
      </c>
      <c r="H31" s="6">
        <v>536</v>
      </c>
      <c r="I31" s="6">
        <v>569</v>
      </c>
      <c r="J31" s="6">
        <v>910</v>
      </c>
      <c r="K31" s="6">
        <v>1009</v>
      </c>
      <c r="L31" s="6">
        <v>394</v>
      </c>
      <c r="M31" s="6">
        <v>420</v>
      </c>
      <c r="N31" s="6">
        <v>176</v>
      </c>
      <c r="O31" s="6">
        <v>302</v>
      </c>
      <c r="P31" s="6">
        <v>308</v>
      </c>
      <c r="Q31" s="6">
        <v>570</v>
      </c>
      <c r="R31" s="6">
        <v>597</v>
      </c>
      <c r="S31" s="6">
        <v>1139</v>
      </c>
      <c r="T31" s="8">
        <v>1441</v>
      </c>
      <c r="U31" s="8">
        <v>382</v>
      </c>
      <c r="V31" s="8">
        <v>526</v>
      </c>
      <c r="W31" s="6">
        <v>105</v>
      </c>
      <c r="X31" s="6">
        <v>120</v>
      </c>
      <c r="Y31" s="6">
        <v>126</v>
      </c>
      <c r="Z31" s="6">
        <v>128</v>
      </c>
      <c r="AA31" s="6">
        <v>218</v>
      </c>
      <c r="AB31" s="6">
        <v>233</v>
      </c>
      <c r="AC31" s="6">
        <v>230</v>
      </c>
      <c r="AD31" s="6">
        <v>248</v>
      </c>
      <c r="AE31" s="6">
        <v>421</v>
      </c>
      <c r="AF31" s="6">
        <v>635</v>
      </c>
      <c r="AG31" s="6">
        <v>230</v>
      </c>
      <c r="AH31" s="6">
        <v>245</v>
      </c>
      <c r="AI31" s="6">
        <v>146</v>
      </c>
      <c r="AJ31" s="6">
        <v>376</v>
      </c>
      <c r="AK31" s="6">
        <v>391</v>
      </c>
      <c r="AL31" s="6">
        <v>624</v>
      </c>
      <c r="AM31" s="6">
        <v>181</v>
      </c>
      <c r="AN31" s="6">
        <v>183</v>
      </c>
      <c r="AO31" s="6">
        <v>805</v>
      </c>
      <c r="AP31" s="6">
        <v>186</v>
      </c>
      <c r="AQ31" s="6">
        <v>169</v>
      </c>
      <c r="AR31" s="6">
        <v>382</v>
      </c>
    </row>
    <row r="32" spans="1:44" x14ac:dyDescent="0.35">
      <c r="A32" s="7">
        <v>1901</v>
      </c>
      <c r="B32" s="6">
        <v>247</v>
      </c>
      <c r="C32" s="6">
        <v>274</v>
      </c>
      <c r="D32" s="6">
        <v>342</v>
      </c>
      <c r="E32" s="6">
        <v>347</v>
      </c>
      <c r="F32" s="6">
        <v>579</v>
      </c>
      <c r="G32" s="6">
        <v>606</v>
      </c>
      <c r="H32" s="6">
        <v>588</v>
      </c>
      <c r="I32" s="6">
        <v>621</v>
      </c>
      <c r="J32" s="6">
        <v>943</v>
      </c>
      <c r="K32" s="6">
        <v>1037</v>
      </c>
      <c r="L32" s="6">
        <v>375</v>
      </c>
      <c r="M32" s="6">
        <v>401</v>
      </c>
      <c r="N32" s="6">
        <v>140</v>
      </c>
      <c r="O32" s="6">
        <v>293</v>
      </c>
      <c r="P32" s="6">
        <v>298</v>
      </c>
      <c r="Q32" s="6">
        <v>514</v>
      </c>
      <c r="R32" s="8">
        <v>541</v>
      </c>
      <c r="S32" s="8">
        <v>1135</v>
      </c>
      <c r="T32" s="8">
        <v>1428</v>
      </c>
      <c r="U32" s="6">
        <v>334</v>
      </c>
      <c r="V32" s="6">
        <v>479</v>
      </c>
      <c r="W32" s="6">
        <v>114</v>
      </c>
      <c r="X32" s="6">
        <v>131</v>
      </c>
      <c r="Y32" s="6">
        <v>118</v>
      </c>
      <c r="Z32" s="6">
        <v>121</v>
      </c>
      <c r="AA32" s="6">
        <v>217</v>
      </c>
      <c r="AB32" s="6">
        <v>233</v>
      </c>
      <c r="AC32" s="6">
        <v>232</v>
      </c>
      <c r="AD32" s="6">
        <v>251</v>
      </c>
      <c r="AE32" s="6">
        <v>432</v>
      </c>
      <c r="AF32" s="6">
        <v>655</v>
      </c>
      <c r="AG32" s="6">
        <v>256</v>
      </c>
      <c r="AH32" s="6">
        <v>272</v>
      </c>
      <c r="AI32" s="6">
        <v>155</v>
      </c>
      <c r="AJ32" s="6">
        <v>411</v>
      </c>
      <c r="AK32" s="6">
        <v>427</v>
      </c>
      <c r="AL32" s="6">
        <v>662</v>
      </c>
      <c r="AM32" s="6">
        <v>189</v>
      </c>
      <c r="AN32" s="6">
        <v>192</v>
      </c>
      <c r="AO32" s="6">
        <v>851</v>
      </c>
      <c r="AP32" s="6">
        <v>195</v>
      </c>
      <c r="AQ32" s="6">
        <v>196</v>
      </c>
      <c r="AR32" s="6">
        <v>417</v>
      </c>
    </row>
    <row r="33" spans="1:44" x14ac:dyDescent="0.35">
      <c r="A33" s="7">
        <v>1902</v>
      </c>
      <c r="B33" s="6">
        <v>160</v>
      </c>
      <c r="C33" s="6">
        <v>195</v>
      </c>
      <c r="D33" s="6">
        <v>317</v>
      </c>
      <c r="E33" s="6">
        <v>323</v>
      </c>
      <c r="F33" s="6">
        <v>467</v>
      </c>
      <c r="G33" s="6">
        <v>502</v>
      </c>
      <c r="H33" s="6">
        <v>477</v>
      </c>
      <c r="I33" s="6">
        <v>518</v>
      </c>
      <c r="J33" s="6">
        <v>822</v>
      </c>
      <c r="K33" s="6">
        <v>921</v>
      </c>
      <c r="L33" s="6">
        <v>358</v>
      </c>
      <c r="M33" s="6">
        <v>392</v>
      </c>
      <c r="N33" s="6">
        <v>150</v>
      </c>
      <c r="O33" s="6">
        <v>297</v>
      </c>
      <c r="P33" s="8">
        <v>303</v>
      </c>
      <c r="Q33" s="8">
        <v>508</v>
      </c>
      <c r="R33" s="8">
        <v>543</v>
      </c>
      <c r="S33" s="8">
        <v>1025</v>
      </c>
      <c r="T33" s="6">
        <v>1323</v>
      </c>
      <c r="U33" s="6">
        <v>335</v>
      </c>
      <c r="V33" s="6">
        <v>495</v>
      </c>
      <c r="W33" s="6">
        <v>120</v>
      </c>
      <c r="X33" s="6">
        <v>136</v>
      </c>
      <c r="Y33" s="6">
        <v>104</v>
      </c>
      <c r="Z33" s="6">
        <v>107</v>
      </c>
      <c r="AA33" s="6">
        <v>210</v>
      </c>
      <c r="AB33" s="6">
        <v>226</v>
      </c>
      <c r="AC33" s="6">
        <v>224</v>
      </c>
      <c r="AD33" s="6">
        <v>243</v>
      </c>
      <c r="AE33" s="6">
        <v>454</v>
      </c>
      <c r="AF33" s="6">
        <v>711</v>
      </c>
      <c r="AG33" s="6">
        <v>284</v>
      </c>
      <c r="AH33" s="6">
        <v>300</v>
      </c>
      <c r="AI33" s="6">
        <v>192</v>
      </c>
      <c r="AJ33" s="6">
        <v>476</v>
      </c>
      <c r="AK33" s="6">
        <v>492</v>
      </c>
      <c r="AL33" s="6">
        <v>719</v>
      </c>
      <c r="AM33" s="6">
        <v>218</v>
      </c>
      <c r="AN33" s="6">
        <v>221</v>
      </c>
      <c r="AO33" s="6">
        <v>937</v>
      </c>
      <c r="AP33" s="6">
        <v>225</v>
      </c>
      <c r="AQ33" s="6">
        <v>226</v>
      </c>
      <c r="AR33" s="6">
        <v>480</v>
      </c>
    </row>
    <row r="34" spans="1:44" x14ac:dyDescent="0.35">
      <c r="A34" s="7">
        <v>1903</v>
      </c>
      <c r="B34" s="6">
        <v>175</v>
      </c>
      <c r="C34" s="6">
        <v>205</v>
      </c>
      <c r="D34" s="6">
        <v>315</v>
      </c>
      <c r="E34" s="6">
        <v>321</v>
      </c>
      <c r="F34" s="6">
        <v>482</v>
      </c>
      <c r="G34" s="6">
        <v>512</v>
      </c>
      <c r="H34" s="6">
        <v>490</v>
      </c>
      <c r="I34" s="6">
        <v>525</v>
      </c>
      <c r="J34" s="6">
        <v>917</v>
      </c>
      <c r="K34" s="6">
        <v>1028</v>
      </c>
      <c r="L34" s="6">
        <v>451</v>
      </c>
      <c r="M34" s="6">
        <v>481</v>
      </c>
      <c r="N34" s="8">
        <v>163</v>
      </c>
      <c r="O34" s="8">
        <v>310</v>
      </c>
      <c r="P34" s="8">
        <v>316</v>
      </c>
      <c r="Q34" s="8">
        <v>614</v>
      </c>
      <c r="R34" s="6">
        <v>643</v>
      </c>
      <c r="S34" s="6">
        <v>1139</v>
      </c>
      <c r="T34" s="6">
        <v>1449</v>
      </c>
      <c r="U34" s="6">
        <v>358</v>
      </c>
      <c r="V34" s="6">
        <v>528</v>
      </c>
      <c r="W34" s="6">
        <v>119</v>
      </c>
      <c r="X34" s="6">
        <v>137</v>
      </c>
      <c r="Y34" s="6">
        <v>107</v>
      </c>
      <c r="Z34" s="6">
        <v>110</v>
      </c>
      <c r="AA34" s="6">
        <v>211</v>
      </c>
      <c r="AB34" s="6">
        <v>229</v>
      </c>
      <c r="AC34" s="6">
        <v>226</v>
      </c>
      <c r="AD34" s="6">
        <v>247</v>
      </c>
      <c r="AE34" s="6">
        <v>461</v>
      </c>
      <c r="AF34" s="6">
        <v>724</v>
      </c>
      <c r="AG34" s="6">
        <v>288</v>
      </c>
      <c r="AH34" s="6">
        <v>305</v>
      </c>
      <c r="AI34" s="6">
        <v>200</v>
      </c>
      <c r="AJ34" s="6">
        <v>488</v>
      </c>
      <c r="AK34" s="6">
        <v>505</v>
      </c>
      <c r="AL34" s="6">
        <v>734</v>
      </c>
      <c r="AM34" s="6">
        <v>228</v>
      </c>
      <c r="AN34" s="6">
        <v>231</v>
      </c>
      <c r="AO34" s="6">
        <v>962</v>
      </c>
      <c r="AP34" s="6">
        <v>234</v>
      </c>
      <c r="AQ34" s="6">
        <v>237</v>
      </c>
      <c r="AR34" s="6">
        <v>498</v>
      </c>
    </row>
    <row r="35" spans="1:44" x14ac:dyDescent="0.35">
      <c r="A35" s="7">
        <v>1904</v>
      </c>
      <c r="B35" s="6">
        <v>103</v>
      </c>
      <c r="C35" s="6">
        <v>134</v>
      </c>
      <c r="D35" s="6">
        <v>277</v>
      </c>
      <c r="E35" s="6">
        <v>283</v>
      </c>
      <c r="F35" s="6">
        <v>370</v>
      </c>
      <c r="G35" s="6">
        <v>401</v>
      </c>
      <c r="H35" s="6">
        <v>380</v>
      </c>
      <c r="I35" s="6">
        <v>417</v>
      </c>
      <c r="J35" s="6">
        <v>798</v>
      </c>
      <c r="K35" s="6">
        <v>914</v>
      </c>
      <c r="L35" s="6">
        <v>442</v>
      </c>
      <c r="M35" s="8">
        <v>474</v>
      </c>
      <c r="N35" s="8">
        <v>210</v>
      </c>
      <c r="O35" s="8">
        <v>348</v>
      </c>
      <c r="P35" s="6">
        <v>353</v>
      </c>
      <c r="Q35" s="6">
        <v>652</v>
      </c>
      <c r="R35" s="6">
        <v>683</v>
      </c>
      <c r="S35" s="6">
        <v>1078</v>
      </c>
      <c r="T35" s="6">
        <v>1416</v>
      </c>
      <c r="U35" s="6">
        <v>432</v>
      </c>
      <c r="V35" s="6">
        <v>613</v>
      </c>
      <c r="W35" s="6">
        <v>147</v>
      </c>
      <c r="X35" s="6">
        <v>164</v>
      </c>
      <c r="Y35" s="6">
        <v>132</v>
      </c>
      <c r="Z35" s="6">
        <v>136</v>
      </c>
      <c r="AA35" s="6">
        <v>263</v>
      </c>
      <c r="AB35" s="6">
        <v>280</v>
      </c>
      <c r="AC35" s="6">
        <v>280</v>
      </c>
      <c r="AD35" s="6">
        <v>300</v>
      </c>
      <c r="AE35" s="6">
        <v>545</v>
      </c>
      <c r="AF35" s="6">
        <v>800</v>
      </c>
      <c r="AG35" s="6">
        <v>317</v>
      </c>
      <c r="AH35" s="6">
        <v>333</v>
      </c>
      <c r="AI35" s="6">
        <v>183</v>
      </c>
      <c r="AJ35" s="6">
        <v>499</v>
      </c>
      <c r="AK35" s="6">
        <v>516</v>
      </c>
      <c r="AL35" s="6">
        <v>800</v>
      </c>
      <c r="AM35" s="6">
        <v>211</v>
      </c>
      <c r="AN35" s="6">
        <v>215</v>
      </c>
      <c r="AO35" s="6">
        <v>1011</v>
      </c>
      <c r="AP35" s="6">
        <v>219</v>
      </c>
      <c r="AQ35" s="6">
        <v>211</v>
      </c>
      <c r="AR35" s="6">
        <v>462</v>
      </c>
    </row>
    <row r="36" spans="1:44" x14ac:dyDescent="0.35">
      <c r="A36" s="7">
        <v>1905</v>
      </c>
      <c r="B36" s="6">
        <v>157</v>
      </c>
      <c r="C36" s="6">
        <v>183</v>
      </c>
      <c r="D36" s="6">
        <v>309</v>
      </c>
      <c r="E36" s="6">
        <v>314</v>
      </c>
      <c r="F36" s="6">
        <v>457</v>
      </c>
      <c r="G36" s="6">
        <v>484</v>
      </c>
      <c r="H36" s="6">
        <v>465</v>
      </c>
      <c r="I36" s="6">
        <v>498</v>
      </c>
      <c r="J36" s="6">
        <v>901</v>
      </c>
      <c r="K36" s="6">
        <v>1018</v>
      </c>
      <c r="L36" s="6">
        <v>465</v>
      </c>
      <c r="M36" s="8">
        <v>492</v>
      </c>
      <c r="N36" s="6">
        <v>221</v>
      </c>
      <c r="O36" s="6">
        <v>403</v>
      </c>
      <c r="P36" s="6">
        <v>408</v>
      </c>
      <c r="Q36" s="6">
        <v>687</v>
      </c>
      <c r="R36" s="6">
        <v>714</v>
      </c>
      <c r="S36" s="6">
        <v>1185</v>
      </c>
      <c r="T36" s="6">
        <v>1587</v>
      </c>
      <c r="U36" s="6">
        <v>471</v>
      </c>
      <c r="V36" s="8">
        <v>681</v>
      </c>
      <c r="W36" s="6">
        <v>136</v>
      </c>
      <c r="X36" s="6">
        <v>155</v>
      </c>
      <c r="Y36" s="6">
        <v>154</v>
      </c>
      <c r="Z36" s="6">
        <v>158</v>
      </c>
      <c r="AA36" s="6">
        <v>273</v>
      </c>
      <c r="AB36" s="6">
        <v>291</v>
      </c>
      <c r="AC36" s="6">
        <v>290</v>
      </c>
      <c r="AD36" s="6">
        <v>313</v>
      </c>
      <c r="AE36" s="6">
        <v>605</v>
      </c>
      <c r="AF36" s="6">
        <v>900</v>
      </c>
      <c r="AG36" s="6">
        <v>373</v>
      </c>
      <c r="AH36" s="6">
        <v>392</v>
      </c>
      <c r="AI36" s="6">
        <v>218</v>
      </c>
      <c r="AJ36" s="6">
        <v>592</v>
      </c>
      <c r="AK36" s="6">
        <v>610</v>
      </c>
      <c r="AL36" s="6">
        <v>905</v>
      </c>
      <c r="AM36" s="6">
        <v>243</v>
      </c>
      <c r="AN36" s="6">
        <v>247</v>
      </c>
      <c r="AO36" s="6">
        <v>1148</v>
      </c>
      <c r="AP36" s="6">
        <v>253</v>
      </c>
      <c r="AQ36" s="6">
        <v>248</v>
      </c>
      <c r="AR36" s="6">
        <v>539</v>
      </c>
    </row>
    <row r="37" spans="1:44" x14ac:dyDescent="0.35">
      <c r="A37" s="7">
        <v>1906</v>
      </c>
      <c r="B37" s="6">
        <v>180</v>
      </c>
      <c r="C37" s="6">
        <v>212</v>
      </c>
      <c r="D37" s="6">
        <v>334</v>
      </c>
      <c r="E37" s="6">
        <v>340</v>
      </c>
      <c r="F37" s="6">
        <v>505</v>
      </c>
      <c r="G37" s="6">
        <v>537</v>
      </c>
      <c r="H37" s="6">
        <v>514</v>
      </c>
      <c r="I37" s="6">
        <v>552</v>
      </c>
      <c r="J37" s="6">
        <v>994</v>
      </c>
      <c r="K37" s="6">
        <v>1138</v>
      </c>
      <c r="L37" s="6">
        <v>510</v>
      </c>
      <c r="M37" s="6">
        <v>542</v>
      </c>
      <c r="N37" s="6">
        <v>258</v>
      </c>
      <c r="O37" s="6">
        <v>440</v>
      </c>
      <c r="P37" s="6">
        <v>445</v>
      </c>
      <c r="Q37" s="6">
        <v>768</v>
      </c>
      <c r="R37" s="6">
        <v>800</v>
      </c>
      <c r="S37" s="6">
        <v>1320</v>
      </c>
      <c r="T37" s="6">
        <v>1759</v>
      </c>
      <c r="U37" s="6">
        <v>534</v>
      </c>
      <c r="V37" s="8">
        <v>760</v>
      </c>
      <c r="W37" s="6">
        <v>136</v>
      </c>
      <c r="X37" s="6">
        <v>162</v>
      </c>
      <c r="Y37" s="6">
        <v>140</v>
      </c>
      <c r="Z37" s="6">
        <v>144</v>
      </c>
      <c r="AA37" s="6">
        <v>257</v>
      </c>
      <c r="AB37" s="6">
        <v>283</v>
      </c>
      <c r="AC37" s="6">
        <v>275</v>
      </c>
      <c r="AD37" s="6">
        <v>307</v>
      </c>
      <c r="AE37" s="6">
        <v>618</v>
      </c>
      <c r="AF37" s="6">
        <v>972</v>
      </c>
      <c r="AG37" s="6">
        <v>402</v>
      </c>
      <c r="AH37" s="6">
        <v>428</v>
      </c>
      <c r="AI37" s="6">
        <v>279</v>
      </c>
      <c r="AJ37" s="6">
        <v>681</v>
      </c>
      <c r="AK37" s="6">
        <v>707</v>
      </c>
      <c r="AL37" s="6">
        <v>987</v>
      </c>
      <c r="AM37" s="6">
        <v>296</v>
      </c>
      <c r="AN37" s="6">
        <v>301</v>
      </c>
      <c r="AO37" s="6">
        <v>1284</v>
      </c>
      <c r="AP37" s="6">
        <v>307</v>
      </c>
      <c r="AQ37" s="6">
        <v>312</v>
      </c>
      <c r="AR37" s="6">
        <v>661</v>
      </c>
    </row>
    <row r="38" spans="1:44" x14ac:dyDescent="0.35">
      <c r="A38" s="7">
        <v>1907</v>
      </c>
      <c r="B38" s="6">
        <v>196</v>
      </c>
      <c r="C38" s="6">
        <v>229</v>
      </c>
      <c r="D38" s="6">
        <v>331</v>
      </c>
      <c r="E38" s="6">
        <v>337</v>
      </c>
      <c r="F38" s="6">
        <v>519</v>
      </c>
      <c r="G38" s="6">
        <v>551</v>
      </c>
      <c r="H38" s="6">
        <v>527</v>
      </c>
      <c r="I38" s="6">
        <v>565</v>
      </c>
      <c r="J38" s="6">
        <v>1060</v>
      </c>
      <c r="K38" s="6">
        <v>1208</v>
      </c>
      <c r="L38" s="6">
        <v>568</v>
      </c>
      <c r="M38" s="6">
        <v>601</v>
      </c>
      <c r="N38" s="6">
        <v>279</v>
      </c>
      <c r="O38" s="6">
        <v>466</v>
      </c>
      <c r="P38" s="6">
        <v>472</v>
      </c>
      <c r="Q38" s="6">
        <v>848</v>
      </c>
      <c r="R38" s="6">
        <v>880</v>
      </c>
      <c r="S38" s="6">
        <v>1413</v>
      </c>
      <c r="T38" s="6">
        <v>1879</v>
      </c>
      <c r="U38" s="8">
        <v>599</v>
      </c>
      <c r="V38" s="6">
        <v>814</v>
      </c>
      <c r="W38" s="8">
        <v>152</v>
      </c>
      <c r="X38" s="6">
        <v>177</v>
      </c>
      <c r="Y38" s="6">
        <v>154</v>
      </c>
      <c r="Z38" s="6">
        <v>158</v>
      </c>
      <c r="AA38" s="6">
        <v>285</v>
      </c>
      <c r="AB38" s="6">
        <v>309</v>
      </c>
      <c r="AC38" s="6">
        <v>306</v>
      </c>
      <c r="AD38" s="6">
        <v>335</v>
      </c>
      <c r="AE38" s="6">
        <v>662</v>
      </c>
      <c r="AF38" s="6">
        <v>1062</v>
      </c>
      <c r="AG38" s="6">
        <v>426</v>
      </c>
      <c r="AH38" s="6">
        <v>451</v>
      </c>
      <c r="AI38" s="6">
        <v>288</v>
      </c>
      <c r="AJ38" s="6">
        <v>715</v>
      </c>
      <c r="AK38" s="6">
        <v>739</v>
      </c>
      <c r="AL38" s="6">
        <v>1049</v>
      </c>
      <c r="AM38" s="6">
        <v>332</v>
      </c>
      <c r="AN38" s="6">
        <v>336</v>
      </c>
      <c r="AO38" s="6">
        <v>1381</v>
      </c>
      <c r="AP38" s="6">
        <v>341</v>
      </c>
      <c r="AQ38" s="6">
        <v>319</v>
      </c>
      <c r="AR38" s="6">
        <v>715</v>
      </c>
    </row>
    <row r="39" spans="1:44" x14ac:dyDescent="0.35">
      <c r="A39" s="7">
        <v>1908</v>
      </c>
      <c r="B39" s="6">
        <v>171</v>
      </c>
      <c r="C39" s="6">
        <v>204</v>
      </c>
      <c r="D39" s="6">
        <v>317</v>
      </c>
      <c r="E39" s="6">
        <v>322</v>
      </c>
      <c r="F39" s="6">
        <v>479</v>
      </c>
      <c r="G39" s="6">
        <v>512</v>
      </c>
      <c r="H39" s="6">
        <v>488</v>
      </c>
      <c r="I39" s="6">
        <v>525</v>
      </c>
      <c r="J39" s="6">
        <v>980</v>
      </c>
      <c r="K39" s="6">
        <v>1111</v>
      </c>
      <c r="L39" s="6">
        <v>529</v>
      </c>
      <c r="M39" s="6">
        <v>561</v>
      </c>
      <c r="N39" s="6">
        <v>242</v>
      </c>
      <c r="O39" s="6">
        <v>416</v>
      </c>
      <c r="P39" s="6">
        <v>420</v>
      </c>
      <c r="Q39" s="6">
        <v>771</v>
      </c>
      <c r="R39" s="6">
        <v>803</v>
      </c>
      <c r="S39" s="6">
        <v>1296</v>
      </c>
      <c r="T39" s="6">
        <v>1712</v>
      </c>
      <c r="U39" s="8">
        <v>535</v>
      </c>
      <c r="V39" s="6">
        <v>727</v>
      </c>
      <c r="W39" s="6">
        <v>142</v>
      </c>
      <c r="X39" s="6">
        <v>167</v>
      </c>
      <c r="Y39" s="6">
        <v>152</v>
      </c>
      <c r="Z39" s="6">
        <v>155</v>
      </c>
      <c r="AA39" s="6">
        <v>275</v>
      </c>
      <c r="AB39" s="6">
        <v>299</v>
      </c>
      <c r="AC39" s="6">
        <v>294</v>
      </c>
      <c r="AD39" s="6">
        <v>322</v>
      </c>
      <c r="AE39" s="6">
        <v>574</v>
      </c>
      <c r="AF39" s="6">
        <v>871</v>
      </c>
      <c r="AG39" s="6">
        <v>330</v>
      </c>
      <c r="AH39" s="6">
        <v>355</v>
      </c>
      <c r="AI39" s="6">
        <v>196</v>
      </c>
      <c r="AJ39" s="6">
        <v>526</v>
      </c>
      <c r="AK39" s="6">
        <v>550</v>
      </c>
      <c r="AL39" s="6">
        <v>848</v>
      </c>
      <c r="AM39" s="6">
        <v>238</v>
      </c>
      <c r="AN39" s="6">
        <v>242</v>
      </c>
      <c r="AO39" s="6">
        <v>1086</v>
      </c>
      <c r="AP39" s="6">
        <v>246</v>
      </c>
      <c r="AQ39" s="6">
        <v>215</v>
      </c>
      <c r="AR39" s="6">
        <v>508</v>
      </c>
    </row>
    <row r="40" spans="1:44" x14ac:dyDescent="0.35">
      <c r="A40" s="7">
        <v>1909</v>
      </c>
      <c r="B40" s="6">
        <v>118</v>
      </c>
      <c r="C40" s="6">
        <v>155</v>
      </c>
      <c r="D40" s="6">
        <v>278</v>
      </c>
      <c r="E40" s="6">
        <v>282</v>
      </c>
      <c r="F40" s="6">
        <v>385</v>
      </c>
      <c r="G40" s="6">
        <v>422</v>
      </c>
      <c r="H40" s="6">
        <v>396</v>
      </c>
      <c r="I40" s="6">
        <v>438</v>
      </c>
      <c r="J40" s="6">
        <v>910</v>
      </c>
      <c r="K40" s="6">
        <v>1051</v>
      </c>
      <c r="L40" s="6">
        <v>551</v>
      </c>
      <c r="M40" s="6">
        <v>588</v>
      </c>
      <c r="N40" s="6">
        <v>258</v>
      </c>
      <c r="O40" s="6">
        <v>440</v>
      </c>
      <c r="P40" s="6">
        <v>445</v>
      </c>
      <c r="Q40" s="6">
        <v>809</v>
      </c>
      <c r="R40" s="8">
        <v>846</v>
      </c>
      <c r="S40" s="8">
        <v>1246</v>
      </c>
      <c r="T40" s="8">
        <v>1687</v>
      </c>
      <c r="U40" s="6">
        <v>558</v>
      </c>
      <c r="V40" s="6">
        <v>772</v>
      </c>
      <c r="W40" s="6">
        <v>170</v>
      </c>
      <c r="X40" s="6">
        <v>196</v>
      </c>
      <c r="Y40" s="6">
        <v>165</v>
      </c>
      <c r="Z40" s="6">
        <v>170</v>
      </c>
      <c r="AA40" s="6">
        <v>313</v>
      </c>
      <c r="AB40" s="6">
        <v>339</v>
      </c>
      <c r="AC40" s="6">
        <v>335</v>
      </c>
      <c r="AD40" s="6">
        <v>366</v>
      </c>
      <c r="AE40" s="6">
        <v>756</v>
      </c>
      <c r="AF40" s="6">
        <v>1123</v>
      </c>
      <c r="AG40" s="6">
        <v>496</v>
      </c>
      <c r="AH40" s="6">
        <v>521</v>
      </c>
      <c r="AI40" s="6">
        <v>279</v>
      </c>
      <c r="AJ40" s="6">
        <v>775</v>
      </c>
      <c r="AK40" s="6">
        <v>801</v>
      </c>
      <c r="AL40" s="6">
        <v>1140</v>
      </c>
      <c r="AM40" s="6">
        <v>284</v>
      </c>
      <c r="AN40" s="6">
        <v>288</v>
      </c>
      <c r="AO40" s="6">
        <v>1424</v>
      </c>
      <c r="AP40" s="6">
        <v>305</v>
      </c>
      <c r="AQ40" s="6">
        <v>301</v>
      </c>
      <c r="AR40" s="6">
        <v>664</v>
      </c>
    </row>
    <row r="41" spans="1:44" x14ac:dyDescent="0.35">
      <c r="A41" s="7">
        <v>1910</v>
      </c>
      <c r="B41" s="6">
        <v>95</v>
      </c>
      <c r="C41" s="6">
        <v>131</v>
      </c>
      <c r="D41" s="6">
        <v>248</v>
      </c>
      <c r="E41" s="6">
        <v>253</v>
      </c>
      <c r="F41" s="6">
        <v>332</v>
      </c>
      <c r="G41" s="6">
        <v>368</v>
      </c>
      <c r="H41" s="6">
        <v>343</v>
      </c>
      <c r="I41" s="6">
        <v>384</v>
      </c>
      <c r="J41" s="6">
        <v>926</v>
      </c>
      <c r="K41" s="6">
        <v>1094</v>
      </c>
      <c r="L41" s="6">
        <v>627</v>
      </c>
      <c r="M41" s="6">
        <v>663</v>
      </c>
      <c r="N41" s="8">
        <v>293</v>
      </c>
      <c r="O41" s="8">
        <v>509</v>
      </c>
      <c r="P41" s="8">
        <v>514</v>
      </c>
      <c r="Q41" s="8">
        <v>919</v>
      </c>
      <c r="R41" s="8">
        <v>955</v>
      </c>
      <c r="S41" s="8">
        <v>1303</v>
      </c>
      <c r="T41" s="8">
        <v>1812</v>
      </c>
      <c r="U41" s="6">
        <v>634</v>
      </c>
      <c r="V41" s="6">
        <v>881</v>
      </c>
      <c r="W41" s="6">
        <v>156</v>
      </c>
      <c r="X41" s="6">
        <v>180</v>
      </c>
      <c r="Y41" s="6">
        <v>188</v>
      </c>
      <c r="Z41" s="6">
        <v>194</v>
      </c>
      <c r="AA41" s="6">
        <v>321</v>
      </c>
      <c r="AB41" s="6">
        <v>346</v>
      </c>
      <c r="AC41" s="6">
        <v>343</v>
      </c>
      <c r="AD41" s="6">
        <v>374</v>
      </c>
      <c r="AE41" s="6">
        <v>775</v>
      </c>
      <c r="AF41" s="6">
        <v>1154</v>
      </c>
      <c r="AG41" s="6">
        <v>514</v>
      </c>
      <c r="AH41" s="6">
        <v>538</v>
      </c>
      <c r="AI41" s="6">
        <v>320</v>
      </c>
      <c r="AJ41" s="6">
        <v>833</v>
      </c>
      <c r="AK41" s="6">
        <v>858</v>
      </c>
      <c r="AL41" s="6">
        <v>1208</v>
      </c>
      <c r="AM41" s="6">
        <v>299</v>
      </c>
      <c r="AN41" s="6">
        <v>296</v>
      </c>
      <c r="AO41" s="6">
        <v>1497</v>
      </c>
      <c r="AP41" s="6">
        <v>315</v>
      </c>
      <c r="AQ41" s="6">
        <v>342</v>
      </c>
      <c r="AR41" s="6">
        <v>716</v>
      </c>
    </row>
    <row r="42" spans="1:44" x14ac:dyDescent="0.35">
      <c r="A42" s="7">
        <v>1911</v>
      </c>
      <c r="B42" s="6">
        <v>117</v>
      </c>
      <c r="C42" s="6">
        <v>159</v>
      </c>
      <c r="D42" s="6">
        <v>303</v>
      </c>
      <c r="E42" s="6">
        <v>307</v>
      </c>
      <c r="F42" s="6">
        <v>409</v>
      </c>
      <c r="G42" s="6">
        <v>451</v>
      </c>
      <c r="H42" s="6">
        <v>420</v>
      </c>
      <c r="I42" s="6">
        <v>466</v>
      </c>
      <c r="J42" s="6">
        <v>1003</v>
      </c>
      <c r="K42" s="6">
        <v>1185</v>
      </c>
      <c r="L42" s="6">
        <v>631</v>
      </c>
      <c r="M42" s="8">
        <v>673</v>
      </c>
      <c r="N42" s="8">
        <v>340</v>
      </c>
      <c r="O42" s="8">
        <v>609</v>
      </c>
      <c r="P42" s="8">
        <v>614</v>
      </c>
      <c r="Q42" s="8">
        <v>971</v>
      </c>
      <c r="R42" s="6">
        <v>1013</v>
      </c>
      <c r="S42" s="6">
        <v>1437</v>
      </c>
      <c r="T42" s="6">
        <v>2046</v>
      </c>
      <c r="U42" s="6">
        <v>760</v>
      </c>
      <c r="V42" s="6">
        <v>1039</v>
      </c>
      <c r="W42" s="6">
        <v>193</v>
      </c>
      <c r="X42" s="6">
        <v>225</v>
      </c>
      <c r="Y42" s="6">
        <v>177</v>
      </c>
      <c r="Z42" s="6">
        <v>182</v>
      </c>
      <c r="AA42" s="6">
        <v>347</v>
      </c>
      <c r="AB42" s="6">
        <v>379</v>
      </c>
      <c r="AC42" s="6">
        <v>370</v>
      </c>
      <c r="AD42" s="6">
        <v>407</v>
      </c>
      <c r="AE42" s="6">
        <v>768</v>
      </c>
      <c r="AF42" s="6">
        <v>1126</v>
      </c>
      <c r="AG42" s="6">
        <v>470</v>
      </c>
      <c r="AH42" s="10">
        <v>502</v>
      </c>
      <c r="AI42" s="6">
        <v>315</v>
      </c>
      <c r="AJ42" s="6">
        <v>786</v>
      </c>
      <c r="AK42" s="6">
        <v>818</v>
      </c>
      <c r="AL42" s="6">
        <v>1193</v>
      </c>
      <c r="AM42" s="6">
        <v>274</v>
      </c>
      <c r="AN42" s="6">
        <v>279</v>
      </c>
      <c r="AO42" s="6">
        <v>1467</v>
      </c>
      <c r="AP42" s="6">
        <v>307</v>
      </c>
      <c r="AQ42" s="6">
        <v>340</v>
      </c>
      <c r="AR42" s="6">
        <v>693</v>
      </c>
    </row>
    <row r="43" spans="1:44" x14ac:dyDescent="0.35">
      <c r="A43" s="7">
        <v>1912</v>
      </c>
      <c r="B43" s="6">
        <v>145</v>
      </c>
      <c r="C43" s="6">
        <v>192</v>
      </c>
      <c r="D43" s="6">
        <v>299</v>
      </c>
      <c r="E43" s="6">
        <v>304</v>
      </c>
      <c r="F43" s="6">
        <v>431</v>
      </c>
      <c r="G43" s="6">
        <v>478</v>
      </c>
      <c r="H43" s="6">
        <v>443</v>
      </c>
      <c r="I43" s="6">
        <v>496</v>
      </c>
      <c r="J43" s="6">
        <v>1137</v>
      </c>
      <c r="K43" s="6">
        <v>1336</v>
      </c>
      <c r="L43" s="6">
        <v>748</v>
      </c>
      <c r="M43" s="8">
        <v>795</v>
      </c>
      <c r="N43" s="6">
        <v>400</v>
      </c>
      <c r="O43" s="6">
        <v>707</v>
      </c>
      <c r="P43" s="6">
        <v>713</v>
      </c>
      <c r="Q43" s="6">
        <v>1148</v>
      </c>
      <c r="R43" s="6">
        <v>1195</v>
      </c>
      <c r="S43" s="6">
        <v>1643</v>
      </c>
      <c r="T43" s="6">
        <v>2351</v>
      </c>
      <c r="U43" s="6">
        <v>897</v>
      </c>
      <c r="V43" s="6">
        <v>1208</v>
      </c>
      <c r="W43" s="6">
        <v>243</v>
      </c>
      <c r="X43" s="6">
        <v>276</v>
      </c>
      <c r="Y43" s="6">
        <v>203</v>
      </c>
      <c r="Z43" s="6">
        <v>209</v>
      </c>
      <c r="AA43" s="6">
        <v>422</v>
      </c>
      <c r="AB43" s="6">
        <v>455</v>
      </c>
      <c r="AC43" s="6">
        <v>446</v>
      </c>
      <c r="AD43" s="6">
        <v>485</v>
      </c>
      <c r="AE43" s="6">
        <v>957</v>
      </c>
      <c r="AF43" s="6">
        <v>1349</v>
      </c>
      <c r="AG43" s="6">
        <v>603</v>
      </c>
      <c r="AH43" s="6">
        <v>636</v>
      </c>
      <c r="AI43" s="6">
        <v>342</v>
      </c>
      <c r="AJ43" s="6">
        <v>944</v>
      </c>
      <c r="AK43" s="6">
        <v>977</v>
      </c>
      <c r="AL43" s="6">
        <v>1429</v>
      </c>
      <c r="AM43" s="6">
        <v>296</v>
      </c>
      <c r="AN43" s="6">
        <v>302</v>
      </c>
      <c r="AO43" s="6">
        <v>1725</v>
      </c>
      <c r="AP43" s="6">
        <v>363</v>
      </c>
      <c r="AQ43" s="6">
        <v>377</v>
      </c>
      <c r="AR43" s="6">
        <v>762</v>
      </c>
    </row>
    <row r="44" spans="1:44" x14ac:dyDescent="0.35">
      <c r="A44" s="7">
        <v>1913</v>
      </c>
      <c r="B44" s="6">
        <v>172</v>
      </c>
      <c r="C44" s="6">
        <v>225</v>
      </c>
      <c r="D44" s="6">
        <v>318</v>
      </c>
      <c r="E44" s="6">
        <v>325</v>
      </c>
      <c r="F44" s="6">
        <v>475</v>
      </c>
      <c r="G44" s="6">
        <v>528</v>
      </c>
      <c r="H44" s="6">
        <v>490</v>
      </c>
      <c r="I44" s="6">
        <v>550</v>
      </c>
      <c r="J44" s="6">
        <v>1141</v>
      </c>
      <c r="K44" s="6">
        <v>1344</v>
      </c>
      <c r="L44" s="6">
        <v>718</v>
      </c>
      <c r="M44" s="6">
        <v>771</v>
      </c>
      <c r="N44" s="6">
        <v>420</v>
      </c>
      <c r="O44" s="6">
        <v>752</v>
      </c>
      <c r="P44" s="6">
        <v>759</v>
      </c>
      <c r="Q44" s="6">
        <v>1138</v>
      </c>
      <c r="R44" s="6">
        <v>1191</v>
      </c>
      <c r="S44" s="6">
        <v>1688</v>
      </c>
      <c r="T44" s="6">
        <v>2440</v>
      </c>
      <c r="U44" s="8">
        <v>973</v>
      </c>
      <c r="V44" s="8">
        <v>1292</v>
      </c>
      <c r="W44" s="6">
        <v>231</v>
      </c>
      <c r="X44" s="6">
        <v>267</v>
      </c>
      <c r="Y44" s="6">
        <v>191</v>
      </c>
      <c r="Z44" s="6">
        <v>197</v>
      </c>
      <c r="AA44" s="6">
        <v>396</v>
      </c>
      <c r="AB44" s="6">
        <v>432</v>
      </c>
      <c r="AC44" s="6">
        <v>422</v>
      </c>
      <c r="AD44" s="6">
        <v>464</v>
      </c>
      <c r="AE44" s="6">
        <v>890</v>
      </c>
      <c r="AF44" s="6">
        <v>1312</v>
      </c>
      <c r="AG44" s="6">
        <v>572</v>
      </c>
      <c r="AH44" s="6">
        <v>608</v>
      </c>
      <c r="AI44" s="6">
        <v>355</v>
      </c>
      <c r="AJ44" s="6">
        <v>927</v>
      </c>
      <c r="AK44" s="6">
        <v>963</v>
      </c>
      <c r="AL44" s="6">
        <v>1391</v>
      </c>
      <c r="AM44" s="6">
        <v>332</v>
      </c>
      <c r="AN44" s="6">
        <v>338</v>
      </c>
      <c r="AO44" s="6">
        <v>1724</v>
      </c>
      <c r="AP44" s="6">
        <v>374</v>
      </c>
      <c r="AQ44" s="6">
        <v>412</v>
      </c>
      <c r="AR44" s="6">
        <v>828</v>
      </c>
    </row>
    <row r="45" spans="1:44" x14ac:dyDescent="0.35">
      <c r="A45" s="7">
        <v>1914</v>
      </c>
      <c r="B45" s="6">
        <v>275</v>
      </c>
      <c r="C45" s="6">
        <v>319</v>
      </c>
      <c r="D45" s="6">
        <v>306</v>
      </c>
      <c r="E45" s="6">
        <v>313</v>
      </c>
      <c r="F45" s="6">
        <v>566</v>
      </c>
      <c r="G45" s="6">
        <v>610</v>
      </c>
      <c r="H45" s="6">
        <v>581</v>
      </c>
      <c r="I45" s="6">
        <v>632</v>
      </c>
      <c r="J45" s="6">
        <v>997</v>
      </c>
      <c r="K45" s="6">
        <v>1158</v>
      </c>
      <c r="L45" s="6">
        <v>464</v>
      </c>
      <c r="M45" s="6">
        <v>507</v>
      </c>
      <c r="N45" s="6">
        <v>358</v>
      </c>
      <c r="O45" s="6">
        <v>609</v>
      </c>
      <c r="P45" s="6">
        <v>615</v>
      </c>
      <c r="Q45" s="6">
        <v>822</v>
      </c>
      <c r="R45" s="6">
        <v>866</v>
      </c>
      <c r="S45" s="8">
        <v>1454</v>
      </c>
      <c r="T45" s="8">
        <v>2062</v>
      </c>
      <c r="U45" s="8">
        <v>784</v>
      </c>
      <c r="V45" s="8">
        <v>1058</v>
      </c>
      <c r="W45" s="6">
        <v>247</v>
      </c>
      <c r="X45" s="6">
        <v>282</v>
      </c>
      <c r="Y45" s="6">
        <v>248</v>
      </c>
      <c r="Z45" s="6">
        <v>252</v>
      </c>
      <c r="AA45" s="6">
        <v>468</v>
      </c>
      <c r="AB45" s="6">
        <v>503</v>
      </c>
      <c r="AC45" s="6">
        <v>495</v>
      </c>
      <c r="AD45" s="6">
        <v>534</v>
      </c>
      <c r="AE45" s="6">
        <v>982</v>
      </c>
      <c r="AF45" s="6">
        <v>1413</v>
      </c>
      <c r="AG45" s="6">
        <v>564</v>
      </c>
      <c r="AH45" s="6">
        <v>598</v>
      </c>
      <c r="AI45" s="6">
        <v>293</v>
      </c>
      <c r="AJ45" s="6">
        <v>857</v>
      </c>
      <c r="AK45" s="6">
        <v>892</v>
      </c>
      <c r="AL45" s="6">
        <v>1391</v>
      </c>
      <c r="AM45" s="6">
        <v>341</v>
      </c>
      <c r="AN45" s="6">
        <v>346</v>
      </c>
      <c r="AO45" s="6">
        <v>1732</v>
      </c>
      <c r="AP45" s="6">
        <v>368</v>
      </c>
      <c r="AQ45" s="6">
        <v>318</v>
      </c>
      <c r="AR45" s="6">
        <v>745</v>
      </c>
    </row>
    <row r="46" spans="1:44" x14ac:dyDescent="0.35">
      <c r="A46" s="7">
        <v>1915</v>
      </c>
      <c r="B46" s="6">
        <v>461</v>
      </c>
      <c r="C46" s="6">
        <v>514</v>
      </c>
      <c r="D46" s="6">
        <v>544</v>
      </c>
      <c r="E46" s="6">
        <v>550</v>
      </c>
      <c r="F46" s="6">
        <v>983</v>
      </c>
      <c r="G46" s="6">
        <v>1035</v>
      </c>
      <c r="H46" s="6">
        <v>1005</v>
      </c>
      <c r="I46" s="6">
        <v>1064</v>
      </c>
      <c r="J46" s="6">
        <v>1608</v>
      </c>
      <c r="K46" s="6">
        <v>1787</v>
      </c>
      <c r="L46" s="6">
        <v>633</v>
      </c>
      <c r="M46" s="6">
        <v>686</v>
      </c>
      <c r="N46" s="6">
        <v>531</v>
      </c>
      <c r="O46" s="8">
        <v>1246</v>
      </c>
      <c r="P46" s="8">
        <v>1252</v>
      </c>
      <c r="Q46" s="8">
        <v>1165</v>
      </c>
      <c r="R46" s="8">
        <v>1217</v>
      </c>
      <c r="S46" s="8">
        <v>2228</v>
      </c>
      <c r="T46" s="8">
        <v>3475</v>
      </c>
      <c r="U46" s="6">
        <v>1430</v>
      </c>
      <c r="V46" s="6">
        <v>1861</v>
      </c>
      <c r="W46" s="6">
        <v>250</v>
      </c>
      <c r="X46" s="6">
        <v>271</v>
      </c>
      <c r="Y46" s="6">
        <v>264</v>
      </c>
      <c r="Z46" s="6">
        <v>268</v>
      </c>
      <c r="AA46" s="6">
        <v>491</v>
      </c>
      <c r="AB46" s="6">
        <v>512</v>
      </c>
      <c r="AC46" s="6">
        <v>514</v>
      </c>
      <c r="AD46" s="6">
        <v>539</v>
      </c>
      <c r="AE46" s="6">
        <v>1084</v>
      </c>
      <c r="AF46" s="6">
        <v>1424</v>
      </c>
      <c r="AG46" s="6">
        <v>669</v>
      </c>
      <c r="AH46" s="6">
        <v>691</v>
      </c>
      <c r="AI46" s="6">
        <v>278</v>
      </c>
      <c r="AJ46" s="6">
        <v>948</v>
      </c>
      <c r="AK46" s="6">
        <v>969</v>
      </c>
      <c r="AL46" s="6">
        <v>1487</v>
      </c>
      <c r="AM46" s="6">
        <v>243</v>
      </c>
      <c r="AN46" s="6">
        <v>247</v>
      </c>
      <c r="AO46" s="6">
        <v>1730</v>
      </c>
      <c r="AP46" s="6">
        <v>264</v>
      </c>
      <c r="AQ46" s="6">
        <v>306</v>
      </c>
      <c r="AR46" s="6">
        <v>641</v>
      </c>
    </row>
    <row r="47" spans="1:44" x14ac:dyDescent="0.35">
      <c r="A47" s="7">
        <v>1916</v>
      </c>
      <c r="B47" s="6">
        <v>417</v>
      </c>
      <c r="C47" s="6">
        <v>480</v>
      </c>
      <c r="D47" s="6">
        <v>628</v>
      </c>
      <c r="E47" s="6">
        <v>639</v>
      </c>
      <c r="F47" s="6">
        <v>1020</v>
      </c>
      <c r="G47" s="6">
        <v>1083</v>
      </c>
      <c r="H47" s="6">
        <v>1046</v>
      </c>
      <c r="I47" s="6">
        <v>1119</v>
      </c>
      <c r="J47" s="6">
        <v>1756</v>
      </c>
      <c r="K47" s="6">
        <v>1983</v>
      </c>
      <c r="L47" s="6">
        <v>751</v>
      </c>
      <c r="M47" s="8">
        <v>813</v>
      </c>
      <c r="N47" s="8">
        <v>1040</v>
      </c>
      <c r="O47" s="8">
        <v>2507</v>
      </c>
      <c r="P47" s="8">
        <v>2518</v>
      </c>
      <c r="Q47" s="8">
        <v>1791</v>
      </c>
      <c r="R47" s="8">
        <v>1854</v>
      </c>
      <c r="S47" s="6">
        <v>2910</v>
      </c>
      <c r="T47" s="6">
        <v>5417</v>
      </c>
      <c r="U47" s="6">
        <v>3136</v>
      </c>
      <c r="V47" s="6">
        <v>3651</v>
      </c>
      <c r="W47" s="6">
        <v>266</v>
      </c>
      <c r="X47" s="6">
        <v>293</v>
      </c>
      <c r="Y47" s="6">
        <v>328</v>
      </c>
      <c r="Z47" s="6">
        <v>334</v>
      </c>
      <c r="AA47" s="6">
        <v>565</v>
      </c>
      <c r="AB47" s="6">
        <v>592</v>
      </c>
      <c r="AC47" s="6">
        <v>594</v>
      </c>
      <c r="AD47" s="6">
        <v>627</v>
      </c>
      <c r="AE47" s="6">
        <v>1403</v>
      </c>
      <c r="AF47" s="6">
        <v>1845</v>
      </c>
      <c r="AG47" s="6">
        <v>975</v>
      </c>
      <c r="AH47" s="6">
        <v>1002</v>
      </c>
      <c r="AI47" s="6">
        <v>455</v>
      </c>
      <c r="AJ47" s="6">
        <v>1430</v>
      </c>
      <c r="AK47" s="6">
        <v>1457</v>
      </c>
      <c r="AL47" s="6">
        <v>2057</v>
      </c>
      <c r="AM47" s="6">
        <v>289</v>
      </c>
      <c r="AN47" s="6">
        <v>295</v>
      </c>
      <c r="AO47" s="6">
        <v>2346</v>
      </c>
      <c r="AP47" s="6">
        <v>317</v>
      </c>
      <c r="AQ47" s="6">
        <v>501</v>
      </c>
      <c r="AR47" s="6">
        <v>937</v>
      </c>
    </row>
    <row r="48" spans="1:44" x14ac:dyDescent="0.35">
      <c r="A48" s="7">
        <v>1917</v>
      </c>
      <c r="B48" s="6">
        <v>496</v>
      </c>
      <c r="C48" s="6">
        <v>542</v>
      </c>
      <c r="D48" s="6">
        <v>807</v>
      </c>
      <c r="E48" s="6">
        <v>823</v>
      </c>
      <c r="F48" s="6">
        <v>1276</v>
      </c>
      <c r="G48" s="6">
        <v>1321</v>
      </c>
      <c r="H48" s="6">
        <v>1303</v>
      </c>
      <c r="I48" s="6">
        <v>1365</v>
      </c>
      <c r="J48" s="6">
        <v>1980</v>
      </c>
      <c r="K48" s="6">
        <v>2208</v>
      </c>
      <c r="L48" s="6">
        <v>786</v>
      </c>
      <c r="M48" s="8">
        <v>831</v>
      </c>
      <c r="N48" s="8">
        <v>1427</v>
      </c>
      <c r="O48" s="6">
        <v>2583</v>
      </c>
      <c r="P48" s="6">
        <v>2600</v>
      </c>
      <c r="Q48" s="6">
        <v>2213</v>
      </c>
      <c r="R48" s="6">
        <v>2258</v>
      </c>
      <c r="S48" s="6">
        <v>3578</v>
      </c>
      <c r="T48" s="6">
        <v>6161</v>
      </c>
      <c r="U48" s="6">
        <v>3649</v>
      </c>
      <c r="V48" s="8">
        <v>4164</v>
      </c>
      <c r="W48" s="6">
        <v>382</v>
      </c>
      <c r="X48" s="6">
        <v>415</v>
      </c>
      <c r="Y48" s="6">
        <v>342</v>
      </c>
      <c r="Z48" s="6">
        <v>349</v>
      </c>
      <c r="AA48" s="6">
        <v>690</v>
      </c>
      <c r="AB48" s="6">
        <v>724</v>
      </c>
      <c r="AC48" s="6">
        <v>723</v>
      </c>
      <c r="AD48" s="6">
        <v>764</v>
      </c>
      <c r="AE48" s="6">
        <v>1813</v>
      </c>
      <c r="AF48" s="6">
        <v>2338</v>
      </c>
      <c r="AG48" s="6">
        <v>1241</v>
      </c>
      <c r="AH48" s="6">
        <v>1275</v>
      </c>
      <c r="AI48" s="6">
        <v>565</v>
      </c>
      <c r="AJ48" s="6">
        <v>1806</v>
      </c>
      <c r="AK48" s="6">
        <v>1840</v>
      </c>
      <c r="AL48" s="6">
        <v>2570</v>
      </c>
      <c r="AM48" s="6">
        <v>331</v>
      </c>
      <c r="AN48" s="6">
        <v>338</v>
      </c>
      <c r="AO48" s="6">
        <v>2901</v>
      </c>
      <c r="AP48" s="6">
        <v>356</v>
      </c>
      <c r="AQ48" s="6">
        <v>563</v>
      </c>
      <c r="AR48" s="6">
        <v>1081</v>
      </c>
    </row>
    <row r="49" spans="1:44" x14ac:dyDescent="0.35">
      <c r="A49" s="7">
        <v>1918</v>
      </c>
      <c r="B49" s="6">
        <v>535</v>
      </c>
      <c r="C49" s="6">
        <v>658</v>
      </c>
      <c r="D49" s="6">
        <v>1406</v>
      </c>
      <c r="E49" s="6">
        <v>1436</v>
      </c>
      <c r="F49" s="6">
        <v>1907</v>
      </c>
      <c r="G49" s="6">
        <v>2030</v>
      </c>
      <c r="H49" s="6">
        <v>1941</v>
      </c>
      <c r="I49" s="6">
        <v>2094</v>
      </c>
      <c r="J49" s="6">
        <v>2749</v>
      </c>
      <c r="K49" s="6">
        <v>2978</v>
      </c>
      <c r="L49" s="6">
        <v>848</v>
      </c>
      <c r="M49" s="6">
        <v>971</v>
      </c>
      <c r="N49" s="6">
        <v>1121</v>
      </c>
      <c r="O49" s="6">
        <v>1978</v>
      </c>
      <c r="P49" s="6">
        <v>2008</v>
      </c>
      <c r="Q49" s="6">
        <v>1970</v>
      </c>
      <c r="R49" s="6">
        <v>2092</v>
      </c>
      <c r="S49" s="6">
        <v>4064</v>
      </c>
      <c r="T49" s="6">
        <v>6042</v>
      </c>
      <c r="U49" s="8">
        <v>2713</v>
      </c>
      <c r="V49" s="8">
        <v>3263</v>
      </c>
      <c r="W49" s="6">
        <v>338</v>
      </c>
      <c r="X49" s="6">
        <v>390</v>
      </c>
      <c r="Y49" s="6">
        <v>390</v>
      </c>
      <c r="Z49" s="6">
        <v>399</v>
      </c>
      <c r="AA49" s="6">
        <v>699</v>
      </c>
      <c r="AB49" s="6">
        <v>751</v>
      </c>
      <c r="AC49" s="6">
        <v>728</v>
      </c>
      <c r="AD49" s="6">
        <v>789</v>
      </c>
      <c r="AE49" s="6">
        <v>1799</v>
      </c>
      <c r="AF49" s="6">
        <v>2322</v>
      </c>
      <c r="AG49" s="6">
        <v>1183</v>
      </c>
      <c r="AH49" s="6">
        <v>1236</v>
      </c>
      <c r="AI49" s="6">
        <v>610</v>
      </c>
      <c r="AJ49" s="6">
        <v>1794</v>
      </c>
      <c r="AK49" s="6">
        <v>1846</v>
      </c>
      <c r="AL49" s="6">
        <v>2583</v>
      </c>
      <c r="AM49" s="6">
        <v>413</v>
      </c>
      <c r="AN49" s="6">
        <v>421</v>
      </c>
      <c r="AO49" s="6">
        <v>2995</v>
      </c>
      <c r="AP49" s="6">
        <v>429</v>
      </c>
      <c r="AQ49" s="6">
        <v>673</v>
      </c>
      <c r="AR49" s="6">
        <v>1187</v>
      </c>
    </row>
    <row r="50" spans="1:44" x14ac:dyDescent="0.35">
      <c r="A50" s="7">
        <v>1919</v>
      </c>
      <c r="B50" s="6">
        <v>649</v>
      </c>
      <c r="C50" s="6">
        <v>909</v>
      </c>
      <c r="D50" s="6">
        <v>1968</v>
      </c>
      <c r="E50" s="6">
        <v>2015</v>
      </c>
      <c r="F50" s="6">
        <v>2551</v>
      </c>
      <c r="G50" s="6">
        <v>2811</v>
      </c>
      <c r="H50" s="6">
        <v>2617</v>
      </c>
      <c r="I50" s="6">
        <v>2924</v>
      </c>
      <c r="J50" s="6">
        <v>4091</v>
      </c>
      <c r="K50" s="6">
        <v>4619</v>
      </c>
      <c r="L50" s="6">
        <v>1359</v>
      </c>
      <c r="M50" s="6">
        <v>1619</v>
      </c>
      <c r="N50" s="6">
        <v>1077</v>
      </c>
      <c r="O50" s="6">
        <v>2375</v>
      </c>
      <c r="P50" s="6">
        <v>2422</v>
      </c>
      <c r="Q50" s="6">
        <v>2436</v>
      </c>
      <c r="R50" s="6">
        <v>2696</v>
      </c>
      <c r="S50" s="8">
        <v>5360</v>
      </c>
      <c r="T50" s="8">
        <v>7795</v>
      </c>
      <c r="U50" s="8">
        <v>2553</v>
      </c>
      <c r="V50" s="6">
        <v>3598</v>
      </c>
      <c r="W50" s="6">
        <v>554</v>
      </c>
      <c r="X50" s="6">
        <v>630</v>
      </c>
      <c r="Y50" s="6">
        <v>557</v>
      </c>
      <c r="Z50" s="6">
        <v>569</v>
      </c>
      <c r="AA50" s="6">
        <v>1075</v>
      </c>
      <c r="AB50" s="6">
        <v>1150</v>
      </c>
      <c r="AC50" s="6">
        <v>1112</v>
      </c>
      <c r="AD50" s="6">
        <v>1198</v>
      </c>
      <c r="AE50" s="6">
        <v>2598</v>
      </c>
      <c r="AF50" s="6">
        <v>3241</v>
      </c>
      <c r="AG50" s="6">
        <v>1622</v>
      </c>
      <c r="AH50" s="6">
        <v>1697</v>
      </c>
      <c r="AI50" s="6">
        <v>581</v>
      </c>
      <c r="AJ50" s="6">
        <v>2203</v>
      </c>
      <c r="AK50" s="6">
        <v>2278</v>
      </c>
      <c r="AL50" s="6">
        <v>3401</v>
      </c>
      <c r="AM50" s="6">
        <v>429</v>
      </c>
      <c r="AN50" s="6">
        <v>441</v>
      </c>
      <c r="AO50" s="6">
        <v>3830</v>
      </c>
      <c r="AP50" s="6">
        <v>462</v>
      </c>
      <c r="AQ50" s="6">
        <v>589</v>
      </c>
      <c r="AR50" s="6">
        <v>1221</v>
      </c>
    </row>
    <row r="51" spans="1:44" x14ac:dyDescent="0.35">
      <c r="A51" s="7">
        <v>1920</v>
      </c>
      <c r="B51" s="6">
        <v>885</v>
      </c>
      <c r="C51" s="6">
        <v>1131</v>
      </c>
      <c r="D51" s="6">
        <v>1127</v>
      </c>
      <c r="E51" s="6">
        <v>1170</v>
      </c>
      <c r="F51" s="6">
        <v>1960</v>
      </c>
      <c r="G51" s="6">
        <v>2206</v>
      </c>
      <c r="H51" s="6">
        <v>2012</v>
      </c>
      <c r="I51" s="6">
        <v>2301</v>
      </c>
      <c r="J51" s="6">
        <v>3441</v>
      </c>
      <c r="K51" s="6">
        <v>3899</v>
      </c>
      <c r="L51" s="6">
        <v>1627</v>
      </c>
      <c r="M51" s="6">
        <v>1872</v>
      </c>
      <c r="N51" s="6">
        <v>1086</v>
      </c>
      <c r="O51" s="6">
        <v>3041</v>
      </c>
      <c r="P51" s="6">
        <v>3084</v>
      </c>
      <c r="Q51" s="8">
        <v>2712</v>
      </c>
      <c r="R51" s="8">
        <v>2958</v>
      </c>
      <c r="S51" s="8">
        <v>5013</v>
      </c>
      <c r="T51" s="8">
        <v>8054</v>
      </c>
      <c r="U51" s="6">
        <v>3466</v>
      </c>
      <c r="V51" s="6">
        <v>4570</v>
      </c>
      <c r="W51" s="6">
        <v>598</v>
      </c>
      <c r="X51" s="6">
        <v>680</v>
      </c>
      <c r="Y51" s="6">
        <v>1221</v>
      </c>
      <c r="Z51" s="6">
        <v>1238</v>
      </c>
      <c r="AA51" s="6">
        <v>1780</v>
      </c>
      <c r="AB51" s="6">
        <v>1862</v>
      </c>
      <c r="AC51" s="6">
        <v>1819</v>
      </c>
      <c r="AD51" s="6">
        <v>1918</v>
      </c>
      <c r="AE51" s="6">
        <v>3241</v>
      </c>
      <c r="AF51" s="6">
        <v>4317</v>
      </c>
      <c r="AG51" s="6">
        <v>1670</v>
      </c>
      <c r="AH51" s="6">
        <v>1752</v>
      </c>
      <c r="AI51" s="6">
        <v>843</v>
      </c>
      <c r="AJ51" s="6">
        <v>2513</v>
      </c>
      <c r="AK51" s="6">
        <v>2595</v>
      </c>
      <c r="AL51" s="6">
        <v>4431</v>
      </c>
      <c r="AM51" s="6">
        <v>709</v>
      </c>
      <c r="AN51" s="6">
        <v>726</v>
      </c>
      <c r="AO51" s="6">
        <v>5139</v>
      </c>
      <c r="AP51" s="6">
        <v>755</v>
      </c>
      <c r="AQ51" s="6">
        <v>822</v>
      </c>
      <c r="AR51" s="6">
        <v>1882</v>
      </c>
    </row>
    <row r="52" spans="1:44" x14ac:dyDescent="0.35">
      <c r="A52" s="7">
        <v>1921</v>
      </c>
      <c r="B52" s="6">
        <v>676</v>
      </c>
      <c r="C52" s="6">
        <v>881</v>
      </c>
      <c r="D52" s="6">
        <v>675</v>
      </c>
      <c r="E52" s="6">
        <v>696</v>
      </c>
      <c r="F52" s="6">
        <v>1330</v>
      </c>
      <c r="G52" s="6">
        <v>1536</v>
      </c>
      <c r="H52" s="6">
        <v>1351</v>
      </c>
      <c r="I52" s="6">
        <v>1577</v>
      </c>
      <c r="J52" s="6">
        <v>2113</v>
      </c>
      <c r="K52" s="6">
        <v>2293</v>
      </c>
      <c r="L52" s="6">
        <v>779</v>
      </c>
      <c r="M52" s="6">
        <v>984</v>
      </c>
      <c r="N52" s="6">
        <v>442</v>
      </c>
      <c r="O52" s="8">
        <v>1567</v>
      </c>
      <c r="P52" s="8">
        <v>1588</v>
      </c>
      <c r="Q52" s="8">
        <v>1221</v>
      </c>
      <c r="R52" s="8">
        <v>1426</v>
      </c>
      <c r="S52" s="6">
        <v>2798</v>
      </c>
      <c r="T52" s="6">
        <v>4365</v>
      </c>
      <c r="U52" s="6">
        <v>1838</v>
      </c>
      <c r="V52" s="6">
        <v>2231</v>
      </c>
      <c r="W52" s="6">
        <v>317</v>
      </c>
      <c r="X52" s="6">
        <v>371</v>
      </c>
      <c r="Y52" s="6">
        <v>350</v>
      </c>
      <c r="Z52" s="6">
        <v>356</v>
      </c>
      <c r="AA52" s="6">
        <v>635</v>
      </c>
      <c r="AB52" s="6">
        <v>689</v>
      </c>
      <c r="AC52" s="6">
        <v>666</v>
      </c>
      <c r="AD52" s="6">
        <v>727</v>
      </c>
      <c r="AE52" s="6">
        <v>1319</v>
      </c>
      <c r="AF52" s="6">
        <v>1967</v>
      </c>
      <c r="AG52" s="6">
        <v>802</v>
      </c>
      <c r="AH52" s="6">
        <v>856</v>
      </c>
      <c r="AI52" s="6">
        <v>375</v>
      </c>
      <c r="AJ52" s="6">
        <v>1177</v>
      </c>
      <c r="AK52" s="6">
        <v>1231</v>
      </c>
      <c r="AL52" s="6">
        <v>1904</v>
      </c>
      <c r="AM52" s="6">
        <v>508</v>
      </c>
      <c r="AN52" s="6">
        <v>514</v>
      </c>
      <c r="AO52" s="6">
        <v>2412</v>
      </c>
      <c r="AP52" s="6">
        <v>535</v>
      </c>
      <c r="AQ52" s="6">
        <v>445</v>
      </c>
      <c r="AR52" s="6">
        <v>1087</v>
      </c>
    </row>
    <row r="53" spans="1:44" x14ac:dyDescent="0.35">
      <c r="A53" s="7">
        <v>1922</v>
      </c>
      <c r="B53" s="6">
        <v>461</v>
      </c>
      <c r="C53" s="6">
        <v>607</v>
      </c>
      <c r="D53" s="6">
        <v>577</v>
      </c>
      <c r="E53" s="6">
        <v>604</v>
      </c>
      <c r="F53" s="6">
        <v>1018</v>
      </c>
      <c r="G53" s="6">
        <v>1164</v>
      </c>
      <c r="H53" s="6">
        <v>1038</v>
      </c>
      <c r="I53" s="6">
        <v>1211</v>
      </c>
      <c r="J53" s="6">
        <v>1883</v>
      </c>
      <c r="K53" s="6">
        <v>2113</v>
      </c>
      <c r="L53" s="6">
        <v>848</v>
      </c>
      <c r="M53" s="8">
        <v>994</v>
      </c>
      <c r="N53" s="8">
        <v>445</v>
      </c>
      <c r="O53" s="8">
        <v>1247</v>
      </c>
      <c r="P53" s="8">
        <v>1274</v>
      </c>
      <c r="Q53" s="6">
        <v>1293</v>
      </c>
      <c r="R53" s="6">
        <v>1439</v>
      </c>
      <c r="S53" s="6">
        <v>2504</v>
      </c>
      <c r="T53" s="6">
        <v>3751</v>
      </c>
      <c r="U53" s="6">
        <v>1402</v>
      </c>
      <c r="V53" s="6">
        <v>1841</v>
      </c>
      <c r="W53" s="6">
        <v>347</v>
      </c>
      <c r="X53" s="6">
        <v>413</v>
      </c>
      <c r="Y53" s="6">
        <v>363</v>
      </c>
      <c r="Z53" s="6">
        <v>371</v>
      </c>
      <c r="AA53" s="6">
        <v>679</v>
      </c>
      <c r="AB53" s="6">
        <v>745</v>
      </c>
      <c r="AC53" s="6">
        <v>711</v>
      </c>
      <c r="AD53" s="6">
        <v>784</v>
      </c>
      <c r="AE53" s="6">
        <v>1628</v>
      </c>
      <c r="AF53" s="6">
        <v>2392</v>
      </c>
      <c r="AG53" s="6">
        <v>1119</v>
      </c>
      <c r="AH53" s="6">
        <v>1185</v>
      </c>
      <c r="AI53" s="6">
        <v>562</v>
      </c>
      <c r="AJ53" s="6">
        <v>1681</v>
      </c>
      <c r="AK53" s="6">
        <v>1747</v>
      </c>
      <c r="AL53" s="6">
        <v>2465</v>
      </c>
      <c r="AM53" s="6">
        <v>561</v>
      </c>
      <c r="AN53" s="6">
        <v>569</v>
      </c>
      <c r="AO53" s="6">
        <v>3026</v>
      </c>
      <c r="AP53" s="6">
        <v>596</v>
      </c>
      <c r="AQ53" s="6">
        <v>634</v>
      </c>
      <c r="AR53" s="6">
        <v>1391</v>
      </c>
    </row>
    <row r="54" spans="1:44" x14ac:dyDescent="0.35">
      <c r="A54" s="7">
        <v>1923</v>
      </c>
      <c r="B54" s="6">
        <v>259</v>
      </c>
      <c r="C54" s="6">
        <v>413</v>
      </c>
      <c r="D54" s="6">
        <v>573</v>
      </c>
      <c r="E54" s="6">
        <v>599</v>
      </c>
      <c r="F54" s="6">
        <v>811</v>
      </c>
      <c r="G54" s="6">
        <v>964</v>
      </c>
      <c r="H54" s="6">
        <v>832</v>
      </c>
      <c r="I54" s="6">
        <v>1011</v>
      </c>
      <c r="J54" s="6">
        <v>1819</v>
      </c>
      <c r="K54" s="6">
        <v>2098</v>
      </c>
      <c r="L54" s="6">
        <v>1061</v>
      </c>
      <c r="M54" s="8">
        <v>1214</v>
      </c>
      <c r="N54" s="8">
        <v>568</v>
      </c>
      <c r="O54" s="8">
        <v>1438</v>
      </c>
      <c r="P54" s="6">
        <v>1463</v>
      </c>
      <c r="Q54" s="6">
        <v>1629</v>
      </c>
      <c r="R54" s="6">
        <v>1783</v>
      </c>
      <c r="S54" s="6">
        <v>2641</v>
      </c>
      <c r="T54" s="6">
        <v>4078</v>
      </c>
      <c r="U54" s="6">
        <v>1729</v>
      </c>
      <c r="V54" s="6">
        <v>2234</v>
      </c>
      <c r="W54" s="6">
        <v>377</v>
      </c>
      <c r="X54" s="6">
        <v>434</v>
      </c>
      <c r="Y54" s="6">
        <v>504</v>
      </c>
      <c r="Z54" s="6">
        <v>514</v>
      </c>
      <c r="AA54" s="6">
        <v>854</v>
      </c>
      <c r="AB54" s="6">
        <v>912</v>
      </c>
      <c r="AC54" s="6">
        <v>881</v>
      </c>
      <c r="AD54" s="6">
        <v>948</v>
      </c>
      <c r="AE54" s="6">
        <v>2020</v>
      </c>
      <c r="AF54" s="6">
        <v>2957</v>
      </c>
      <c r="AG54" s="6">
        <v>1347</v>
      </c>
      <c r="AH54" s="6">
        <v>1404</v>
      </c>
      <c r="AI54" s="6">
        <v>727</v>
      </c>
      <c r="AJ54" s="6">
        <v>2074</v>
      </c>
      <c r="AK54" s="6">
        <v>2131</v>
      </c>
      <c r="AL54" s="6">
        <v>3022</v>
      </c>
      <c r="AM54" s="6">
        <v>685</v>
      </c>
      <c r="AN54" s="6">
        <v>695</v>
      </c>
      <c r="AO54" s="6">
        <v>3707</v>
      </c>
      <c r="AP54" s="6">
        <v>724</v>
      </c>
      <c r="AQ54" s="6">
        <v>750</v>
      </c>
      <c r="AR54" s="6">
        <v>1677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L92"/>
  <sheetViews>
    <sheetView topLeftCell="A2" workbookViewId="0">
      <selection activeCell="B15" sqref="B15"/>
    </sheetView>
  </sheetViews>
  <sheetFormatPr defaultRowHeight="14.5" x14ac:dyDescent="0.35"/>
  <sheetData>
    <row r="1" spans="1:12" x14ac:dyDescent="0.35">
      <c r="A1" t="s">
        <v>138</v>
      </c>
      <c r="C1" t="s">
        <v>139</v>
      </c>
      <c r="E1" t="s">
        <v>196</v>
      </c>
      <c r="G1" t="s">
        <v>197</v>
      </c>
      <c r="I1" t="s">
        <v>194</v>
      </c>
      <c r="K1" t="s">
        <v>195</v>
      </c>
    </row>
    <row r="2" spans="1:12" x14ac:dyDescent="0.35">
      <c r="A2" t="s">
        <v>77</v>
      </c>
      <c r="B2" t="s">
        <v>78</v>
      </c>
      <c r="C2" t="s">
        <v>77</v>
      </c>
      <c r="D2" t="s">
        <v>78</v>
      </c>
      <c r="E2" t="s">
        <v>77</v>
      </c>
      <c r="F2" t="s">
        <v>78</v>
      </c>
      <c r="G2" t="s">
        <v>77</v>
      </c>
      <c r="H2" t="s">
        <v>78</v>
      </c>
      <c r="I2" t="s">
        <v>77</v>
      </c>
      <c r="J2" t="s">
        <v>147</v>
      </c>
      <c r="K2" t="s">
        <v>77</v>
      </c>
      <c r="L2" t="s">
        <v>78</v>
      </c>
    </row>
    <row r="3" spans="1:12" x14ac:dyDescent="0.35">
      <c r="A3">
        <v>1</v>
      </c>
      <c r="B3" t="s">
        <v>0</v>
      </c>
      <c r="C3">
        <v>1</v>
      </c>
      <c r="D3" t="s">
        <v>0</v>
      </c>
      <c r="E3">
        <v>101</v>
      </c>
      <c r="F3" t="s">
        <v>198</v>
      </c>
      <c r="G3">
        <v>101</v>
      </c>
      <c r="H3" t="s">
        <v>198</v>
      </c>
      <c r="I3" s="11">
        <v>201</v>
      </c>
      <c r="J3" t="s">
        <v>148</v>
      </c>
      <c r="K3" s="11">
        <v>201</v>
      </c>
      <c r="L3" t="s">
        <v>148</v>
      </c>
    </row>
    <row r="4" spans="1:12" x14ac:dyDescent="0.35">
      <c r="A4">
        <v>2</v>
      </c>
      <c r="B4" t="s">
        <v>1</v>
      </c>
      <c r="C4">
        <v>2</v>
      </c>
      <c r="D4" t="s">
        <v>1</v>
      </c>
      <c r="E4">
        <v>102</v>
      </c>
      <c r="F4" t="s">
        <v>244</v>
      </c>
      <c r="G4">
        <v>102</v>
      </c>
      <c r="H4" t="s">
        <v>199</v>
      </c>
      <c r="I4" s="11">
        <v>202</v>
      </c>
      <c r="J4" t="s">
        <v>149</v>
      </c>
      <c r="K4" s="11">
        <v>202</v>
      </c>
      <c r="L4" t="s">
        <v>149</v>
      </c>
    </row>
    <row r="5" spans="1:12" x14ac:dyDescent="0.35">
      <c r="A5">
        <v>3</v>
      </c>
      <c r="B5" t="s">
        <v>2</v>
      </c>
      <c r="C5">
        <v>3</v>
      </c>
      <c r="D5" t="s">
        <v>2</v>
      </c>
      <c r="E5">
        <v>103</v>
      </c>
      <c r="F5" t="s">
        <v>202</v>
      </c>
      <c r="G5">
        <v>103</v>
      </c>
      <c r="H5" t="s">
        <v>200</v>
      </c>
      <c r="I5" s="12">
        <v>203</v>
      </c>
      <c r="J5" t="s">
        <v>150</v>
      </c>
      <c r="K5" s="12">
        <v>203</v>
      </c>
      <c r="L5" t="s">
        <v>150</v>
      </c>
    </row>
    <row r="6" spans="1:12" x14ac:dyDescent="0.35">
      <c r="A6">
        <v>4</v>
      </c>
      <c r="B6" t="s">
        <v>3</v>
      </c>
      <c r="C6">
        <v>4</v>
      </c>
      <c r="D6" t="s">
        <v>4</v>
      </c>
      <c r="E6">
        <v>104</v>
      </c>
      <c r="F6" t="s">
        <v>245</v>
      </c>
      <c r="G6">
        <v>104</v>
      </c>
      <c r="H6" t="s">
        <v>201</v>
      </c>
      <c r="I6" s="11">
        <v>204</v>
      </c>
      <c r="J6" t="s">
        <v>151</v>
      </c>
      <c r="K6" s="11">
        <v>204</v>
      </c>
      <c r="L6" t="s">
        <v>151</v>
      </c>
    </row>
    <row r="7" spans="1:12" x14ac:dyDescent="0.35">
      <c r="A7">
        <v>5</v>
      </c>
      <c r="B7" t="s">
        <v>4</v>
      </c>
      <c r="C7">
        <v>5</v>
      </c>
      <c r="D7" t="s">
        <v>85</v>
      </c>
      <c r="E7">
        <v>105</v>
      </c>
      <c r="F7" t="s">
        <v>246</v>
      </c>
      <c r="G7">
        <v>105</v>
      </c>
      <c r="H7" t="s">
        <v>202</v>
      </c>
      <c r="I7" s="12">
        <v>205</v>
      </c>
      <c r="J7" t="s">
        <v>152</v>
      </c>
      <c r="K7" s="11">
        <v>205</v>
      </c>
      <c r="L7" t="s">
        <v>152</v>
      </c>
    </row>
    <row r="8" spans="1:12" x14ac:dyDescent="0.35">
      <c r="A8">
        <v>6</v>
      </c>
      <c r="B8" t="s">
        <v>5</v>
      </c>
      <c r="C8">
        <v>6</v>
      </c>
      <c r="D8" t="s">
        <v>86</v>
      </c>
      <c r="E8">
        <v>106</v>
      </c>
      <c r="F8" t="s">
        <v>247</v>
      </c>
      <c r="G8">
        <v>106</v>
      </c>
      <c r="H8" t="s">
        <v>203</v>
      </c>
      <c r="I8" s="11">
        <v>206</v>
      </c>
      <c r="J8" t="s">
        <v>153</v>
      </c>
      <c r="K8" s="11">
        <v>206</v>
      </c>
      <c r="L8" t="s">
        <v>153</v>
      </c>
    </row>
    <row r="9" spans="1:12" x14ac:dyDescent="0.35">
      <c r="A9">
        <v>7</v>
      </c>
      <c r="B9" t="s">
        <v>6</v>
      </c>
      <c r="C9">
        <v>7</v>
      </c>
      <c r="D9" t="s">
        <v>87</v>
      </c>
      <c r="E9">
        <v>107</v>
      </c>
      <c r="F9" t="s">
        <v>248</v>
      </c>
      <c r="G9">
        <v>107</v>
      </c>
      <c r="H9" t="s">
        <v>204</v>
      </c>
      <c r="I9" s="12">
        <v>207</v>
      </c>
      <c r="J9" t="s">
        <v>154</v>
      </c>
      <c r="K9" s="12">
        <v>207</v>
      </c>
      <c r="L9" t="s">
        <v>154</v>
      </c>
    </row>
    <row r="10" spans="1:12" x14ac:dyDescent="0.35">
      <c r="A10">
        <v>8</v>
      </c>
      <c r="B10" t="s">
        <v>7</v>
      </c>
      <c r="C10">
        <v>8</v>
      </c>
      <c r="D10" t="s">
        <v>88</v>
      </c>
      <c r="E10">
        <v>108</v>
      </c>
      <c r="F10" t="s">
        <v>249</v>
      </c>
      <c r="G10">
        <v>108</v>
      </c>
      <c r="H10" t="s">
        <v>198</v>
      </c>
      <c r="I10" s="11">
        <v>208</v>
      </c>
      <c r="J10" t="s">
        <v>155</v>
      </c>
      <c r="K10" s="11">
        <v>208</v>
      </c>
      <c r="L10" t="s">
        <v>155</v>
      </c>
    </row>
    <row r="11" spans="1:12" x14ac:dyDescent="0.35">
      <c r="A11">
        <v>9</v>
      </c>
      <c r="B11" t="s">
        <v>8</v>
      </c>
      <c r="C11">
        <v>9</v>
      </c>
      <c r="D11" t="s">
        <v>89</v>
      </c>
      <c r="E11">
        <v>109</v>
      </c>
      <c r="F11" t="s">
        <v>250</v>
      </c>
      <c r="G11">
        <v>109</v>
      </c>
      <c r="H11" t="s">
        <v>205</v>
      </c>
      <c r="I11" s="12">
        <v>209</v>
      </c>
      <c r="J11" t="s">
        <v>156</v>
      </c>
      <c r="K11" s="12">
        <v>209</v>
      </c>
      <c r="L11" t="s">
        <v>156</v>
      </c>
    </row>
    <row r="12" spans="1:12" x14ac:dyDescent="0.35">
      <c r="A12">
        <v>10</v>
      </c>
      <c r="B12" t="s">
        <v>9</v>
      </c>
      <c r="C12">
        <v>10</v>
      </c>
      <c r="D12" t="s">
        <v>90</v>
      </c>
      <c r="E12">
        <v>110</v>
      </c>
      <c r="F12" t="s">
        <v>206</v>
      </c>
      <c r="G12">
        <v>110</v>
      </c>
      <c r="H12" t="s">
        <v>206</v>
      </c>
      <c r="I12" s="11">
        <v>210</v>
      </c>
      <c r="J12" t="s">
        <v>157</v>
      </c>
      <c r="K12" s="11">
        <v>210</v>
      </c>
      <c r="L12" t="s">
        <v>170</v>
      </c>
    </row>
    <row r="13" spans="1:12" x14ac:dyDescent="0.35">
      <c r="A13">
        <v>11</v>
      </c>
      <c r="B13" t="s">
        <v>10</v>
      </c>
      <c r="C13">
        <v>11</v>
      </c>
      <c r="D13" t="s">
        <v>91</v>
      </c>
      <c r="E13">
        <v>111</v>
      </c>
      <c r="F13" t="s">
        <v>201</v>
      </c>
      <c r="G13">
        <v>111</v>
      </c>
      <c r="H13" t="s">
        <v>201</v>
      </c>
      <c r="I13" s="11">
        <v>211</v>
      </c>
      <c r="J13" t="s">
        <v>158</v>
      </c>
      <c r="K13" s="11">
        <v>211</v>
      </c>
      <c r="L13" t="s">
        <v>158</v>
      </c>
    </row>
    <row r="14" spans="1:12" x14ac:dyDescent="0.35">
      <c r="A14">
        <v>12</v>
      </c>
      <c r="B14" t="s">
        <v>11</v>
      </c>
      <c r="C14">
        <v>12</v>
      </c>
      <c r="D14" t="s">
        <v>92</v>
      </c>
      <c r="E14">
        <v>112</v>
      </c>
      <c r="F14" t="s">
        <v>207</v>
      </c>
      <c r="G14">
        <v>112</v>
      </c>
      <c r="H14" t="s">
        <v>207</v>
      </c>
      <c r="I14" s="12">
        <v>212</v>
      </c>
      <c r="J14" t="s">
        <v>159</v>
      </c>
      <c r="K14" s="12">
        <v>212</v>
      </c>
      <c r="L14" t="s">
        <v>159</v>
      </c>
    </row>
    <row r="15" spans="1:12" x14ac:dyDescent="0.35">
      <c r="A15">
        <v>13</v>
      </c>
      <c r="B15" t="s">
        <v>12</v>
      </c>
      <c r="C15">
        <v>13</v>
      </c>
      <c r="D15" t="s">
        <v>12</v>
      </c>
      <c r="E15">
        <v>113</v>
      </c>
      <c r="F15" t="s">
        <v>251</v>
      </c>
      <c r="G15">
        <v>113</v>
      </c>
      <c r="H15" t="s">
        <v>208</v>
      </c>
      <c r="I15" s="12">
        <v>213</v>
      </c>
      <c r="J15" t="s">
        <v>160</v>
      </c>
      <c r="K15" s="12">
        <v>213</v>
      </c>
      <c r="L15" t="s">
        <v>160</v>
      </c>
    </row>
    <row r="16" spans="1:12" x14ac:dyDescent="0.35">
      <c r="A16">
        <v>14</v>
      </c>
      <c r="B16" t="s">
        <v>13</v>
      </c>
      <c r="C16">
        <v>14</v>
      </c>
      <c r="D16" t="s">
        <v>13</v>
      </c>
      <c r="E16">
        <v>114</v>
      </c>
      <c r="F16" t="s">
        <v>252</v>
      </c>
      <c r="G16">
        <v>114</v>
      </c>
      <c r="H16" t="s">
        <v>209</v>
      </c>
      <c r="I16" s="11">
        <v>214</v>
      </c>
      <c r="J16" t="s">
        <v>161</v>
      </c>
      <c r="K16" s="11">
        <v>214</v>
      </c>
      <c r="L16" t="s">
        <v>171</v>
      </c>
    </row>
    <row r="17" spans="1:12" x14ac:dyDescent="0.35">
      <c r="A17">
        <v>15</v>
      </c>
      <c r="B17" t="s">
        <v>14</v>
      </c>
      <c r="C17">
        <v>15</v>
      </c>
      <c r="D17" t="s">
        <v>93</v>
      </c>
      <c r="E17">
        <v>115</v>
      </c>
      <c r="F17" t="s">
        <v>253</v>
      </c>
      <c r="G17">
        <v>115</v>
      </c>
      <c r="H17" t="s">
        <v>210</v>
      </c>
      <c r="I17" s="11">
        <v>215</v>
      </c>
      <c r="J17" t="s">
        <v>162</v>
      </c>
      <c r="K17" s="12">
        <v>215</v>
      </c>
      <c r="L17" t="s">
        <v>172</v>
      </c>
    </row>
    <row r="18" spans="1:12" x14ac:dyDescent="0.35">
      <c r="A18">
        <v>16</v>
      </c>
      <c r="B18" t="s">
        <v>15</v>
      </c>
      <c r="C18">
        <v>16</v>
      </c>
      <c r="D18" t="s">
        <v>94</v>
      </c>
      <c r="E18">
        <v>116</v>
      </c>
      <c r="F18" t="s">
        <v>254</v>
      </c>
      <c r="G18">
        <v>116</v>
      </c>
      <c r="H18" t="s">
        <v>211</v>
      </c>
      <c r="I18" s="11">
        <v>216</v>
      </c>
      <c r="J18" t="s">
        <v>163</v>
      </c>
      <c r="K18" s="12">
        <v>216</v>
      </c>
      <c r="L18" t="s">
        <v>173</v>
      </c>
    </row>
    <row r="19" spans="1:12" x14ac:dyDescent="0.35">
      <c r="A19">
        <v>17</v>
      </c>
      <c r="B19" t="s">
        <v>16</v>
      </c>
      <c r="C19">
        <v>17</v>
      </c>
      <c r="D19" t="s">
        <v>16</v>
      </c>
      <c r="E19">
        <v>117</v>
      </c>
      <c r="F19" t="s">
        <v>255</v>
      </c>
      <c r="G19">
        <v>117</v>
      </c>
      <c r="H19" t="s">
        <v>212</v>
      </c>
      <c r="I19" s="12">
        <v>217</v>
      </c>
      <c r="J19" t="s">
        <v>164</v>
      </c>
      <c r="K19" s="11">
        <v>217</v>
      </c>
      <c r="L19" t="s">
        <v>174</v>
      </c>
    </row>
    <row r="20" spans="1:12" x14ac:dyDescent="0.35">
      <c r="A20">
        <v>18</v>
      </c>
      <c r="B20" t="s">
        <v>17</v>
      </c>
      <c r="C20">
        <v>18</v>
      </c>
      <c r="D20" t="s">
        <v>95</v>
      </c>
      <c r="E20">
        <v>118</v>
      </c>
      <c r="F20" t="s">
        <v>256</v>
      </c>
      <c r="G20">
        <v>118</v>
      </c>
      <c r="H20" t="s">
        <v>213</v>
      </c>
      <c r="I20" s="11">
        <v>218</v>
      </c>
      <c r="J20" t="s">
        <v>165</v>
      </c>
      <c r="K20" s="11">
        <v>218</v>
      </c>
      <c r="L20" t="s">
        <v>175</v>
      </c>
    </row>
    <row r="21" spans="1:12" x14ac:dyDescent="0.35">
      <c r="A21">
        <v>19</v>
      </c>
      <c r="B21" t="s">
        <v>18</v>
      </c>
      <c r="C21">
        <v>19</v>
      </c>
      <c r="D21" t="s">
        <v>96</v>
      </c>
      <c r="E21">
        <v>119</v>
      </c>
      <c r="F21" t="s">
        <v>257</v>
      </c>
      <c r="G21">
        <v>119</v>
      </c>
      <c r="H21" t="s">
        <v>214</v>
      </c>
      <c r="I21" s="11">
        <v>219</v>
      </c>
      <c r="J21" t="s">
        <v>166</v>
      </c>
      <c r="K21" s="11">
        <v>219</v>
      </c>
      <c r="L21" t="s">
        <v>176</v>
      </c>
    </row>
    <row r="22" spans="1:12" x14ac:dyDescent="0.35">
      <c r="A22">
        <v>20</v>
      </c>
      <c r="B22" t="s">
        <v>19</v>
      </c>
      <c r="C22">
        <v>20</v>
      </c>
      <c r="D22" t="s">
        <v>97</v>
      </c>
      <c r="E22">
        <v>120</v>
      </c>
      <c r="F22" t="s">
        <v>258</v>
      </c>
      <c r="G22">
        <v>120</v>
      </c>
      <c r="H22" t="s">
        <v>215</v>
      </c>
      <c r="I22" s="12">
        <v>220</v>
      </c>
      <c r="J22" t="s">
        <v>167</v>
      </c>
      <c r="K22" s="12">
        <v>220</v>
      </c>
      <c r="L22" t="s">
        <v>177</v>
      </c>
    </row>
    <row r="23" spans="1:12" x14ac:dyDescent="0.35">
      <c r="A23">
        <v>21</v>
      </c>
      <c r="B23" t="s">
        <v>20</v>
      </c>
      <c r="C23">
        <v>21</v>
      </c>
      <c r="D23" t="s">
        <v>98</v>
      </c>
      <c r="E23">
        <v>121</v>
      </c>
      <c r="F23" t="s">
        <v>259</v>
      </c>
      <c r="G23">
        <v>121</v>
      </c>
      <c r="H23" t="s">
        <v>216</v>
      </c>
      <c r="I23" s="11">
        <v>221</v>
      </c>
      <c r="J23" t="s">
        <v>168</v>
      </c>
      <c r="K23" s="12">
        <v>221</v>
      </c>
      <c r="L23" t="s">
        <v>167</v>
      </c>
    </row>
    <row r="24" spans="1:12" x14ac:dyDescent="0.35">
      <c r="A24">
        <v>22</v>
      </c>
      <c r="B24" t="s">
        <v>21</v>
      </c>
      <c r="C24">
        <v>22</v>
      </c>
      <c r="D24" t="s">
        <v>99</v>
      </c>
      <c r="E24">
        <v>122</v>
      </c>
      <c r="F24" t="s">
        <v>260</v>
      </c>
      <c r="G24">
        <v>122</v>
      </c>
      <c r="H24" t="s">
        <v>217</v>
      </c>
      <c r="I24" s="12">
        <v>222</v>
      </c>
      <c r="J24" t="s">
        <v>169</v>
      </c>
      <c r="K24" s="11">
        <v>222</v>
      </c>
      <c r="L24" t="s">
        <v>178</v>
      </c>
    </row>
    <row r="25" spans="1:12" x14ac:dyDescent="0.35">
      <c r="A25">
        <v>23</v>
      </c>
      <c r="B25" t="s">
        <v>22</v>
      </c>
      <c r="C25">
        <v>23</v>
      </c>
      <c r="D25" t="s">
        <v>100</v>
      </c>
      <c r="E25">
        <v>123</v>
      </c>
      <c r="F25" t="s">
        <v>261</v>
      </c>
      <c r="G25">
        <v>123</v>
      </c>
      <c r="H25" t="s">
        <v>218</v>
      </c>
      <c r="K25" s="12">
        <v>223</v>
      </c>
      <c r="L25" t="s">
        <v>169</v>
      </c>
    </row>
    <row r="26" spans="1:12" x14ac:dyDescent="0.35">
      <c r="A26">
        <v>24</v>
      </c>
      <c r="B26" t="s">
        <v>23</v>
      </c>
      <c r="C26">
        <v>24</v>
      </c>
      <c r="D26" t="s">
        <v>101</v>
      </c>
      <c r="E26">
        <v>124</v>
      </c>
      <c r="F26" t="s">
        <v>262</v>
      </c>
      <c r="G26">
        <v>124</v>
      </c>
      <c r="H26" t="s">
        <v>219</v>
      </c>
    </row>
    <row r="27" spans="1:12" x14ac:dyDescent="0.35">
      <c r="A27">
        <v>25</v>
      </c>
      <c r="B27" t="s">
        <v>24</v>
      </c>
      <c r="C27">
        <v>25</v>
      </c>
      <c r="D27" t="s">
        <v>102</v>
      </c>
      <c r="E27">
        <v>125</v>
      </c>
      <c r="F27" t="s">
        <v>225</v>
      </c>
      <c r="G27">
        <v>125</v>
      </c>
      <c r="H27" t="s">
        <v>220</v>
      </c>
    </row>
    <row r="28" spans="1:12" x14ac:dyDescent="0.35">
      <c r="A28">
        <v>26</v>
      </c>
      <c r="B28" t="s">
        <v>25</v>
      </c>
      <c r="C28">
        <v>26</v>
      </c>
      <c r="D28" t="s">
        <v>103</v>
      </c>
      <c r="E28">
        <v>126</v>
      </c>
      <c r="F28" t="s">
        <v>263</v>
      </c>
      <c r="G28">
        <v>126</v>
      </c>
      <c r="H28" t="s">
        <v>221</v>
      </c>
    </row>
    <row r="29" spans="1:12" x14ac:dyDescent="0.35">
      <c r="A29">
        <v>27</v>
      </c>
      <c r="B29" t="s">
        <v>26</v>
      </c>
      <c r="C29">
        <v>27</v>
      </c>
      <c r="D29" t="s">
        <v>104</v>
      </c>
      <c r="E29">
        <v>127</v>
      </c>
      <c r="F29" t="s">
        <v>231</v>
      </c>
      <c r="G29">
        <v>127</v>
      </c>
      <c r="H29" t="s">
        <v>222</v>
      </c>
    </row>
    <row r="30" spans="1:12" x14ac:dyDescent="0.35">
      <c r="A30">
        <v>28</v>
      </c>
      <c r="B30" t="s">
        <v>27</v>
      </c>
      <c r="C30">
        <v>28</v>
      </c>
      <c r="D30" t="s">
        <v>28</v>
      </c>
      <c r="E30">
        <v>128</v>
      </c>
      <c r="F30" t="s">
        <v>263</v>
      </c>
      <c r="G30">
        <v>128</v>
      </c>
      <c r="H30" t="s">
        <v>223</v>
      </c>
    </row>
    <row r="31" spans="1:12" x14ac:dyDescent="0.35">
      <c r="A31">
        <v>29</v>
      </c>
      <c r="B31" t="s">
        <v>28</v>
      </c>
      <c r="C31">
        <v>29</v>
      </c>
      <c r="D31" t="s">
        <v>29</v>
      </c>
      <c r="E31">
        <v>129</v>
      </c>
      <c r="F31" t="s">
        <v>262</v>
      </c>
      <c r="G31">
        <v>129</v>
      </c>
      <c r="H31" t="s">
        <v>224</v>
      </c>
    </row>
    <row r="32" spans="1:12" x14ac:dyDescent="0.35">
      <c r="A32">
        <v>30</v>
      </c>
      <c r="B32" t="s">
        <v>29</v>
      </c>
      <c r="C32">
        <v>30</v>
      </c>
      <c r="D32" t="s">
        <v>30</v>
      </c>
      <c r="E32">
        <v>130</v>
      </c>
      <c r="F32" t="s">
        <v>225</v>
      </c>
      <c r="G32">
        <v>130</v>
      </c>
      <c r="H32" t="s">
        <v>225</v>
      </c>
    </row>
    <row r="33" spans="1:8" x14ac:dyDescent="0.35">
      <c r="A33">
        <v>31</v>
      </c>
      <c r="B33" t="s">
        <v>30</v>
      </c>
      <c r="C33">
        <v>31</v>
      </c>
      <c r="D33" t="s">
        <v>31</v>
      </c>
      <c r="E33">
        <v>131</v>
      </c>
      <c r="F33" t="s">
        <v>263</v>
      </c>
      <c r="G33">
        <v>131</v>
      </c>
      <c r="H33" t="s">
        <v>226</v>
      </c>
    </row>
    <row r="34" spans="1:8" x14ac:dyDescent="0.35">
      <c r="A34">
        <v>32</v>
      </c>
      <c r="B34" t="s">
        <v>31</v>
      </c>
      <c r="C34">
        <v>32</v>
      </c>
      <c r="D34" t="s">
        <v>105</v>
      </c>
      <c r="E34">
        <v>132</v>
      </c>
      <c r="F34" t="s">
        <v>264</v>
      </c>
      <c r="G34">
        <v>132</v>
      </c>
      <c r="H34" t="s">
        <v>227</v>
      </c>
    </row>
    <row r="35" spans="1:8" x14ac:dyDescent="0.35">
      <c r="A35">
        <v>33</v>
      </c>
      <c r="B35" t="s">
        <v>32</v>
      </c>
      <c r="C35">
        <v>33</v>
      </c>
      <c r="D35" t="s">
        <v>32</v>
      </c>
      <c r="E35">
        <v>133</v>
      </c>
      <c r="F35" t="s">
        <v>204</v>
      </c>
      <c r="G35">
        <v>133</v>
      </c>
      <c r="H35" t="s">
        <v>228</v>
      </c>
    </row>
    <row r="36" spans="1:8" x14ac:dyDescent="0.35">
      <c r="A36">
        <v>34</v>
      </c>
      <c r="B36" t="s">
        <v>33</v>
      </c>
      <c r="C36">
        <v>34</v>
      </c>
      <c r="D36" t="s">
        <v>33</v>
      </c>
      <c r="E36">
        <v>134</v>
      </c>
      <c r="F36" t="s">
        <v>265</v>
      </c>
      <c r="G36">
        <v>134</v>
      </c>
      <c r="H36" t="s">
        <v>229</v>
      </c>
    </row>
    <row r="37" spans="1:8" x14ac:dyDescent="0.35">
      <c r="A37">
        <v>35</v>
      </c>
      <c r="B37" t="s">
        <v>34</v>
      </c>
      <c r="C37">
        <v>35</v>
      </c>
      <c r="D37" t="s">
        <v>106</v>
      </c>
      <c r="E37">
        <v>135</v>
      </c>
      <c r="F37" t="s">
        <v>266</v>
      </c>
      <c r="G37">
        <v>135</v>
      </c>
      <c r="H37" t="s">
        <v>230</v>
      </c>
    </row>
    <row r="38" spans="1:8" x14ac:dyDescent="0.35">
      <c r="A38">
        <v>36</v>
      </c>
      <c r="B38" t="s">
        <v>35</v>
      </c>
      <c r="C38">
        <v>36</v>
      </c>
      <c r="D38" t="s">
        <v>107</v>
      </c>
      <c r="E38">
        <v>136</v>
      </c>
      <c r="F38" t="s">
        <v>267</v>
      </c>
      <c r="G38">
        <v>136</v>
      </c>
      <c r="H38" t="s">
        <v>231</v>
      </c>
    </row>
    <row r="39" spans="1:8" x14ac:dyDescent="0.35">
      <c r="A39">
        <v>37</v>
      </c>
      <c r="B39" t="s">
        <v>36</v>
      </c>
      <c r="C39">
        <v>37</v>
      </c>
      <c r="D39" t="s">
        <v>108</v>
      </c>
      <c r="E39">
        <v>137</v>
      </c>
      <c r="F39" t="s">
        <v>268</v>
      </c>
      <c r="G39">
        <v>137</v>
      </c>
      <c r="H39" t="s">
        <v>225</v>
      </c>
    </row>
    <row r="40" spans="1:8" x14ac:dyDescent="0.35">
      <c r="A40">
        <v>38</v>
      </c>
      <c r="B40" t="s">
        <v>37</v>
      </c>
      <c r="C40">
        <v>38</v>
      </c>
      <c r="D40" t="s">
        <v>36</v>
      </c>
      <c r="E40">
        <v>138</v>
      </c>
      <c r="F40" t="s">
        <v>236</v>
      </c>
      <c r="G40">
        <v>138</v>
      </c>
      <c r="H40" t="s">
        <v>232</v>
      </c>
    </row>
    <row r="41" spans="1:8" x14ac:dyDescent="0.35">
      <c r="A41">
        <v>39</v>
      </c>
      <c r="B41" t="s">
        <v>38</v>
      </c>
      <c r="C41">
        <v>39</v>
      </c>
      <c r="D41" t="s">
        <v>37</v>
      </c>
      <c r="E41">
        <v>139</v>
      </c>
      <c r="F41" t="s">
        <v>269</v>
      </c>
      <c r="G41">
        <v>139</v>
      </c>
      <c r="H41" t="s">
        <v>233</v>
      </c>
    </row>
    <row r="42" spans="1:8" x14ac:dyDescent="0.35">
      <c r="A42">
        <v>40</v>
      </c>
      <c r="B42" t="s">
        <v>39</v>
      </c>
      <c r="C42">
        <v>40</v>
      </c>
      <c r="D42" t="s">
        <v>38</v>
      </c>
      <c r="E42">
        <v>140</v>
      </c>
      <c r="F42" t="s">
        <v>270</v>
      </c>
      <c r="G42">
        <v>140</v>
      </c>
      <c r="H42" t="s">
        <v>234</v>
      </c>
    </row>
    <row r="43" spans="1:8" x14ac:dyDescent="0.35">
      <c r="A43">
        <v>41</v>
      </c>
      <c r="B43" t="s">
        <v>40</v>
      </c>
      <c r="C43">
        <v>41</v>
      </c>
      <c r="D43" t="s">
        <v>109</v>
      </c>
      <c r="E43">
        <v>141</v>
      </c>
      <c r="F43" t="s">
        <v>239</v>
      </c>
      <c r="G43">
        <v>141</v>
      </c>
      <c r="H43" t="s">
        <v>226</v>
      </c>
    </row>
    <row r="44" spans="1:8" x14ac:dyDescent="0.35">
      <c r="A44">
        <v>42</v>
      </c>
      <c r="B44" t="s">
        <v>41</v>
      </c>
      <c r="C44">
        <v>42</v>
      </c>
      <c r="D44" t="s">
        <v>110</v>
      </c>
      <c r="E44">
        <v>142</v>
      </c>
      <c r="F44" t="s">
        <v>271</v>
      </c>
      <c r="G44">
        <v>142</v>
      </c>
      <c r="H44" t="s">
        <v>235</v>
      </c>
    </row>
    <row r="45" spans="1:8" x14ac:dyDescent="0.35">
      <c r="A45">
        <v>43</v>
      </c>
      <c r="B45" t="s">
        <v>42</v>
      </c>
      <c r="C45">
        <v>43</v>
      </c>
      <c r="D45" t="s">
        <v>39</v>
      </c>
      <c r="E45">
        <v>143</v>
      </c>
      <c r="F45" t="s">
        <v>272</v>
      </c>
      <c r="G45">
        <v>143</v>
      </c>
      <c r="H45" t="s">
        <v>236</v>
      </c>
    </row>
    <row r="46" spans="1:8" x14ac:dyDescent="0.35">
      <c r="A46">
        <v>44</v>
      </c>
      <c r="B46" t="s">
        <v>43</v>
      </c>
      <c r="C46">
        <v>44</v>
      </c>
      <c r="D46" t="s">
        <v>40</v>
      </c>
      <c r="E46">
        <v>144</v>
      </c>
      <c r="F46" t="s">
        <v>224</v>
      </c>
      <c r="G46">
        <v>144</v>
      </c>
      <c r="H46" t="s">
        <v>237</v>
      </c>
    </row>
    <row r="47" spans="1:8" x14ac:dyDescent="0.35">
      <c r="A47">
        <v>45</v>
      </c>
      <c r="B47" t="s">
        <v>44</v>
      </c>
      <c r="C47">
        <v>45</v>
      </c>
      <c r="D47" t="s">
        <v>41</v>
      </c>
      <c r="E47">
        <v>145</v>
      </c>
      <c r="F47" t="s">
        <v>263</v>
      </c>
      <c r="G47">
        <v>145</v>
      </c>
      <c r="H47" t="s">
        <v>238</v>
      </c>
    </row>
    <row r="48" spans="1:8" x14ac:dyDescent="0.35">
      <c r="A48">
        <v>46</v>
      </c>
      <c r="B48" t="s">
        <v>45</v>
      </c>
      <c r="C48">
        <v>46</v>
      </c>
      <c r="D48" t="s">
        <v>42</v>
      </c>
      <c r="E48">
        <v>146</v>
      </c>
      <c r="F48" t="s">
        <v>240</v>
      </c>
      <c r="G48">
        <v>146</v>
      </c>
      <c r="H48" t="s">
        <v>239</v>
      </c>
    </row>
    <row r="49" spans="1:8" x14ac:dyDescent="0.35">
      <c r="A49">
        <v>47</v>
      </c>
      <c r="B49" t="s">
        <v>46</v>
      </c>
      <c r="C49">
        <v>47</v>
      </c>
      <c r="D49" t="s">
        <v>43</v>
      </c>
      <c r="E49">
        <v>147</v>
      </c>
      <c r="F49" t="s">
        <v>273</v>
      </c>
      <c r="G49">
        <v>147</v>
      </c>
      <c r="H49" t="s">
        <v>240</v>
      </c>
    </row>
    <row r="50" spans="1:8" x14ac:dyDescent="0.35">
      <c r="A50">
        <v>48</v>
      </c>
      <c r="B50" t="s">
        <v>47</v>
      </c>
      <c r="C50">
        <v>48</v>
      </c>
      <c r="D50" t="s">
        <v>111</v>
      </c>
      <c r="G50">
        <v>148</v>
      </c>
      <c r="H50" t="s">
        <v>241</v>
      </c>
    </row>
    <row r="51" spans="1:8" x14ac:dyDescent="0.35">
      <c r="A51">
        <v>49</v>
      </c>
      <c r="B51" t="s">
        <v>48</v>
      </c>
      <c r="C51">
        <v>49</v>
      </c>
      <c r="D51" t="s">
        <v>112</v>
      </c>
      <c r="G51">
        <v>149</v>
      </c>
      <c r="H51" t="s">
        <v>242</v>
      </c>
    </row>
    <row r="52" spans="1:8" x14ac:dyDescent="0.35">
      <c r="A52">
        <v>50</v>
      </c>
      <c r="B52" t="s">
        <v>49</v>
      </c>
      <c r="C52">
        <v>50</v>
      </c>
      <c r="D52" t="s">
        <v>113</v>
      </c>
      <c r="G52">
        <v>150</v>
      </c>
      <c r="H52" t="s">
        <v>243</v>
      </c>
    </row>
    <row r="53" spans="1:8" x14ac:dyDescent="0.35">
      <c r="A53">
        <v>51</v>
      </c>
      <c r="B53" t="s">
        <v>50</v>
      </c>
      <c r="C53">
        <v>51</v>
      </c>
      <c r="D53" t="s">
        <v>114</v>
      </c>
    </row>
    <row r="54" spans="1:8" x14ac:dyDescent="0.35">
      <c r="A54">
        <v>52</v>
      </c>
      <c r="B54" t="s">
        <v>51</v>
      </c>
      <c r="C54">
        <v>52</v>
      </c>
      <c r="D54" t="s">
        <v>115</v>
      </c>
    </row>
    <row r="55" spans="1:8" x14ac:dyDescent="0.35">
      <c r="A55">
        <v>53</v>
      </c>
      <c r="B55" t="s">
        <v>52</v>
      </c>
      <c r="C55">
        <v>53</v>
      </c>
      <c r="D55" t="s">
        <v>44</v>
      </c>
    </row>
    <row r="56" spans="1:8" x14ac:dyDescent="0.35">
      <c r="A56">
        <v>54</v>
      </c>
      <c r="B56" t="s">
        <v>53</v>
      </c>
      <c r="C56">
        <v>54</v>
      </c>
      <c r="D56" t="s">
        <v>45</v>
      </c>
    </row>
    <row r="57" spans="1:8" x14ac:dyDescent="0.35">
      <c r="A57">
        <v>55</v>
      </c>
      <c r="B57" t="s">
        <v>54</v>
      </c>
      <c r="C57">
        <v>55</v>
      </c>
      <c r="D57" t="s">
        <v>46</v>
      </c>
    </row>
    <row r="58" spans="1:8" x14ac:dyDescent="0.35">
      <c r="A58">
        <v>56</v>
      </c>
      <c r="B58" t="s">
        <v>55</v>
      </c>
      <c r="C58">
        <v>56</v>
      </c>
      <c r="D58" t="s">
        <v>47</v>
      </c>
    </row>
    <row r="59" spans="1:8" x14ac:dyDescent="0.35">
      <c r="A59">
        <v>57</v>
      </c>
      <c r="B59" t="s">
        <v>56</v>
      </c>
      <c r="C59">
        <v>57</v>
      </c>
      <c r="D59" t="s">
        <v>116</v>
      </c>
    </row>
    <row r="60" spans="1:8" x14ac:dyDescent="0.35">
      <c r="A60">
        <v>58</v>
      </c>
      <c r="B60" t="s">
        <v>57</v>
      </c>
      <c r="C60">
        <v>58</v>
      </c>
      <c r="D60" t="s">
        <v>117</v>
      </c>
    </row>
    <row r="61" spans="1:8" x14ac:dyDescent="0.35">
      <c r="A61">
        <v>59</v>
      </c>
      <c r="B61" t="s">
        <v>58</v>
      </c>
      <c r="C61">
        <v>59</v>
      </c>
      <c r="D61" t="s">
        <v>48</v>
      </c>
    </row>
    <row r="62" spans="1:8" x14ac:dyDescent="0.35">
      <c r="A62">
        <v>60</v>
      </c>
      <c r="B62" t="s">
        <v>59</v>
      </c>
      <c r="C62">
        <v>60</v>
      </c>
      <c r="D62" t="s">
        <v>118</v>
      </c>
    </row>
    <row r="63" spans="1:8" x14ac:dyDescent="0.35">
      <c r="A63">
        <v>61</v>
      </c>
      <c r="B63" t="s">
        <v>60</v>
      </c>
      <c r="C63">
        <v>61</v>
      </c>
      <c r="D63" t="s">
        <v>119</v>
      </c>
    </row>
    <row r="64" spans="1:8" x14ac:dyDescent="0.35">
      <c r="A64">
        <v>62</v>
      </c>
      <c r="B64" t="s">
        <v>61</v>
      </c>
      <c r="C64">
        <v>62</v>
      </c>
      <c r="D64" t="s">
        <v>120</v>
      </c>
    </row>
    <row r="65" spans="1:4" x14ac:dyDescent="0.35">
      <c r="A65">
        <v>63</v>
      </c>
      <c r="B65" t="s">
        <v>62</v>
      </c>
      <c r="C65">
        <v>63</v>
      </c>
      <c r="D65" t="s">
        <v>121</v>
      </c>
    </row>
    <row r="66" spans="1:4" x14ac:dyDescent="0.35">
      <c r="A66">
        <v>64</v>
      </c>
      <c r="B66" t="s">
        <v>63</v>
      </c>
      <c r="C66">
        <v>64</v>
      </c>
      <c r="D66" t="s">
        <v>122</v>
      </c>
    </row>
    <row r="67" spans="1:4" x14ac:dyDescent="0.35">
      <c r="A67">
        <v>65</v>
      </c>
      <c r="B67" t="s">
        <v>64</v>
      </c>
      <c r="C67">
        <v>65</v>
      </c>
      <c r="D67" t="s">
        <v>53</v>
      </c>
    </row>
    <row r="68" spans="1:4" x14ac:dyDescent="0.35">
      <c r="A68">
        <v>66</v>
      </c>
      <c r="B68" t="s">
        <v>65</v>
      </c>
      <c r="C68">
        <v>66</v>
      </c>
      <c r="D68" t="s">
        <v>123</v>
      </c>
    </row>
    <row r="69" spans="1:4" x14ac:dyDescent="0.35">
      <c r="A69">
        <v>67</v>
      </c>
      <c r="B69" t="s">
        <v>66</v>
      </c>
      <c r="C69">
        <v>67</v>
      </c>
      <c r="D69" t="s">
        <v>124</v>
      </c>
    </row>
    <row r="70" spans="1:4" x14ac:dyDescent="0.35">
      <c r="A70">
        <v>68</v>
      </c>
      <c r="B70" t="s">
        <v>67</v>
      </c>
      <c r="C70">
        <v>68</v>
      </c>
      <c r="D70" t="s">
        <v>125</v>
      </c>
    </row>
    <row r="71" spans="1:4" x14ac:dyDescent="0.35">
      <c r="A71">
        <v>69</v>
      </c>
      <c r="B71" t="s">
        <v>68</v>
      </c>
      <c r="C71">
        <v>69</v>
      </c>
      <c r="D71" t="s">
        <v>126</v>
      </c>
    </row>
    <row r="72" spans="1:4" x14ac:dyDescent="0.35">
      <c r="A72">
        <v>70</v>
      </c>
      <c r="B72" t="s">
        <v>69</v>
      </c>
      <c r="C72">
        <v>70</v>
      </c>
      <c r="D72" t="s">
        <v>127</v>
      </c>
    </row>
    <row r="73" spans="1:4" x14ac:dyDescent="0.35">
      <c r="A73">
        <v>71</v>
      </c>
      <c r="B73" t="s">
        <v>70</v>
      </c>
      <c r="C73">
        <v>71</v>
      </c>
      <c r="D73" t="s">
        <v>128</v>
      </c>
    </row>
    <row r="74" spans="1:4" x14ac:dyDescent="0.35">
      <c r="A74">
        <v>72</v>
      </c>
      <c r="B74" t="s">
        <v>71</v>
      </c>
      <c r="C74">
        <v>72</v>
      </c>
      <c r="D74" t="s">
        <v>129</v>
      </c>
    </row>
    <row r="75" spans="1:4" x14ac:dyDescent="0.35">
      <c r="A75">
        <v>73</v>
      </c>
      <c r="B75" t="s">
        <v>72</v>
      </c>
      <c r="C75">
        <v>73</v>
      </c>
      <c r="D75" t="s">
        <v>130</v>
      </c>
    </row>
    <row r="76" spans="1:4" x14ac:dyDescent="0.35">
      <c r="A76">
        <v>74</v>
      </c>
      <c r="B76" t="s">
        <v>73</v>
      </c>
      <c r="C76">
        <v>74</v>
      </c>
      <c r="D76" t="s">
        <v>61</v>
      </c>
    </row>
    <row r="77" spans="1:4" x14ac:dyDescent="0.35">
      <c r="A77">
        <v>75</v>
      </c>
      <c r="B77" t="s">
        <v>74</v>
      </c>
      <c r="C77">
        <v>75</v>
      </c>
      <c r="D77" t="s">
        <v>62</v>
      </c>
    </row>
    <row r="78" spans="1:4" x14ac:dyDescent="0.35">
      <c r="A78">
        <v>76</v>
      </c>
      <c r="B78" t="s">
        <v>75</v>
      </c>
      <c r="C78">
        <v>76</v>
      </c>
      <c r="D78" t="s">
        <v>131</v>
      </c>
    </row>
    <row r="79" spans="1:4" x14ac:dyDescent="0.35">
      <c r="A79">
        <v>77</v>
      </c>
      <c r="B79" t="s">
        <v>76</v>
      </c>
      <c r="C79">
        <v>77</v>
      </c>
      <c r="D79" t="s">
        <v>64</v>
      </c>
    </row>
    <row r="80" spans="1:4" x14ac:dyDescent="0.35">
      <c r="C80">
        <v>78</v>
      </c>
      <c r="D80" t="s">
        <v>65</v>
      </c>
    </row>
    <row r="81" spans="3:4" x14ac:dyDescent="0.35">
      <c r="C81">
        <v>79</v>
      </c>
      <c r="D81" t="s">
        <v>66</v>
      </c>
    </row>
    <row r="82" spans="3:4" x14ac:dyDescent="0.35">
      <c r="C82">
        <v>80</v>
      </c>
      <c r="D82" t="s">
        <v>67</v>
      </c>
    </row>
    <row r="83" spans="3:4" x14ac:dyDescent="0.35">
      <c r="C83">
        <v>81</v>
      </c>
      <c r="D83" t="s">
        <v>68</v>
      </c>
    </row>
    <row r="84" spans="3:4" x14ac:dyDescent="0.35">
      <c r="C84">
        <v>82</v>
      </c>
      <c r="D84" t="s">
        <v>69</v>
      </c>
    </row>
    <row r="85" spans="3:4" x14ac:dyDescent="0.35">
      <c r="C85">
        <v>83</v>
      </c>
      <c r="D85" t="s">
        <v>132</v>
      </c>
    </row>
    <row r="86" spans="3:4" x14ac:dyDescent="0.35">
      <c r="C86">
        <v>84</v>
      </c>
      <c r="D86" t="s">
        <v>133</v>
      </c>
    </row>
    <row r="87" spans="3:4" x14ac:dyDescent="0.35">
      <c r="C87">
        <v>85</v>
      </c>
      <c r="D87" t="s">
        <v>72</v>
      </c>
    </row>
    <row r="88" spans="3:4" x14ac:dyDescent="0.35">
      <c r="C88">
        <v>86</v>
      </c>
      <c r="D88" t="s">
        <v>134</v>
      </c>
    </row>
    <row r="89" spans="3:4" x14ac:dyDescent="0.35">
      <c r="C89">
        <v>87</v>
      </c>
      <c r="D89" t="s">
        <v>74</v>
      </c>
    </row>
    <row r="90" spans="3:4" x14ac:dyDescent="0.35">
      <c r="C90">
        <v>88</v>
      </c>
      <c r="D90" t="s">
        <v>135</v>
      </c>
    </row>
    <row r="91" spans="3:4" x14ac:dyDescent="0.35">
      <c r="C91">
        <v>89</v>
      </c>
      <c r="D91" t="s">
        <v>136</v>
      </c>
    </row>
    <row r="92" spans="3:4" x14ac:dyDescent="0.35">
      <c r="C92">
        <v>90</v>
      </c>
      <c r="D92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7FF9-4D67-41E9-A510-4B6E1DDBE76C}">
  <sheetPr>
    <tabColor theme="5"/>
  </sheetPr>
  <dimension ref="A1:AI54"/>
  <sheetViews>
    <sheetView workbookViewId="0">
      <pane xSplit="1" ySplit="9" topLeftCell="S10" activePane="bottomRight" state="frozen"/>
      <selection activeCell="AT127" sqref="AT127"/>
      <selection pane="topRight" activeCell="AT127" sqref="AT127"/>
      <selection pane="bottomLeft" activeCell="AT127" sqref="AT127"/>
      <selection pane="bottomRight" activeCell="AT127" sqref="AT127"/>
    </sheetView>
  </sheetViews>
  <sheetFormatPr defaultRowHeight="14.5" x14ac:dyDescent="0.35"/>
  <cols>
    <col min="4" max="4" width="0.453125" style="37" customWidth="1"/>
    <col min="13" max="13" width="0.453125" style="37" customWidth="1"/>
    <col min="17" max="17" width="0.453125" style="37" customWidth="1"/>
    <col min="24" max="24" width="0.453125" style="37" customWidth="1"/>
  </cols>
  <sheetData>
    <row r="1" spans="1:35" x14ac:dyDescent="0.35">
      <c r="B1" t="s">
        <v>140</v>
      </c>
      <c r="C1" t="s">
        <v>143</v>
      </c>
      <c r="E1" t="str">
        <f>MajorData!U1</f>
        <v>Export</v>
      </c>
      <c r="F1" t="str">
        <f>MajorData!V1</f>
        <v>Export</v>
      </c>
      <c r="G1" t="s">
        <v>140</v>
      </c>
      <c r="H1" t="s">
        <v>140</v>
      </c>
      <c r="I1" t="s">
        <v>140</v>
      </c>
      <c r="J1" t="s">
        <v>140</v>
      </c>
      <c r="K1" t="s">
        <v>140</v>
      </c>
      <c r="L1" t="s">
        <v>140</v>
      </c>
      <c r="N1" t="str">
        <f>MajorData!I1</f>
        <v>Export</v>
      </c>
      <c r="O1" t="str">
        <f>MajorData!J1</f>
        <v>Export</v>
      </c>
      <c r="P1" t="str">
        <f>MajorData!K1</f>
        <v>Export</v>
      </c>
      <c r="R1" t="str">
        <f>MajorData!AR1</f>
        <v>Import</v>
      </c>
      <c r="S1" t="s">
        <v>143</v>
      </c>
      <c r="T1" t="str">
        <f>MajorData!AE1</f>
        <v>Import</v>
      </c>
      <c r="U1" t="s">
        <v>143</v>
      </c>
      <c r="V1" t="s">
        <v>143</v>
      </c>
      <c r="W1" t="s">
        <v>143</v>
      </c>
      <c r="Y1" t="str">
        <f>MinorData!DK1</f>
        <v>Export</v>
      </c>
      <c r="Z1" t="str">
        <f>IntData!E1</f>
        <v>Export</v>
      </c>
      <c r="AA1" t="str">
        <f>MinorData!DR1</f>
        <v>Export</v>
      </c>
      <c r="AB1" t="str">
        <f>MinorData!DT1</f>
        <v>Export</v>
      </c>
      <c r="AC1" t="s">
        <v>140</v>
      </c>
      <c r="AD1" t="str">
        <f>IntData!W1</f>
        <v>Export</v>
      </c>
      <c r="AE1" t="str">
        <f>IntData!V1</f>
        <v>Export</v>
      </c>
      <c r="AF1" t="str">
        <f>MinorData!EA1</f>
        <v>Export</v>
      </c>
      <c r="AG1" t="s">
        <v>140</v>
      </c>
      <c r="AH1" t="str">
        <f>IntData!T1</f>
        <v>Export</v>
      </c>
      <c r="AI1" t="str">
        <f>IntData!U1</f>
        <v>Export</v>
      </c>
    </row>
    <row r="2" spans="1:35" x14ac:dyDescent="0.35">
      <c r="B2" t="s">
        <v>142</v>
      </c>
      <c r="C2" t="s">
        <v>142</v>
      </c>
      <c r="E2" t="str">
        <f>MajorData!U2</f>
        <v>$mn</v>
      </c>
      <c r="F2" t="str">
        <f>MajorData!V2</f>
        <v>$mn</v>
      </c>
      <c r="G2" t="s">
        <v>142</v>
      </c>
      <c r="H2" t="s">
        <v>142</v>
      </c>
      <c r="I2" t="s">
        <v>309</v>
      </c>
      <c r="J2" t="s">
        <v>309</v>
      </c>
      <c r="K2" t="s">
        <v>309</v>
      </c>
      <c r="L2" t="s">
        <v>309</v>
      </c>
      <c r="N2" t="str">
        <f>MajorData!I2</f>
        <v>$mn</v>
      </c>
      <c r="O2" t="str">
        <f>MajorData!J2</f>
        <v>$mn</v>
      </c>
      <c r="P2" t="str">
        <f>MajorData!K2</f>
        <v>$mn</v>
      </c>
      <c r="R2" t="str">
        <f>MajorData!AR2</f>
        <v>$mn</v>
      </c>
      <c r="S2" t="s">
        <v>142</v>
      </c>
      <c r="T2" t="str">
        <f>MajorData!AE2</f>
        <v>$mn</v>
      </c>
      <c r="U2" t="s">
        <v>309</v>
      </c>
      <c r="V2" t="s">
        <v>309</v>
      </c>
      <c r="W2" t="s">
        <v>309</v>
      </c>
      <c r="Y2" t="str">
        <f>MinorData!DK2</f>
        <v>$mn</v>
      </c>
      <c r="Z2" t="str">
        <f>IntData!E2</f>
        <v>$mn</v>
      </c>
      <c r="AA2" t="str">
        <f>MinorData!DR2</f>
        <v>$mn</v>
      </c>
      <c r="AB2" t="str">
        <f>MinorData!DT2</f>
        <v>$mn</v>
      </c>
      <c r="AC2" t="s">
        <v>142</v>
      </c>
      <c r="AD2" t="str">
        <f>IntData!W2</f>
        <v>$mn</v>
      </c>
      <c r="AE2" t="str">
        <f>IntData!V2</f>
        <v>$mn</v>
      </c>
      <c r="AF2" t="str">
        <f>MinorData!EA2</f>
        <v>$mn</v>
      </c>
      <c r="AG2" t="s">
        <v>142</v>
      </c>
      <c r="AH2" t="str">
        <f>IntData!T2</f>
        <v>$mn</v>
      </c>
      <c r="AI2" t="str">
        <f>IntData!U2</f>
        <v>$mn</v>
      </c>
    </row>
    <row r="3" spans="1:35" x14ac:dyDescent="0.35">
      <c r="B3" t="s">
        <v>180</v>
      </c>
      <c r="C3" t="s">
        <v>180</v>
      </c>
      <c r="E3" t="str">
        <f>MajorData!U3</f>
        <v>Total products other than those of animal or vegetable origin</v>
      </c>
      <c r="F3" t="str">
        <f>MajorData!V3</f>
        <v>Total nonagricultural products</v>
      </c>
      <c r="G3" t="s">
        <v>307</v>
      </c>
      <c r="H3" t="s">
        <v>308</v>
      </c>
      <c r="I3" t="s">
        <v>168</v>
      </c>
      <c r="J3" t="s">
        <v>169</v>
      </c>
      <c r="K3" t="s">
        <v>307</v>
      </c>
      <c r="L3" t="s">
        <v>308</v>
      </c>
      <c r="N3" t="str">
        <f>MajorData!I3</f>
        <v>Foodstuffs, including tobacco and products</v>
      </c>
      <c r="O3" t="s">
        <v>337</v>
      </c>
      <c r="P3" t="s">
        <v>336</v>
      </c>
      <c r="R3" t="str">
        <f>MajorData!AR3</f>
        <v>Total nonagricultural products</v>
      </c>
      <c r="S3" t="s">
        <v>308</v>
      </c>
      <c r="T3" t="str">
        <f>MajorData!AE3</f>
        <v>Agricultural products</v>
      </c>
      <c r="U3" t="s">
        <v>169</v>
      </c>
      <c r="V3" t="s">
        <v>308</v>
      </c>
      <c r="W3" t="s">
        <v>156</v>
      </c>
      <c r="Y3" t="str">
        <f>MinorData!DK3</f>
        <v>Grains</v>
      </c>
      <c r="Z3" t="str">
        <f>IntData!E3</f>
        <v>Animal, all</v>
      </c>
      <c r="AA3" t="str">
        <f>MinorData!DR3</f>
        <v>Crude tobacco</v>
      </c>
      <c r="AB3" t="str">
        <f>MinorData!DT3</f>
        <v>Cotton textiles, crude</v>
      </c>
      <c r="AC3" t="s">
        <v>372</v>
      </c>
      <c r="AD3" t="str">
        <f>IntData!W3</f>
        <v>Manufactured products, including rubber, books, and other printed matter</v>
      </c>
      <c r="AE3" t="str">
        <f>IntData!V3</f>
        <v>Manufactured metal products</v>
      </c>
      <c r="AF3" t="str">
        <f>MinorData!EA3</f>
        <v>Petroleum and prodcuts, manufactured</v>
      </c>
      <c r="AG3" t="s">
        <v>373</v>
      </c>
      <c r="AH3" t="str">
        <f>IntData!T3</f>
        <v>Crude materials</v>
      </c>
      <c r="AI3" t="str">
        <f>IntData!U3</f>
        <v>Semimanufactures</v>
      </c>
    </row>
    <row r="4" spans="1:35" x14ac:dyDescent="0.35">
      <c r="B4">
        <v>220</v>
      </c>
      <c r="C4">
        <v>221</v>
      </c>
      <c r="E4">
        <f>MajorData!U4</f>
        <v>221</v>
      </c>
      <c r="F4">
        <f>MajorData!V4</f>
        <v>222</v>
      </c>
      <c r="G4">
        <v>301</v>
      </c>
      <c r="H4">
        <v>302</v>
      </c>
      <c r="O4">
        <v>310</v>
      </c>
      <c r="P4">
        <v>311</v>
      </c>
      <c r="R4">
        <f>MajorData!AR4</f>
        <v>223</v>
      </c>
      <c r="S4">
        <v>303</v>
      </c>
      <c r="T4">
        <f>MajorData!AE4</f>
        <v>209</v>
      </c>
      <c r="Y4">
        <f>MinorData!DK4</f>
        <v>5</v>
      </c>
      <c r="Z4">
        <f>IntData!E4</f>
        <v>108</v>
      </c>
      <c r="AA4">
        <f>MinorData!DR4</f>
        <v>25</v>
      </c>
      <c r="AB4">
        <f>MinorData!DT4</f>
        <v>42</v>
      </c>
      <c r="AC4">
        <v>312</v>
      </c>
      <c r="AD4">
        <f>IntData!W4</f>
        <v>147</v>
      </c>
      <c r="AE4">
        <f>IntData!V4</f>
        <v>146</v>
      </c>
      <c r="AF4">
        <f>MinorData!EA4</f>
        <v>61</v>
      </c>
      <c r="AG4">
        <v>313</v>
      </c>
      <c r="AH4">
        <f>IntData!T4</f>
        <v>144</v>
      </c>
      <c r="AI4">
        <f>IntData!U4</f>
        <v>145</v>
      </c>
    </row>
    <row r="5" spans="1:35" x14ac:dyDescent="0.35">
      <c r="A5" t="s">
        <v>181</v>
      </c>
      <c r="B5" s="14">
        <f t="array" ref="B5">AVERAGE(B10:B54)</f>
        <v>2084.4444444444443</v>
      </c>
      <c r="C5" s="14">
        <f t="array" ref="C5">AVERAGE(C10:C54)</f>
        <v>1410.6222222222223</v>
      </c>
      <c r="E5" s="14"/>
      <c r="F5" s="14"/>
      <c r="G5" s="14"/>
      <c r="H5" s="14"/>
      <c r="I5" s="18">
        <f t="array" ref="I5">AVERAGE(I10:I54)</f>
        <v>0.267984376496812</v>
      </c>
      <c r="J5" s="18">
        <f t="array" ref="J5">AVERAGE(J10:J54)</f>
        <v>0.37338742207924558</v>
      </c>
      <c r="K5" s="18">
        <f t="array" ref="K5">AVERAGE(K10:K54)</f>
        <v>0.73201562350318783</v>
      </c>
      <c r="L5" s="18">
        <f t="array" ref="L5">AVERAGE(L10:L54)</f>
        <v>0.62661257792075453</v>
      </c>
      <c r="U5" s="18">
        <f t="array" ref="U5">AVERAGE(U10:U54)</f>
        <v>0.44631450040733911</v>
      </c>
      <c r="V5" s="18">
        <f t="array" ref="V5">AVERAGE(V10:V54)</f>
        <v>0.55368549959266089</v>
      </c>
      <c r="W5" s="18">
        <f t="array" ref="W5">AVERAGE(W10:W54)</f>
        <v>0.51401107418866221</v>
      </c>
    </row>
    <row r="6" spans="1:35" x14ac:dyDescent="0.35">
      <c r="A6" t="s">
        <v>182</v>
      </c>
      <c r="B6" s="14">
        <f t="array" ref="B6">STDEV(B10:B54)</f>
        <v>1912.4165882648861</v>
      </c>
      <c r="C6" s="14">
        <f t="array" ref="C6">STDEV(C10:C54)</f>
        <v>1056.7780210898529</v>
      </c>
      <c r="E6" s="14"/>
      <c r="F6" s="14"/>
      <c r="G6" s="14"/>
      <c r="H6" s="14"/>
      <c r="I6" s="18"/>
      <c r="J6" s="18"/>
      <c r="K6" s="18"/>
      <c r="L6" s="18"/>
      <c r="U6" s="18"/>
      <c r="V6" s="18"/>
      <c r="W6" s="18"/>
    </row>
    <row r="7" spans="1:35" x14ac:dyDescent="0.35">
      <c r="A7" t="s">
        <v>183</v>
      </c>
      <c r="B7">
        <f t="array" ref="B7">VAR(B10:B54)</f>
        <v>3657337.2070707069</v>
      </c>
      <c r="C7">
        <f t="array" ref="C7">VAR(C10:C54)</f>
        <v>1116779.7858585857</v>
      </c>
      <c r="I7" s="13"/>
      <c r="J7" s="13"/>
      <c r="K7" s="13"/>
      <c r="L7" s="13"/>
      <c r="U7" s="13"/>
      <c r="V7" s="13"/>
      <c r="W7" s="13"/>
    </row>
    <row r="8" spans="1:35" x14ac:dyDescent="0.35">
      <c r="A8" t="s">
        <v>275</v>
      </c>
      <c r="B8">
        <f>MAX(B10:B54)</f>
        <v>8080</v>
      </c>
      <c r="C8">
        <f t="shared" ref="C8:L8" si="0">MAX(C10:C54)</f>
        <v>5278</v>
      </c>
      <c r="I8" s="13">
        <f t="shared" si="0"/>
        <v>0.59141004862236624</v>
      </c>
      <c r="J8" s="13">
        <f t="shared" si="0"/>
        <v>0.67487844408427877</v>
      </c>
      <c r="K8" s="13">
        <f t="shared" si="0"/>
        <v>0.9178082191780822</v>
      </c>
      <c r="L8" s="13">
        <f t="shared" si="0"/>
        <v>0.8504566210045662</v>
      </c>
      <c r="U8" s="13">
        <f t="shared" ref="U8:W8" si="1">MAX(U10:U54)</f>
        <v>0.50245959241040061</v>
      </c>
      <c r="V8" s="13">
        <f t="shared" si="1"/>
        <v>0.68724385245901642</v>
      </c>
      <c r="W8" s="13">
        <f t="shared" si="1"/>
        <v>0.66547131147540983</v>
      </c>
    </row>
    <row r="10" spans="1:35" x14ac:dyDescent="0.35">
      <c r="A10" s="7">
        <v>1879</v>
      </c>
      <c r="B10" s="8">
        <v>755</v>
      </c>
      <c r="C10" s="6">
        <v>514</v>
      </c>
      <c r="E10">
        <f>MajorData!U10</f>
        <v>75</v>
      </c>
      <c r="F10">
        <f>MajorData!V10</f>
        <v>129</v>
      </c>
      <c r="G10">
        <f t="shared" ref="G10:G54" si="2">B10-E10</f>
        <v>680</v>
      </c>
      <c r="H10">
        <f t="shared" ref="H10:H54" si="3">B10-F10</f>
        <v>626</v>
      </c>
      <c r="I10" s="13">
        <f t="shared" ref="I10:J25" si="4">E10/$B10</f>
        <v>9.9337748344370855E-2</v>
      </c>
      <c r="J10" s="13">
        <f t="shared" si="4"/>
        <v>0.17086092715231788</v>
      </c>
      <c r="K10" s="13">
        <f>G10/$B10</f>
        <v>0.90066225165562919</v>
      </c>
      <c r="L10" s="13">
        <f t="shared" ref="L10:L54" si="5">H10/$B10</f>
        <v>0.82913907284768207</v>
      </c>
      <c r="N10">
        <f>MajorData!I10</f>
        <v>421</v>
      </c>
      <c r="O10">
        <f>G10-N10</f>
        <v>259</v>
      </c>
      <c r="P10">
        <f>H10-N10</f>
        <v>205</v>
      </c>
      <c r="R10">
        <f>MajorData!AR10</f>
        <v>226</v>
      </c>
      <c r="S10" s="17">
        <f>C10-R10</f>
        <v>288</v>
      </c>
      <c r="T10">
        <f>MajorData!AE10</f>
        <v>252</v>
      </c>
      <c r="U10" s="13">
        <f>R10/$C10</f>
        <v>0.43968871595330739</v>
      </c>
      <c r="V10" s="13">
        <f t="shared" ref="V10:W10" si="6">S10/$C10</f>
        <v>0.56031128404669261</v>
      </c>
      <c r="W10" s="13">
        <f t="shared" si="6"/>
        <v>0.49027237354085601</v>
      </c>
      <c r="Y10">
        <f>MinorData!DK10</f>
        <v>217.5</v>
      </c>
      <c r="Z10">
        <f>IntData!E10</f>
        <v>118</v>
      </c>
      <c r="AA10">
        <f>MinorData!DR10</f>
        <v>14.2</v>
      </c>
      <c r="AB10">
        <f>MinorData!DT10</f>
        <v>186.5</v>
      </c>
      <c r="AC10">
        <f t="shared" ref="AC10:AC54" si="7">G10-SUM(Y10:AB10)</f>
        <v>143.79999999999995</v>
      </c>
      <c r="AD10">
        <f>IntData!W10</f>
        <v>62</v>
      </c>
      <c r="AE10">
        <f>IntData!V10</f>
        <v>17</v>
      </c>
      <c r="AF10">
        <f>MinorData!EA10</f>
        <v>35.200000000000003</v>
      </c>
      <c r="AG10">
        <f>AD10-SUM(AE10:AF10)</f>
        <v>9.7999999999999972</v>
      </c>
      <c r="AH10">
        <f>IntData!T10</f>
        <v>5</v>
      </c>
      <c r="AI10">
        <f>IntData!U10</f>
        <v>7</v>
      </c>
    </row>
    <row r="11" spans="1:35" x14ac:dyDescent="0.35">
      <c r="A11" s="7">
        <v>1880</v>
      </c>
      <c r="B11" s="8">
        <v>876</v>
      </c>
      <c r="C11" s="6">
        <v>697</v>
      </c>
      <c r="E11">
        <f>MajorData!U11</f>
        <v>72</v>
      </c>
      <c r="F11">
        <f>MajorData!V11</f>
        <v>131</v>
      </c>
      <c r="G11">
        <f t="shared" si="2"/>
        <v>804</v>
      </c>
      <c r="H11">
        <f t="shared" si="3"/>
        <v>745</v>
      </c>
      <c r="I11" s="13">
        <f t="shared" si="4"/>
        <v>8.2191780821917804E-2</v>
      </c>
      <c r="J11" s="13">
        <f t="shared" si="4"/>
        <v>0.1495433789954338</v>
      </c>
      <c r="K11" s="13">
        <f t="shared" ref="K11:K54" si="8">G11/$B11</f>
        <v>0.9178082191780822</v>
      </c>
      <c r="L11" s="13">
        <f t="shared" si="5"/>
        <v>0.8504566210045662</v>
      </c>
      <c r="N11">
        <f>MajorData!I11</f>
        <v>491</v>
      </c>
      <c r="O11">
        <f t="shared" ref="O11:O54" si="9">G11-N11</f>
        <v>313</v>
      </c>
      <c r="P11">
        <f t="shared" ref="P11:P54" si="10">H11-N11</f>
        <v>254</v>
      </c>
      <c r="R11">
        <f>MajorData!AR11</f>
        <v>346</v>
      </c>
      <c r="S11" s="17">
        <f t="shared" ref="S11:S54" si="11">C11-R11</f>
        <v>351</v>
      </c>
      <c r="T11">
        <f>MajorData!AE11</f>
        <v>309</v>
      </c>
      <c r="U11" s="13">
        <f t="shared" ref="U11:U54" si="12">R11/$C11</f>
        <v>0.4964131994261119</v>
      </c>
      <c r="V11" s="13">
        <f t="shared" ref="V11:V54" si="13">S11/$C11</f>
        <v>0.50358680057388805</v>
      </c>
      <c r="W11" s="13">
        <f t="shared" ref="W11:W54" si="14">T11/$C11</f>
        <v>0.44332855093256812</v>
      </c>
      <c r="Y11">
        <f>MinorData!DK11</f>
        <v>236.8</v>
      </c>
      <c r="Z11">
        <f>IntData!E11</f>
        <v>151</v>
      </c>
      <c r="AA11">
        <f>MinorData!DR11</f>
        <v>18.100000000000001</v>
      </c>
      <c r="AB11">
        <f>MinorData!DT11</f>
        <v>239.3</v>
      </c>
      <c r="AC11">
        <f t="shared" si="7"/>
        <v>158.79999999999995</v>
      </c>
      <c r="AD11">
        <f>IntData!W11</f>
        <v>61</v>
      </c>
      <c r="AE11">
        <f>IntData!V11</f>
        <v>19</v>
      </c>
      <c r="AF11">
        <f>MinorData!EA11</f>
        <v>31.8</v>
      </c>
      <c r="AG11">
        <f t="shared" ref="AG11:AG54" si="15">AD11-SUM(AE11:AF11)</f>
        <v>10.200000000000003</v>
      </c>
      <c r="AH11">
        <f>IntData!T11</f>
        <v>6</v>
      </c>
      <c r="AI11">
        <f>IntData!U11</f>
        <v>6</v>
      </c>
    </row>
    <row r="12" spans="1:35" x14ac:dyDescent="0.35">
      <c r="A12" s="7">
        <v>1881</v>
      </c>
      <c r="B12" s="6">
        <v>814</v>
      </c>
      <c r="C12" s="6">
        <v>670</v>
      </c>
      <c r="E12">
        <f>MajorData!U12</f>
        <v>93</v>
      </c>
      <c r="F12">
        <f>MajorData!V12</f>
        <v>159</v>
      </c>
      <c r="G12">
        <f t="shared" si="2"/>
        <v>721</v>
      </c>
      <c r="H12">
        <f t="shared" si="3"/>
        <v>655</v>
      </c>
      <c r="I12" s="13">
        <f t="shared" si="4"/>
        <v>0.11425061425061425</v>
      </c>
      <c r="J12" s="13">
        <f t="shared" si="4"/>
        <v>0.19533169533169534</v>
      </c>
      <c r="K12" s="13">
        <f t="shared" si="8"/>
        <v>0.88574938574938578</v>
      </c>
      <c r="L12" s="13">
        <f t="shared" si="5"/>
        <v>0.80466830466830463</v>
      </c>
      <c r="N12">
        <f>MajorData!I12</f>
        <v>421</v>
      </c>
      <c r="O12">
        <f t="shared" si="9"/>
        <v>300</v>
      </c>
      <c r="P12">
        <f t="shared" si="10"/>
        <v>234</v>
      </c>
      <c r="R12">
        <f>MajorData!AR12</f>
        <v>316</v>
      </c>
      <c r="S12" s="17">
        <f t="shared" si="11"/>
        <v>354</v>
      </c>
      <c r="T12">
        <f>MajorData!AE12</f>
        <v>305</v>
      </c>
      <c r="U12" s="13">
        <f t="shared" si="12"/>
        <v>0.4716417910447761</v>
      </c>
      <c r="V12" s="13">
        <f t="shared" si="13"/>
        <v>0.5283582089552239</v>
      </c>
      <c r="W12" s="13">
        <f t="shared" si="14"/>
        <v>0.45522388059701491</v>
      </c>
      <c r="Y12">
        <f>MinorData!DK12</f>
        <v>185.7</v>
      </c>
      <c r="Z12">
        <f>IntData!E12</f>
        <v>144</v>
      </c>
      <c r="AA12">
        <f>MinorData!DR12</f>
        <v>18.399999999999999</v>
      </c>
      <c r="AB12">
        <f>MinorData!DT12</f>
        <v>222.1</v>
      </c>
      <c r="AC12">
        <f t="shared" si="7"/>
        <v>150.80000000000007</v>
      </c>
      <c r="AD12">
        <f>IntData!W12</f>
        <v>79</v>
      </c>
      <c r="AE12">
        <f>IntData!V12</f>
        <v>23</v>
      </c>
      <c r="AF12">
        <f>MinorData!EA12</f>
        <v>45.5</v>
      </c>
      <c r="AG12">
        <f t="shared" si="15"/>
        <v>10.5</v>
      </c>
      <c r="AH12">
        <f>IntData!T12</f>
        <v>7</v>
      </c>
      <c r="AI12">
        <f>IntData!U12</f>
        <v>7</v>
      </c>
    </row>
    <row r="13" spans="1:35" x14ac:dyDescent="0.35">
      <c r="A13" s="7">
        <v>1882</v>
      </c>
      <c r="B13" s="6">
        <v>750</v>
      </c>
      <c r="C13" s="6">
        <v>753</v>
      </c>
      <c r="E13">
        <f>MajorData!U13</f>
        <v>98</v>
      </c>
      <c r="F13">
        <f>MajorData!V13</f>
        <v>171</v>
      </c>
      <c r="G13">
        <f t="shared" si="2"/>
        <v>652</v>
      </c>
      <c r="H13">
        <f t="shared" si="3"/>
        <v>579</v>
      </c>
      <c r="I13" s="13">
        <f t="shared" si="4"/>
        <v>0.13066666666666665</v>
      </c>
      <c r="J13" s="13">
        <f t="shared" si="4"/>
        <v>0.22800000000000001</v>
      </c>
      <c r="K13" s="13">
        <f t="shared" si="8"/>
        <v>0.86933333333333329</v>
      </c>
      <c r="L13" s="13">
        <f t="shared" si="5"/>
        <v>0.77200000000000002</v>
      </c>
      <c r="N13">
        <f>MajorData!I13</f>
        <v>338</v>
      </c>
      <c r="O13">
        <f t="shared" si="9"/>
        <v>314</v>
      </c>
      <c r="P13">
        <f t="shared" si="10"/>
        <v>241</v>
      </c>
      <c r="R13">
        <f>MajorData!AR13</f>
        <v>373</v>
      </c>
      <c r="S13" s="17">
        <f t="shared" si="11"/>
        <v>380</v>
      </c>
      <c r="T13">
        <f>MajorData!AE13</f>
        <v>343</v>
      </c>
      <c r="U13" s="13">
        <f t="shared" si="12"/>
        <v>0.4953519256308101</v>
      </c>
      <c r="V13" s="13">
        <f t="shared" si="13"/>
        <v>0.5046480743691899</v>
      </c>
      <c r="W13" s="13">
        <f t="shared" si="14"/>
        <v>0.45551128818061087</v>
      </c>
      <c r="Y13">
        <f>MinorData!DK13</f>
        <v>138.4</v>
      </c>
      <c r="Z13">
        <f>IntData!E13</f>
        <v>109</v>
      </c>
      <c r="AA13">
        <f>MinorData!DR13</f>
        <v>18.899999999999999</v>
      </c>
      <c r="AB13">
        <f>MinorData!DT13</f>
        <v>224.6</v>
      </c>
      <c r="AC13">
        <f t="shared" si="7"/>
        <v>161.10000000000002</v>
      </c>
      <c r="AD13">
        <f>IntData!W13</f>
        <v>82</v>
      </c>
      <c r="AE13">
        <f>IntData!V13</f>
        <v>28</v>
      </c>
      <c r="AF13">
        <f>MinorData!EA13</f>
        <v>41.2</v>
      </c>
      <c r="AG13">
        <f t="shared" si="15"/>
        <v>12.799999999999997</v>
      </c>
      <c r="AH13">
        <f>IntData!T13</f>
        <v>9</v>
      </c>
      <c r="AI13">
        <f>IntData!U13</f>
        <v>8</v>
      </c>
    </row>
    <row r="14" spans="1:35" x14ac:dyDescent="0.35">
      <c r="A14" s="7">
        <v>1883</v>
      </c>
      <c r="B14" s="6">
        <v>778</v>
      </c>
      <c r="C14" s="6">
        <v>687</v>
      </c>
      <c r="E14">
        <f>MajorData!U14</f>
        <v>109</v>
      </c>
      <c r="F14">
        <f>MajorData!V14</f>
        <v>178</v>
      </c>
      <c r="G14">
        <f t="shared" si="2"/>
        <v>669</v>
      </c>
      <c r="H14">
        <f t="shared" si="3"/>
        <v>600</v>
      </c>
      <c r="I14" s="13">
        <f t="shared" si="4"/>
        <v>0.14010282776349614</v>
      </c>
      <c r="J14" s="13">
        <f t="shared" si="4"/>
        <v>0.22879177377892032</v>
      </c>
      <c r="K14" s="13">
        <f t="shared" si="8"/>
        <v>0.85989717223650386</v>
      </c>
      <c r="L14" s="13">
        <f t="shared" si="5"/>
        <v>0.77120822622107965</v>
      </c>
      <c r="N14">
        <f>MajorData!I14</f>
        <v>362</v>
      </c>
      <c r="O14">
        <f t="shared" si="9"/>
        <v>307</v>
      </c>
      <c r="P14">
        <f t="shared" si="10"/>
        <v>238</v>
      </c>
      <c r="R14">
        <f>MajorData!AR14</f>
        <v>336</v>
      </c>
      <c r="S14" s="17">
        <f t="shared" si="11"/>
        <v>351</v>
      </c>
      <c r="T14">
        <f>MajorData!AE14</f>
        <v>315</v>
      </c>
      <c r="U14" s="13">
        <f t="shared" si="12"/>
        <v>0.48908296943231439</v>
      </c>
      <c r="V14" s="13">
        <f t="shared" si="13"/>
        <v>0.51091703056768556</v>
      </c>
      <c r="W14" s="13">
        <f t="shared" si="14"/>
        <v>0.45851528384279477</v>
      </c>
      <c r="Y14">
        <f>MinorData!DK14</f>
        <v>122.3</v>
      </c>
      <c r="Z14">
        <f>IntData!E14</f>
        <v>125</v>
      </c>
      <c r="AA14">
        <f>MinorData!DR14</f>
        <v>20</v>
      </c>
      <c r="AB14">
        <f>MinorData!DT14</f>
        <v>224.7</v>
      </c>
      <c r="AC14">
        <f t="shared" si="7"/>
        <v>177</v>
      </c>
      <c r="AD14">
        <f>IntData!W14</f>
        <v>87</v>
      </c>
      <c r="AE14">
        <f>IntData!V14</f>
        <v>30</v>
      </c>
      <c r="AF14">
        <f>MinorData!EA14</f>
        <v>43.3</v>
      </c>
      <c r="AG14">
        <f t="shared" si="15"/>
        <v>13.700000000000003</v>
      </c>
      <c r="AH14">
        <f>IntData!T14</f>
        <v>13</v>
      </c>
      <c r="AI14">
        <f>IntData!U14</f>
        <v>9</v>
      </c>
    </row>
    <row r="15" spans="1:35" x14ac:dyDescent="0.35">
      <c r="A15" s="7">
        <v>1884</v>
      </c>
      <c r="B15" s="6">
        <v>734</v>
      </c>
      <c r="C15" s="6">
        <v>629</v>
      </c>
      <c r="E15">
        <f>MajorData!U15</f>
        <v>109</v>
      </c>
      <c r="F15">
        <f>MajorData!V15</f>
        <v>180</v>
      </c>
      <c r="G15">
        <f t="shared" si="2"/>
        <v>625</v>
      </c>
      <c r="H15">
        <f t="shared" si="3"/>
        <v>554</v>
      </c>
      <c r="I15" s="13">
        <f t="shared" si="4"/>
        <v>0.14850136239782016</v>
      </c>
      <c r="J15" s="13">
        <f t="shared" si="4"/>
        <v>0.24523160762942781</v>
      </c>
      <c r="K15" s="13">
        <f t="shared" si="8"/>
        <v>0.85149863760217981</v>
      </c>
      <c r="L15" s="13">
        <f t="shared" si="5"/>
        <v>0.75476839237057225</v>
      </c>
      <c r="N15">
        <f>MajorData!I15</f>
        <v>326</v>
      </c>
      <c r="O15">
        <f t="shared" si="9"/>
        <v>299</v>
      </c>
      <c r="P15">
        <f t="shared" si="10"/>
        <v>228</v>
      </c>
      <c r="R15">
        <f>MajorData!AR15</f>
        <v>307</v>
      </c>
      <c r="S15" s="17">
        <f t="shared" si="11"/>
        <v>322</v>
      </c>
      <c r="T15">
        <f>MajorData!AE15</f>
        <v>299</v>
      </c>
      <c r="U15" s="13">
        <f t="shared" si="12"/>
        <v>0.48807631160572335</v>
      </c>
      <c r="V15" s="13">
        <f t="shared" si="13"/>
        <v>0.5119236883942766</v>
      </c>
      <c r="W15" s="13">
        <f t="shared" si="14"/>
        <v>0.4753577106518283</v>
      </c>
      <c r="Y15">
        <f>MinorData!DK15</f>
        <v>100</v>
      </c>
      <c r="Z15">
        <f>IntData!E15</f>
        <v>104</v>
      </c>
      <c r="AA15">
        <f>MinorData!DR15</f>
        <v>20</v>
      </c>
      <c r="AB15">
        <f>MinorData!DT15</f>
        <v>221.6</v>
      </c>
      <c r="AC15">
        <f t="shared" si="7"/>
        <v>179.39999999999998</v>
      </c>
      <c r="AD15">
        <f>IntData!W15</f>
        <v>82</v>
      </c>
      <c r="AE15">
        <f>IntData!V15</f>
        <v>25</v>
      </c>
      <c r="AF15">
        <f>MinorData!EA15</f>
        <v>43.4</v>
      </c>
      <c r="AG15">
        <f t="shared" si="15"/>
        <v>13.599999999999994</v>
      </c>
      <c r="AH15">
        <f>IntData!T15</f>
        <v>17</v>
      </c>
      <c r="AI15">
        <f>IntData!U15</f>
        <v>10</v>
      </c>
    </row>
    <row r="16" spans="1:35" x14ac:dyDescent="0.35">
      <c r="A16" s="7">
        <v>1885</v>
      </c>
      <c r="B16" s="6">
        <v>674</v>
      </c>
      <c r="C16" s="6">
        <v>588</v>
      </c>
      <c r="E16">
        <f>MajorData!U16</f>
        <v>103</v>
      </c>
      <c r="F16">
        <f>MajorData!V16</f>
        <v>166</v>
      </c>
      <c r="G16">
        <f t="shared" si="2"/>
        <v>571</v>
      </c>
      <c r="H16">
        <f t="shared" si="3"/>
        <v>508</v>
      </c>
      <c r="I16" s="13">
        <f t="shared" si="4"/>
        <v>0.15281899109792285</v>
      </c>
      <c r="J16" s="13">
        <f t="shared" si="4"/>
        <v>0.24629080118694363</v>
      </c>
      <c r="K16" s="13">
        <f t="shared" si="8"/>
        <v>0.84718100890207715</v>
      </c>
      <c r="L16" s="13">
        <f t="shared" si="5"/>
        <v>0.75370919881305642</v>
      </c>
      <c r="N16">
        <f>MajorData!I16</f>
        <v>316</v>
      </c>
      <c r="O16">
        <f t="shared" si="9"/>
        <v>255</v>
      </c>
      <c r="P16">
        <f t="shared" si="10"/>
        <v>192</v>
      </c>
      <c r="R16">
        <f>MajorData!AR16</f>
        <v>274</v>
      </c>
      <c r="S16" s="17">
        <f t="shared" si="11"/>
        <v>314</v>
      </c>
      <c r="T16">
        <f>MajorData!AE16</f>
        <v>288</v>
      </c>
      <c r="U16" s="13">
        <f t="shared" si="12"/>
        <v>0.46598639455782315</v>
      </c>
      <c r="V16" s="13">
        <f t="shared" si="13"/>
        <v>0.53401360544217691</v>
      </c>
      <c r="W16" s="13">
        <f t="shared" si="14"/>
        <v>0.48979591836734693</v>
      </c>
      <c r="Y16">
        <f>MinorData!DK16</f>
        <v>83.1</v>
      </c>
      <c r="Z16">
        <f>IntData!E16</f>
        <v>102</v>
      </c>
      <c r="AA16">
        <f>MinorData!DR16</f>
        <v>26.6</v>
      </c>
      <c r="AB16">
        <f>MinorData!DT16</f>
        <v>184.4</v>
      </c>
      <c r="AC16">
        <f t="shared" si="7"/>
        <v>174.89999999999998</v>
      </c>
      <c r="AD16">
        <f>IntData!W16</f>
        <v>77</v>
      </c>
      <c r="AE16">
        <f>IntData!V16</f>
        <v>20</v>
      </c>
      <c r="AF16">
        <f>MinorData!EA16</f>
        <v>43.6</v>
      </c>
      <c r="AG16">
        <f t="shared" si="15"/>
        <v>13.399999999999999</v>
      </c>
      <c r="AH16">
        <f>IntData!T16</f>
        <v>15</v>
      </c>
      <c r="AI16">
        <f>IntData!U16</f>
        <v>10</v>
      </c>
    </row>
    <row r="17" spans="1:35" x14ac:dyDescent="0.35">
      <c r="A17" s="7">
        <v>1886</v>
      </c>
      <c r="B17" s="6">
        <v>700</v>
      </c>
      <c r="C17" s="6">
        <v>663</v>
      </c>
      <c r="E17">
        <f>MajorData!U17</f>
        <v>96</v>
      </c>
      <c r="F17">
        <f>MajorData!V17</f>
        <v>159</v>
      </c>
      <c r="G17">
        <f t="shared" si="2"/>
        <v>604</v>
      </c>
      <c r="H17">
        <f t="shared" si="3"/>
        <v>541</v>
      </c>
      <c r="I17" s="13">
        <f t="shared" si="4"/>
        <v>0.13714285714285715</v>
      </c>
      <c r="J17" s="13">
        <f t="shared" si="4"/>
        <v>0.22714285714285715</v>
      </c>
      <c r="K17" s="13">
        <f t="shared" si="8"/>
        <v>0.86285714285714288</v>
      </c>
      <c r="L17" s="13">
        <f t="shared" si="5"/>
        <v>0.77285714285714291</v>
      </c>
      <c r="N17">
        <f>MajorData!I17</f>
        <v>318</v>
      </c>
      <c r="O17">
        <f t="shared" si="9"/>
        <v>286</v>
      </c>
      <c r="P17">
        <f t="shared" si="10"/>
        <v>223</v>
      </c>
      <c r="R17">
        <f>MajorData!AR17</f>
        <v>321</v>
      </c>
      <c r="S17" s="17">
        <f t="shared" si="11"/>
        <v>342</v>
      </c>
      <c r="T17">
        <f>MajorData!AE17</f>
        <v>314</v>
      </c>
      <c r="U17" s="13">
        <f t="shared" si="12"/>
        <v>0.48416289592760181</v>
      </c>
      <c r="V17" s="13">
        <f t="shared" si="13"/>
        <v>0.51583710407239824</v>
      </c>
      <c r="W17" s="13">
        <f t="shared" si="14"/>
        <v>0.473604826546003</v>
      </c>
      <c r="Y17">
        <f>MinorData!DK17</f>
        <v>104.4</v>
      </c>
      <c r="Z17">
        <f>IntData!E17</f>
        <v>94</v>
      </c>
      <c r="AA17">
        <f>MinorData!DR17</f>
        <v>28.3</v>
      </c>
      <c r="AB17">
        <f>MinorData!DT17</f>
        <v>215.4</v>
      </c>
      <c r="AC17">
        <f t="shared" si="7"/>
        <v>161.89999999999998</v>
      </c>
      <c r="AD17">
        <f>IntData!W17</f>
        <v>74</v>
      </c>
      <c r="AE17">
        <f>IntData!V17</f>
        <v>19</v>
      </c>
      <c r="AF17">
        <f>MinorData!EA17</f>
        <v>43.1</v>
      </c>
      <c r="AG17">
        <f t="shared" si="15"/>
        <v>11.899999999999999</v>
      </c>
      <c r="AH17">
        <f>IntData!T17</f>
        <v>13</v>
      </c>
      <c r="AI17">
        <f>IntData!U17</f>
        <v>9</v>
      </c>
    </row>
    <row r="18" spans="1:35" x14ac:dyDescent="0.35">
      <c r="A18" s="7">
        <v>1887</v>
      </c>
      <c r="B18" s="8">
        <v>703</v>
      </c>
      <c r="C18" s="6">
        <v>709</v>
      </c>
      <c r="E18">
        <f>MajorData!U18</f>
        <v>100</v>
      </c>
      <c r="F18">
        <f>MajorData!V18</f>
        <v>165</v>
      </c>
      <c r="G18">
        <f t="shared" si="2"/>
        <v>603</v>
      </c>
      <c r="H18">
        <f t="shared" si="3"/>
        <v>538</v>
      </c>
      <c r="I18" s="13">
        <f t="shared" si="4"/>
        <v>0.14224751066856331</v>
      </c>
      <c r="J18" s="13">
        <f t="shared" si="4"/>
        <v>0.23470839260312945</v>
      </c>
      <c r="K18" s="13">
        <f t="shared" si="8"/>
        <v>0.85775248933143666</v>
      </c>
      <c r="L18" s="13">
        <f t="shared" si="5"/>
        <v>0.76529160739687052</v>
      </c>
      <c r="N18">
        <f>MajorData!I18</f>
        <v>312</v>
      </c>
      <c r="O18">
        <f t="shared" si="9"/>
        <v>291</v>
      </c>
      <c r="P18">
        <f t="shared" si="10"/>
        <v>226</v>
      </c>
      <c r="R18">
        <f>MajorData!AR18</f>
        <v>349</v>
      </c>
      <c r="S18" s="17">
        <f t="shared" si="11"/>
        <v>360</v>
      </c>
      <c r="T18">
        <f>MajorData!AE18</f>
        <v>327</v>
      </c>
      <c r="U18" s="13">
        <f t="shared" si="12"/>
        <v>0.49224259520451341</v>
      </c>
      <c r="V18" s="13">
        <f t="shared" si="13"/>
        <v>0.50775740479548659</v>
      </c>
      <c r="W18" s="13">
        <f t="shared" si="14"/>
        <v>0.461212976022567</v>
      </c>
      <c r="Y18">
        <f>MinorData!DK18</f>
        <v>103.4</v>
      </c>
      <c r="Z18">
        <f>IntData!E18</f>
        <v>95</v>
      </c>
      <c r="AA18">
        <f>MinorData!DR18</f>
        <v>20.9</v>
      </c>
      <c r="AB18">
        <f>MinorData!DT18</f>
        <v>216</v>
      </c>
      <c r="AC18">
        <f t="shared" si="7"/>
        <v>167.7</v>
      </c>
      <c r="AD18">
        <f>IntData!W18</f>
        <v>75</v>
      </c>
      <c r="AE18">
        <f>IntData!V18</f>
        <v>22</v>
      </c>
      <c r="AF18">
        <f>MinorData!EA18</f>
        <v>41.8</v>
      </c>
      <c r="AG18">
        <f t="shared" si="15"/>
        <v>11.200000000000003</v>
      </c>
      <c r="AH18">
        <f>IntData!T18</f>
        <v>15</v>
      </c>
      <c r="AI18">
        <f>IntData!U18</f>
        <v>9</v>
      </c>
    </row>
    <row r="19" spans="1:35" x14ac:dyDescent="0.35">
      <c r="A19" s="7">
        <v>1888</v>
      </c>
      <c r="B19" s="9">
        <v>680</v>
      </c>
      <c r="C19" s="6">
        <v>725</v>
      </c>
      <c r="E19">
        <f>MajorData!U19</f>
        <v>114</v>
      </c>
      <c r="F19">
        <f>MajorData!V19</f>
        <v>180</v>
      </c>
      <c r="G19">
        <f t="shared" si="2"/>
        <v>566</v>
      </c>
      <c r="H19">
        <f t="shared" si="3"/>
        <v>500</v>
      </c>
      <c r="I19" s="13">
        <f t="shared" si="4"/>
        <v>0.1676470588235294</v>
      </c>
      <c r="J19" s="13">
        <f t="shared" si="4"/>
        <v>0.26470588235294118</v>
      </c>
      <c r="K19" s="13">
        <f t="shared" si="8"/>
        <v>0.83235294117647063</v>
      </c>
      <c r="L19" s="13">
        <f t="shared" si="5"/>
        <v>0.73529411764705888</v>
      </c>
      <c r="N19">
        <f>MajorData!I19</f>
        <v>265</v>
      </c>
      <c r="O19">
        <f t="shared" si="9"/>
        <v>301</v>
      </c>
      <c r="P19">
        <f t="shared" si="10"/>
        <v>235</v>
      </c>
      <c r="R19">
        <f>MajorData!AR19</f>
        <v>344</v>
      </c>
      <c r="S19" s="17">
        <f t="shared" si="11"/>
        <v>381</v>
      </c>
      <c r="T19">
        <f>MajorData!AE19</f>
        <v>348</v>
      </c>
      <c r="U19" s="13">
        <f t="shared" si="12"/>
        <v>0.47448275862068967</v>
      </c>
      <c r="V19" s="13">
        <f t="shared" si="13"/>
        <v>0.52551724137931033</v>
      </c>
      <c r="W19" s="13">
        <f t="shared" si="14"/>
        <v>0.48</v>
      </c>
      <c r="Y19">
        <f>MinorData!DK19</f>
        <v>64</v>
      </c>
      <c r="Z19">
        <f>IntData!E19</f>
        <v>94</v>
      </c>
      <c r="AA19">
        <f>MinorData!DR19</f>
        <v>18.7</v>
      </c>
      <c r="AB19">
        <f>MinorData!DT19</f>
        <v>225.1</v>
      </c>
      <c r="AC19">
        <f t="shared" si="7"/>
        <v>164.20000000000005</v>
      </c>
      <c r="AD19">
        <f>IntData!W19</f>
        <v>81</v>
      </c>
      <c r="AE19">
        <f>IntData!V19</f>
        <v>26</v>
      </c>
      <c r="AF19">
        <f>MinorData!EA19</f>
        <v>42.6</v>
      </c>
      <c r="AG19">
        <f t="shared" si="15"/>
        <v>12.400000000000006</v>
      </c>
      <c r="AH19">
        <f>IntData!T19</f>
        <v>20</v>
      </c>
      <c r="AI19">
        <f>IntData!U19</f>
        <v>13</v>
      </c>
    </row>
    <row r="20" spans="1:35" x14ac:dyDescent="0.35">
      <c r="A20" s="7">
        <v>1889</v>
      </c>
      <c r="B20" s="8">
        <v>814</v>
      </c>
      <c r="C20" s="6">
        <v>771</v>
      </c>
      <c r="E20">
        <f>MajorData!U20</f>
        <v>128</v>
      </c>
      <c r="F20">
        <f>MajorData!V20</f>
        <v>205</v>
      </c>
      <c r="G20">
        <f t="shared" si="2"/>
        <v>686</v>
      </c>
      <c r="H20">
        <f t="shared" si="3"/>
        <v>609</v>
      </c>
      <c r="I20" s="13">
        <f t="shared" si="4"/>
        <v>0.15724815724815724</v>
      </c>
      <c r="J20" s="13">
        <f t="shared" si="4"/>
        <v>0.25184275184275184</v>
      </c>
      <c r="K20" s="13">
        <f t="shared" si="8"/>
        <v>0.84275184275184278</v>
      </c>
      <c r="L20" s="13">
        <f t="shared" si="5"/>
        <v>0.74815724815724816</v>
      </c>
      <c r="N20">
        <f>MajorData!I20</f>
        <v>331</v>
      </c>
      <c r="O20">
        <f t="shared" si="9"/>
        <v>355</v>
      </c>
      <c r="P20">
        <f t="shared" si="10"/>
        <v>278</v>
      </c>
      <c r="R20">
        <f>MajorData!AR20</f>
        <v>355</v>
      </c>
      <c r="S20" s="17">
        <f t="shared" si="11"/>
        <v>416</v>
      </c>
      <c r="T20">
        <f>MajorData!AE20</f>
        <v>381</v>
      </c>
      <c r="U20" s="13">
        <f t="shared" si="12"/>
        <v>0.4604409857328145</v>
      </c>
      <c r="V20" s="13">
        <f t="shared" si="13"/>
        <v>0.53955901426718544</v>
      </c>
      <c r="W20" s="13">
        <f t="shared" si="14"/>
        <v>0.49416342412451364</v>
      </c>
      <c r="Y20">
        <f>MinorData!DK20</f>
        <v>76.400000000000006</v>
      </c>
      <c r="Z20">
        <f>IntData!E20</f>
        <v>125</v>
      </c>
      <c r="AA20">
        <f>MinorData!DR20</f>
        <v>22</v>
      </c>
      <c r="AB20">
        <f>MinorData!DT20</f>
        <v>266.60000000000002</v>
      </c>
      <c r="AC20">
        <f t="shared" si="7"/>
        <v>196</v>
      </c>
      <c r="AD20">
        <f>IntData!W20</f>
        <v>97</v>
      </c>
      <c r="AE20">
        <f>IntData!V20</f>
        <v>34</v>
      </c>
      <c r="AF20">
        <f>MinorData!EA20</f>
        <v>47.2</v>
      </c>
      <c r="AG20">
        <f t="shared" si="15"/>
        <v>15.799999999999997</v>
      </c>
      <c r="AH20">
        <f>IntData!T20</f>
        <v>22</v>
      </c>
      <c r="AI20">
        <f>IntData!U20</f>
        <v>8</v>
      </c>
    </row>
    <row r="21" spans="1:35" x14ac:dyDescent="0.35">
      <c r="A21" s="7">
        <v>1890</v>
      </c>
      <c r="B21" s="8">
        <v>846</v>
      </c>
      <c r="C21" s="6">
        <v>823</v>
      </c>
      <c r="E21">
        <f>MajorData!U21</f>
        <v>129</v>
      </c>
      <c r="F21">
        <f>MajorData!V21</f>
        <v>202</v>
      </c>
      <c r="G21">
        <f t="shared" si="2"/>
        <v>717</v>
      </c>
      <c r="H21">
        <f t="shared" si="3"/>
        <v>644</v>
      </c>
      <c r="I21" s="13">
        <f t="shared" si="4"/>
        <v>0.1524822695035461</v>
      </c>
      <c r="J21" s="13">
        <f t="shared" si="4"/>
        <v>0.23877068557919623</v>
      </c>
      <c r="K21" s="13">
        <f t="shared" si="8"/>
        <v>0.84751773049645385</v>
      </c>
      <c r="L21" s="13">
        <f t="shared" si="5"/>
        <v>0.76122931442080377</v>
      </c>
      <c r="N21">
        <f>MajorData!I21</f>
        <v>371</v>
      </c>
      <c r="O21">
        <f t="shared" si="9"/>
        <v>346</v>
      </c>
      <c r="P21">
        <f t="shared" si="10"/>
        <v>273</v>
      </c>
      <c r="R21">
        <f>MajorData!AR21</f>
        <v>388</v>
      </c>
      <c r="S21" s="17">
        <f t="shared" si="11"/>
        <v>435</v>
      </c>
      <c r="T21">
        <f>MajorData!AE21</f>
        <v>395</v>
      </c>
      <c r="U21" s="13">
        <f t="shared" si="12"/>
        <v>0.47144592952612396</v>
      </c>
      <c r="V21" s="13">
        <f t="shared" si="13"/>
        <v>0.52855407047387604</v>
      </c>
      <c r="W21" s="13">
        <f t="shared" si="14"/>
        <v>0.47995139732685299</v>
      </c>
      <c r="Y21">
        <f>MinorData!DK21</f>
        <v>85.6</v>
      </c>
      <c r="Z21">
        <f>IntData!E21</f>
        <v>143</v>
      </c>
      <c r="AA21">
        <f>MinorData!DR21</f>
        <v>21.2</v>
      </c>
      <c r="AB21">
        <f>MinorData!DT21</f>
        <v>254.3</v>
      </c>
      <c r="AC21">
        <f t="shared" si="7"/>
        <v>212.89999999999998</v>
      </c>
      <c r="AD21">
        <f>IntData!W21</f>
        <v>100</v>
      </c>
      <c r="AE21">
        <f>IntData!V21</f>
        <v>37</v>
      </c>
      <c r="AF21">
        <f>MinorData!EA21</f>
        <v>45.7</v>
      </c>
      <c r="AG21">
        <f t="shared" si="15"/>
        <v>17.299999999999997</v>
      </c>
      <c r="AH21">
        <f>IntData!T21</f>
        <v>20</v>
      </c>
      <c r="AI21">
        <f>IntData!U21</f>
        <v>9</v>
      </c>
    </row>
    <row r="22" spans="1:35" x14ac:dyDescent="0.35">
      <c r="A22" s="7">
        <v>1891</v>
      </c>
      <c r="B22" s="6">
        <v>957</v>
      </c>
      <c r="C22" s="8">
        <v>828</v>
      </c>
      <c r="E22">
        <f>MajorData!U22</f>
        <v>139</v>
      </c>
      <c r="F22">
        <f>MajorData!V22</f>
        <v>214</v>
      </c>
      <c r="G22">
        <f t="shared" si="2"/>
        <v>818</v>
      </c>
      <c r="H22">
        <f t="shared" si="3"/>
        <v>743</v>
      </c>
      <c r="I22" s="13">
        <f t="shared" si="4"/>
        <v>0.14524555903866249</v>
      </c>
      <c r="J22" s="13">
        <f t="shared" si="4"/>
        <v>0.22361546499477533</v>
      </c>
      <c r="K22" s="13">
        <f t="shared" si="8"/>
        <v>0.85475444096133746</v>
      </c>
      <c r="L22" s="13">
        <f t="shared" si="5"/>
        <v>0.77638453500522464</v>
      </c>
      <c r="N22">
        <f>MajorData!I22</f>
        <v>449</v>
      </c>
      <c r="O22">
        <f t="shared" si="9"/>
        <v>369</v>
      </c>
      <c r="P22">
        <f t="shared" si="10"/>
        <v>294</v>
      </c>
      <c r="R22">
        <f>MajorData!AR22</f>
        <v>355</v>
      </c>
      <c r="S22" s="17">
        <f t="shared" si="11"/>
        <v>473</v>
      </c>
      <c r="T22">
        <f>MajorData!AE22</f>
        <v>436</v>
      </c>
      <c r="U22" s="13">
        <f t="shared" si="12"/>
        <v>0.42874396135265702</v>
      </c>
      <c r="V22" s="13">
        <f t="shared" si="13"/>
        <v>0.57125603864734298</v>
      </c>
      <c r="W22" s="13">
        <f t="shared" si="14"/>
        <v>0.52657004830917875</v>
      </c>
      <c r="Y22">
        <f>MinorData!DK22</f>
        <v>164.4</v>
      </c>
      <c r="Z22">
        <f>IntData!E22</f>
        <v>133</v>
      </c>
      <c r="AA22">
        <f>MinorData!DR22</f>
        <v>20.399999999999999</v>
      </c>
      <c r="AB22">
        <f>MinorData!DT22</f>
        <v>277</v>
      </c>
      <c r="AC22">
        <f t="shared" si="7"/>
        <v>223.20000000000005</v>
      </c>
      <c r="AD22">
        <f>IntData!W22</f>
        <v>98</v>
      </c>
      <c r="AE22">
        <f>IntData!V22</f>
        <v>40</v>
      </c>
      <c r="AF22">
        <f>MinorData!EA22</f>
        <v>40.799999999999997</v>
      </c>
      <c r="AG22">
        <f t="shared" si="15"/>
        <v>17.200000000000003</v>
      </c>
      <c r="AH22">
        <f>IntData!T22</f>
        <v>23</v>
      </c>
      <c r="AI22">
        <f>IntData!U22</f>
        <v>18</v>
      </c>
    </row>
    <row r="23" spans="1:35" x14ac:dyDescent="0.35">
      <c r="A23" s="7">
        <v>1892</v>
      </c>
      <c r="B23" s="6">
        <v>923</v>
      </c>
      <c r="C23" s="6">
        <v>841</v>
      </c>
      <c r="E23">
        <f>MajorData!U23</f>
        <v>127</v>
      </c>
      <c r="F23">
        <f>MajorData!V23</f>
        <v>201</v>
      </c>
      <c r="G23">
        <f t="shared" si="2"/>
        <v>796</v>
      </c>
      <c r="H23">
        <f t="shared" si="3"/>
        <v>722</v>
      </c>
      <c r="I23" s="13">
        <f t="shared" si="4"/>
        <v>0.13759479956663057</v>
      </c>
      <c r="J23" s="13">
        <f t="shared" si="4"/>
        <v>0.21776814734561215</v>
      </c>
      <c r="K23" s="13">
        <f t="shared" si="8"/>
        <v>0.86240520043336943</v>
      </c>
      <c r="L23" s="13">
        <f t="shared" si="5"/>
        <v>0.78223185265438788</v>
      </c>
      <c r="N23">
        <f>MajorData!I23</f>
        <v>491</v>
      </c>
      <c r="O23">
        <f t="shared" si="9"/>
        <v>305</v>
      </c>
      <c r="P23">
        <f t="shared" si="10"/>
        <v>231</v>
      </c>
      <c r="R23">
        <f>MajorData!AR23</f>
        <v>366</v>
      </c>
      <c r="S23" s="17">
        <f t="shared" si="11"/>
        <v>475</v>
      </c>
      <c r="T23">
        <f>MajorData!AE23</f>
        <v>412</v>
      </c>
      <c r="U23" s="13">
        <f t="shared" si="12"/>
        <v>0.43519619500594531</v>
      </c>
      <c r="V23" s="13">
        <f t="shared" si="13"/>
        <v>0.56480380499405469</v>
      </c>
      <c r="W23" s="13">
        <f t="shared" si="14"/>
        <v>0.48989298454221164</v>
      </c>
      <c r="Y23">
        <f>MinorData!DK23</f>
        <v>161.9</v>
      </c>
      <c r="Z23">
        <f>IntData!E23</f>
        <v>150</v>
      </c>
      <c r="AA23">
        <f>MinorData!DR23</f>
        <v>21.7</v>
      </c>
      <c r="AB23">
        <f>MinorData!DT23</f>
        <v>217.1</v>
      </c>
      <c r="AC23">
        <f t="shared" si="7"/>
        <v>245.30000000000007</v>
      </c>
      <c r="AD23">
        <f>IntData!W23</f>
        <v>91</v>
      </c>
      <c r="AE23">
        <f>IntData!V23</f>
        <v>36</v>
      </c>
      <c r="AF23">
        <f>MinorData!EA23</f>
        <v>38</v>
      </c>
      <c r="AG23">
        <f t="shared" si="15"/>
        <v>17</v>
      </c>
      <c r="AH23">
        <f>IntData!T23</f>
        <v>24</v>
      </c>
      <c r="AI23">
        <f>IntData!U23</f>
        <v>13</v>
      </c>
    </row>
    <row r="24" spans="1:35" x14ac:dyDescent="0.35">
      <c r="A24" s="7">
        <v>1893</v>
      </c>
      <c r="B24" s="6">
        <v>855</v>
      </c>
      <c r="C24" s="6">
        <v>776</v>
      </c>
      <c r="E24">
        <f>MajorData!U24</f>
        <v>147</v>
      </c>
      <c r="F24">
        <f>MajorData!V24</f>
        <v>225</v>
      </c>
      <c r="G24">
        <f t="shared" si="2"/>
        <v>708</v>
      </c>
      <c r="H24">
        <f t="shared" si="3"/>
        <v>630</v>
      </c>
      <c r="I24" s="13">
        <f t="shared" si="4"/>
        <v>0.17192982456140352</v>
      </c>
      <c r="J24" s="13">
        <f t="shared" si="4"/>
        <v>0.26315789473684209</v>
      </c>
      <c r="K24" s="13">
        <f t="shared" si="8"/>
        <v>0.82807017543859651</v>
      </c>
      <c r="L24" s="13">
        <f t="shared" si="5"/>
        <v>0.73684210526315785</v>
      </c>
      <c r="N24">
        <f>MajorData!I24</f>
        <v>406</v>
      </c>
      <c r="O24">
        <f t="shared" si="9"/>
        <v>302</v>
      </c>
      <c r="P24">
        <f t="shared" si="10"/>
        <v>224</v>
      </c>
      <c r="R24">
        <f>MajorData!AR24</f>
        <v>343</v>
      </c>
      <c r="S24" s="17">
        <f t="shared" si="11"/>
        <v>433</v>
      </c>
      <c r="T24">
        <f>MajorData!AE24</f>
        <v>402</v>
      </c>
      <c r="U24" s="13">
        <f t="shared" si="12"/>
        <v>0.4420103092783505</v>
      </c>
      <c r="V24" s="13">
        <f t="shared" si="13"/>
        <v>0.5579896907216495</v>
      </c>
      <c r="W24" s="13">
        <f t="shared" si="14"/>
        <v>0.51804123711340211</v>
      </c>
      <c r="Y24">
        <f>MinorData!DK24</f>
        <v>112.5</v>
      </c>
      <c r="Z24">
        <f>IntData!E24</f>
        <v>137</v>
      </c>
      <c r="AA24">
        <f>MinorData!DR24</f>
        <v>23.8</v>
      </c>
      <c r="AB24">
        <f>MinorData!DT24</f>
        <v>204.1</v>
      </c>
      <c r="AC24">
        <f t="shared" si="7"/>
        <v>230.60000000000002</v>
      </c>
      <c r="AD24">
        <f>IntData!W24</f>
        <v>97</v>
      </c>
      <c r="AE24">
        <f>IntData!V24</f>
        <v>42</v>
      </c>
      <c r="AF24">
        <f>MinorData!EA24</f>
        <v>37.9</v>
      </c>
      <c r="AG24">
        <f t="shared" si="15"/>
        <v>17.099999999999994</v>
      </c>
      <c r="AH24">
        <f>IntData!T24</f>
        <v>25</v>
      </c>
      <c r="AI24">
        <f>IntData!U24</f>
        <v>25</v>
      </c>
    </row>
    <row r="25" spans="1:35" x14ac:dyDescent="0.35">
      <c r="A25" s="7">
        <v>1894</v>
      </c>
      <c r="B25" s="6">
        <v>807</v>
      </c>
      <c r="C25" s="6">
        <v>673</v>
      </c>
      <c r="E25">
        <f>MajorData!U25</f>
        <v>141</v>
      </c>
      <c r="F25">
        <f>MajorData!V25</f>
        <v>224</v>
      </c>
      <c r="G25">
        <f t="shared" si="2"/>
        <v>666</v>
      </c>
      <c r="H25">
        <f t="shared" si="3"/>
        <v>583</v>
      </c>
      <c r="I25" s="13">
        <f t="shared" si="4"/>
        <v>0.17472118959107807</v>
      </c>
      <c r="J25" s="13">
        <f t="shared" si="4"/>
        <v>0.27757125154894674</v>
      </c>
      <c r="K25" s="13">
        <f t="shared" si="8"/>
        <v>0.82527881040892193</v>
      </c>
      <c r="L25" s="13">
        <f t="shared" si="5"/>
        <v>0.72242874845105332</v>
      </c>
      <c r="N25">
        <f>MajorData!I25</f>
        <v>372</v>
      </c>
      <c r="O25">
        <f t="shared" si="9"/>
        <v>294</v>
      </c>
      <c r="P25">
        <f t="shared" si="10"/>
        <v>211</v>
      </c>
      <c r="R25">
        <f>MajorData!AR25</f>
        <v>268</v>
      </c>
      <c r="S25" s="17">
        <f t="shared" si="11"/>
        <v>405</v>
      </c>
      <c r="T25">
        <f>MajorData!AE25</f>
        <v>379</v>
      </c>
      <c r="U25" s="13">
        <f t="shared" si="12"/>
        <v>0.39821693907875183</v>
      </c>
      <c r="V25" s="13">
        <f t="shared" si="13"/>
        <v>0.60178306092124811</v>
      </c>
      <c r="W25" s="13">
        <f t="shared" si="14"/>
        <v>0.56315007429420505</v>
      </c>
      <c r="Y25">
        <f>MinorData!DK25</f>
        <v>63.3</v>
      </c>
      <c r="Z25">
        <f>IntData!E25</f>
        <v>146</v>
      </c>
      <c r="AA25">
        <f>MinorData!DR25</f>
        <v>25.8</v>
      </c>
      <c r="AB25">
        <f>MinorData!DT25</f>
        <v>200.4</v>
      </c>
      <c r="AC25">
        <f t="shared" si="7"/>
        <v>230.5</v>
      </c>
      <c r="AD25">
        <f>IntData!W25</f>
        <v>94</v>
      </c>
      <c r="AE25">
        <f>IntData!V25</f>
        <v>40</v>
      </c>
      <c r="AF25">
        <f>MinorData!EA25</f>
        <v>36.6</v>
      </c>
      <c r="AG25">
        <f t="shared" si="15"/>
        <v>17.400000000000006</v>
      </c>
      <c r="AH25">
        <f>IntData!T25</f>
        <v>22</v>
      </c>
      <c r="AI25">
        <f>IntData!U25</f>
        <v>25</v>
      </c>
    </row>
    <row r="26" spans="1:35" x14ac:dyDescent="0.35">
      <c r="A26" s="7">
        <v>1895</v>
      </c>
      <c r="B26" s="8">
        <v>808</v>
      </c>
      <c r="C26" s="6">
        <v>802</v>
      </c>
      <c r="E26">
        <f>MajorData!U26</f>
        <v>165</v>
      </c>
      <c r="F26">
        <f>MajorData!V26</f>
        <v>252</v>
      </c>
      <c r="G26">
        <f t="shared" si="2"/>
        <v>643</v>
      </c>
      <c r="H26">
        <f t="shared" si="3"/>
        <v>556</v>
      </c>
      <c r="I26" s="13">
        <f t="shared" ref="I26:I54" si="16">E26/$B26</f>
        <v>0.2042079207920792</v>
      </c>
      <c r="J26" s="13">
        <f t="shared" ref="J26:J54" si="17">F26/$B26</f>
        <v>0.31188118811881188</v>
      </c>
      <c r="K26" s="13">
        <f t="shared" si="8"/>
        <v>0.79579207920792083</v>
      </c>
      <c r="L26" s="13">
        <f t="shared" si="5"/>
        <v>0.68811881188118806</v>
      </c>
      <c r="N26">
        <f>MajorData!I26</f>
        <v>352</v>
      </c>
      <c r="O26">
        <f t="shared" si="9"/>
        <v>291</v>
      </c>
      <c r="P26">
        <f t="shared" si="10"/>
        <v>204</v>
      </c>
      <c r="R26">
        <f>MajorData!AR26</f>
        <v>371</v>
      </c>
      <c r="S26" s="17">
        <f t="shared" si="11"/>
        <v>431</v>
      </c>
      <c r="T26">
        <f>MajorData!AE26</f>
        <v>399</v>
      </c>
      <c r="U26" s="13">
        <f t="shared" si="12"/>
        <v>0.46259351620947631</v>
      </c>
      <c r="V26" s="13">
        <f t="shared" si="13"/>
        <v>0.53740648379052369</v>
      </c>
      <c r="W26" s="13">
        <f t="shared" si="14"/>
        <v>0.49750623441396508</v>
      </c>
      <c r="Y26">
        <f>MinorData!DK26</f>
        <v>70.900000000000006</v>
      </c>
      <c r="Z26">
        <f>IntData!E26</f>
        <v>138</v>
      </c>
      <c r="AA26">
        <f>MinorData!DR26</f>
        <v>24.7</v>
      </c>
      <c r="AB26">
        <f>MinorData!DT26</f>
        <v>189.9</v>
      </c>
      <c r="AC26">
        <f t="shared" si="7"/>
        <v>219.5</v>
      </c>
      <c r="AD26">
        <f>IntData!W26</f>
        <v>117</v>
      </c>
      <c r="AE26">
        <f>IntData!V26</f>
        <v>47</v>
      </c>
      <c r="AF26">
        <f>MinorData!EA26</f>
        <v>50.8</v>
      </c>
      <c r="AG26">
        <f t="shared" si="15"/>
        <v>19.200000000000003</v>
      </c>
      <c r="AH26">
        <f>IntData!T26</f>
        <v>24</v>
      </c>
      <c r="AI26">
        <f>IntData!U26</f>
        <v>25</v>
      </c>
    </row>
    <row r="27" spans="1:35" x14ac:dyDescent="0.35">
      <c r="A27" s="7">
        <v>1896</v>
      </c>
      <c r="B27" s="8">
        <v>987</v>
      </c>
      <c r="C27" s="6">
        <v>682</v>
      </c>
      <c r="E27">
        <f>MajorData!U27</f>
        <v>209</v>
      </c>
      <c r="F27">
        <f>MajorData!V27</f>
        <v>309</v>
      </c>
      <c r="G27">
        <f t="shared" si="2"/>
        <v>778</v>
      </c>
      <c r="H27">
        <f t="shared" si="3"/>
        <v>678</v>
      </c>
      <c r="I27" s="13">
        <f t="shared" si="16"/>
        <v>0.21175278622087132</v>
      </c>
      <c r="J27" s="13">
        <f t="shared" si="17"/>
        <v>0.31306990881458968</v>
      </c>
      <c r="K27" s="13">
        <f t="shared" si="8"/>
        <v>0.78824721377912865</v>
      </c>
      <c r="L27" s="13">
        <f t="shared" si="5"/>
        <v>0.68693009118541037</v>
      </c>
      <c r="N27">
        <f>MajorData!I27</f>
        <v>420</v>
      </c>
      <c r="O27">
        <f t="shared" si="9"/>
        <v>358</v>
      </c>
      <c r="P27">
        <f t="shared" si="10"/>
        <v>258</v>
      </c>
      <c r="R27">
        <f>MajorData!AR27</f>
        <v>306</v>
      </c>
      <c r="S27" s="17">
        <f t="shared" si="11"/>
        <v>376</v>
      </c>
      <c r="T27">
        <f>MajorData!AE27</f>
        <v>346</v>
      </c>
      <c r="U27" s="13">
        <f t="shared" si="12"/>
        <v>0.44868035190615835</v>
      </c>
      <c r="V27" s="13">
        <f t="shared" si="13"/>
        <v>0.5513196480938416</v>
      </c>
      <c r="W27" s="13">
        <f t="shared" si="14"/>
        <v>0.50733137829912023</v>
      </c>
      <c r="Y27">
        <f>MinorData!DK27</f>
        <v>120</v>
      </c>
      <c r="Z27">
        <f>IntData!E27</f>
        <v>137</v>
      </c>
      <c r="AA27">
        <f>MinorData!DR27</f>
        <v>24.1</v>
      </c>
      <c r="AB27">
        <f>MinorData!DT27</f>
        <v>233.4</v>
      </c>
      <c r="AC27">
        <f t="shared" si="7"/>
        <v>263.5</v>
      </c>
      <c r="AD27">
        <f>IntData!W27</f>
        <v>142</v>
      </c>
      <c r="AE27">
        <f>IntData!V27</f>
        <v>63</v>
      </c>
      <c r="AF27">
        <f>MinorData!EA27</f>
        <v>57.6</v>
      </c>
      <c r="AG27">
        <f t="shared" si="15"/>
        <v>21.400000000000006</v>
      </c>
      <c r="AH27">
        <f>IntData!T27</f>
        <v>24</v>
      </c>
      <c r="AI27">
        <f>IntData!U27</f>
        <v>43</v>
      </c>
    </row>
    <row r="28" spans="1:35" x14ac:dyDescent="0.35">
      <c r="A28" s="7">
        <v>1897</v>
      </c>
      <c r="B28" s="6">
        <v>1080</v>
      </c>
      <c r="C28" s="6">
        <v>743</v>
      </c>
      <c r="E28">
        <f>MajorData!U28</f>
        <v>229</v>
      </c>
      <c r="F28">
        <f>MajorData!V28</f>
        <v>335</v>
      </c>
      <c r="G28">
        <f t="shared" si="2"/>
        <v>851</v>
      </c>
      <c r="H28">
        <f t="shared" si="3"/>
        <v>745</v>
      </c>
      <c r="I28" s="13">
        <f t="shared" si="16"/>
        <v>0.21203703703703702</v>
      </c>
      <c r="J28" s="13">
        <f t="shared" si="17"/>
        <v>0.31018518518518517</v>
      </c>
      <c r="K28" s="13">
        <f t="shared" si="8"/>
        <v>0.78796296296296298</v>
      </c>
      <c r="L28" s="13">
        <f t="shared" si="5"/>
        <v>0.68981481481481477</v>
      </c>
      <c r="N28">
        <f>MajorData!I28</f>
        <v>510</v>
      </c>
      <c r="O28">
        <f t="shared" si="9"/>
        <v>341</v>
      </c>
      <c r="P28">
        <f t="shared" si="10"/>
        <v>235</v>
      </c>
      <c r="R28">
        <f>MajorData!AR28</f>
        <v>315</v>
      </c>
      <c r="S28" s="17">
        <f t="shared" si="11"/>
        <v>428</v>
      </c>
      <c r="T28">
        <f>MajorData!AE28</f>
        <v>399</v>
      </c>
      <c r="U28" s="13">
        <f t="shared" si="12"/>
        <v>0.42395693135935397</v>
      </c>
      <c r="V28" s="13">
        <f t="shared" si="13"/>
        <v>0.57604306864064603</v>
      </c>
      <c r="W28" s="13">
        <f t="shared" si="14"/>
        <v>0.53701211305518171</v>
      </c>
      <c r="Y28">
        <f>MinorData!DK28</f>
        <v>185.1</v>
      </c>
      <c r="Z28">
        <f>IntData!E28</f>
        <v>149</v>
      </c>
      <c r="AA28">
        <f>MinorData!DR28</f>
        <v>22.8</v>
      </c>
      <c r="AB28">
        <f>MinorData!DT28</f>
        <v>212.9</v>
      </c>
      <c r="AC28">
        <f t="shared" si="7"/>
        <v>281.19999999999993</v>
      </c>
      <c r="AD28">
        <f>IntData!W28</f>
        <v>155</v>
      </c>
      <c r="AE28">
        <f>IntData!V28</f>
        <v>79</v>
      </c>
      <c r="AF28">
        <f>MinorData!EA28</f>
        <v>55</v>
      </c>
      <c r="AG28">
        <f t="shared" si="15"/>
        <v>21</v>
      </c>
      <c r="AH28">
        <f>IntData!T28</f>
        <v>23</v>
      </c>
      <c r="AI28">
        <f>IntData!U28</f>
        <v>52</v>
      </c>
    </row>
    <row r="29" spans="1:35" x14ac:dyDescent="0.35">
      <c r="A29" s="7">
        <v>1898</v>
      </c>
      <c r="B29" s="6">
        <v>1234</v>
      </c>
      <c r="C29" s="6">
        <v>635</v>
      </c>
      <c r="E29">
        <f>MajorData!U29</f>
        <v>255</v>
      </c>
      <c r="F29">
        <f>MajorData!V29</f>
        <v>365</v>
      </c>
      <c r="G29">
        <f t="shared" si="2"/>
        <v>979</v>
      </c>
      <c r="H29">
        <f t="shared" si="3"/>
        <v>869</v>
      </c>
      <c r="I29" s="13">
        <f t="shared" si="16"/>
        <v>0.20664505672609401</v>
      </c>
      <c r="J29" s="13">
        <f t="shared" si="17"/>
        <v>0.29578606158833065</v>
      </c>
      <c r="K29" s="13">
        <f t="shared" si="8"/>
        <v>0.79335494327390599</v>
      </c>
      <c r="L29" s="13">
        <f t="shared" si="5"/>
        <v>0.70421393841166935</v>
      </c>
      <c r="N29">
        <f>MajorData!I29</f>
        <v>605</v>
      </c>
      <c r="O29">
        <f t="shared" si="9"/>
        <v>374</v>
      </c>
      <c r="P29">
        <f t="shared" si="10"/>
        <v>264</v>
      </c>
      <c r="R29">
        <f>MajorData!AR29</f>
        <v>276</v>
      </c>
      <c r="S29" s="17">
        <f t="shared" si="11"/>
        <v>359</v>
      </c>
      <c r="T29">
        <f>MajorData!AE29</f>
        <v>338</v>
      </c>
      <c r="U29" s="13">
        <f t="shared" si="12"/>
        <v>0.43464566929133858</v>
      </c>
      <c r="V29" s="13">
        <f t="shared" si="13"/>
        <v>0.56535433070866137</v>
      </c>
      <c r="W29" s="13">
        <f t="shared" si="14"/>
        <v>0.5322834645669291</v>
      </c>
      <c r="Y29">
        <f>MinorData!DK29</f>
        <v>235.5</v>
      </c>
      <c r="Z29">
        <f>IntData!E29</f>
        <v>175</v>
      </c>
      <c r="AA29">
        <f>MinorData!DR29</f>
        <v>23.8</v>
      </c>
      <c r="AB29">
        <f>MinorData!DT29</f>
        <v>233.3</v>
      </c>
      <c r="AC29">
        <f t="shared" si="7"/>
        <v>311.39999999999998</v>
      </c>
      <c r="AD29">
        <f>IntData!W29</f>
        <v>174</v>
      </c>
      <c r="AE29">
        <f>IntData!V29</f>
        <v>104</v>
      </c>
      <c r="AF29">
        <f>MinorData!EA29</f>
        <v>48.4</v>
      </c>
      <c r="AG29">
        <f t="shared" si="15"/>
        <v>21.599999999999994</v>
      </c>
      <c r="AH29">
        <f>IntData!T29</f>
        <v>24</v>
      </c>
      <c r="AI29">
        <f>IntData!U29</f>
        <v>57</v>
      </c>
    </row>
    <row r="30" spans="1:35" x14ac:dyDescent="0.35">
      <c r="A30" s="7">
        <v>1899</v>
      </c>
      <c r="B30" s="6">
        <v>1253</v>
      </c>
      <c r="C30" s="6">
        <v>799</v>
      </c>
      <c r="E30">
        <f>MajorData!U30</f>
        <v>318</v>
      </c>
      <c r="F30">
        <f>MajorData!V30</f>
        <v>451</v>
      </c>
      <c r="G30">
        <f t="shared" si="2"/>
        <v>935</v>
      </c>
      <c r="H30">
        <f t="shared" si="3"/>
        <v>802</v>
      </c>
      <c r="I30" s="13">
        <f t="shared" si="16"/>
        <v>0.25379090183559455</v>
      </c>
      <c r="J30" s="13">
        <f t="shared" si="17"/>
        <v>0.35993615323224259</v>
      </c>
      <c r="K30" s="13">
        <f t="shared" si="8"/>
        <v>0.74620909816440539</v>
      </c>
      <c r="L30" s="13">
        <f t="shared" si="5"/>
        <v>0.64006384676775741</v>
      </c>
      <c r="N30">
        <f>MajorData!I30</f>
        <v>576</v>
      </c>
      <c r="O30">
        <f t="shared" si="9"/>
        <v>359</v>
      </c>
      <c r="P30">
        <f t="shared" si="10"/>
        <v>226</v>
      </c>
      <c r="R30">
        <f>MajorData!AR30</f>
        <v>344</v>
      </c>
      <c r="S30" s="17">
        <f t="shared" si="11"/>
        <v>455</v>
      </c>
      <c r="T30">
        <f>MajorData!AE30</f>
        <v>431</v>
      </c>
      <c r="U30" s="13">
        <f t="shared" si="12"/>
        <v>0.4305381727158949</v>
      </c>
      <c r="V30" s="13">
        <f t="shared" si="13"/>
        <v>0.5694618272841051</v>
      </c>
      <c r="W30" s="13">
        <f t="shared" si="14"/>
        <v>0.5394242803504381</v>
      </c>
      <c r="Y30">
        <f>MinorData!DK30</f>
        <v>188.8</v>
      </c>
      <c r="Z30">
        <f>IntData!E30</f>
        <v>182</v>
      </c>
      <c r="AA30">
        <f>MinorData!DR30</f>
        <v>30</v>
      </c>
      <c r="AB30">
        <f>MinorData!DT30</f>
        <v>191.8</v>
      </c>
      <c r="AC30">
        <f t="shared" si="7"/>
        <v>342.4</v>
      </c>
      <c r="AD30">
        <f>IntData!W30</f>
        <v>217</v>
      </c>
      <c r="AE30">
        <f>IntData!V30</f>
        <v>130</v>
      </c>
      <c r="AF30">
        <f>MinorData!EA30</f>
        <v>60.1</v>
      </c>
      <c r="AG30">
        <f t="shared" si="15"/>
        <v>26.900000000000006</v>
      </c>
      <c r="AH30">
        <f>IntData!T30</f>
        <v>30</v>
      </c>
      <c r="AI30">
        <f>IntData!U30</f>
        <v>72</v>
      </c>
    </row>
    <row r="31" spans="1:35" x14ac:dyDescent="0.35">
      <c r="A31" s="7">
        <v>1900</v>
      </c>
      <c r="B31" s="8">
        <v>1453</v>
      </c>
      <c r="C31" s="6">
        <v>829</v>
      </c>
      <c r="E31">
        <f>MajorData!U31</f>
        <v>382</v>
      </c>
      <c r="F31">
        <f>MajorData!V31</f>
        <v>526</v>
      </c>
      <c r="G31">
        <f t="shared" si="2"/>
        <v>1071</v>
      </c>
      <c r="H31">
        <f t="shared" si="3"/>
        <v>927</v>
      </c>
      <c r="I31" s="13">
        <f t="shared" si="16"/>
        <v>0.26290433585684791</v>
      </c>
      <c r="J31" s="13">
        <f t="shared" si="17"/>
        <v>0.36200963523743979</v>
      </c>
      <c r="K31" s="13">
        <f t="shared" si="8"/>
        <v>0.73709566414315209</v>
      </c>
      <c r="L31" s="13">
        <f t="shared" si="5"/>
        <v>0.63799036476256021</v>
      </c>
      <c r="N31">
        <f>MajorData!I31</f>
        <v>569</v>
      </c>
      <c r="O31">
        <f t="shared" si="9"/>
        <v>502</v>
      </c>
      <c r="P31">
        <f t="shared" si="10"/>
        <v>358</v>
      </c>
      <c r="R31">
        <f>MajorData!AR31</f>
        <v>382</v>
      </c>
      <c r="S31" s="17">
        <f t="shared" si="11"/>
        <v>447</v>
      </c>
      <c r="T31">
        <f>MajorData!AE31</f>
        <v>421</v>
      </c>
      <c r="U31" s="13">
        <f t="shared" si="12"/>
        <v>0.46079613992762364</v>
      </c>
      <c r="V31" s="13">
        <f t="shared" si="13"/>
        <v>0.53920386007237631</v>
      </c>
      <c r="W31" s="13">
        <f t="shared" si="14"/>
        <v>0.50784077201447531</v>
      </c>
      <c r="Y31">
        <f>MinorData!DK31</f>
        <v>172.3</v>
      </c>
      <c r="Z31">
        <f>IntData!E31</f>
        <v>188</v>
      </c>
      <c r="AA31">
        <f>MinorData!DR31</f>
        <v>26.9</v>
      </c>
      <c r="AB31">
        <f>MinorData!DT31</f>
        <v>315.89999999999998</v>
      </c>
      <c r="AC31">
        <f t="shared" si="7"/>
        <v>367.90000000000009</v>
      </c>
      <c r="AD31">
        <f>IntData!W31</f>
        <v>250</v>
      </c>
      <c r="AE31">
        <f>IntData!V31</f>
        <v>153</v>
      </c>
      <c r="AF31">
        <f>MinorData!EA31</f>
        <v>67.2</v>
      </c>
      <c r="AG31">
        <f t="shared" si="15"/>
        <v>29.800000000000011</v>
      </c>
      <c r="AH31">
        <f>IntData!T31</f>
        <v>37</v>
      </c>
      <c r="AI31">
        <f>IntData!U31</f>
        <v>96</v>
      </c>
    </row>
    <row r="32" spans="1:35" x14ac:dyDescent="0.35">
      <c r="A32" s="7">
        <v>1901</v>
      </c>
      <c r="B32" s="8">
        <v>1438</v>
      </c>
      <c r="C32" s="6">
        <v>880</v>
      </c>
      <c r="E32">
        <f>MajorData!U32</f>
        <v>334</v>
      </c>
      <c r="F32">
        <f>MajorData!V32</f>
        <v>479</v>
      </c>
      <c r="G32">
        <f t="shared" si="2"/>
        <v>1104</v>
      </c>
      <c r="H32">
        <f t="shared" si="3"/>
        <v>959</v>
      </c>
      <c r="I32" s="13">
        <f t="shared" si="16"/>
        <v>0.23226703755215578</v>
      </c>
      <c r="J32" s="13">
        <f t="shared" si="17"/>
        <v>0.33310152990264258</v>
      </c>
      <c r="K32" s="13">
        <f t="shared" si="8"/>
        <v>0.76773296244784428</v>
      </c>
      <c r="L32" s="13">
        <f t="shared" si="5"/>
        <v>0.66689847009735748</v>
      </c>
      <c r="N32">
        <f>MajorData!I32</f>
        <v>621</v>
      </c>
      <c r="O32">
        <f t="shared" si="9"/>
        <v>483</v>
      </c>
      <c r="P32">
        <f t="shared" si="10"/>
        <v>338</v>
      </c>
      <c r="R32">
        <f>MajorData!AR32</f>
        <v>417</v>
      </c>
      <c r="S32" s="17">
        <f t="shared" si="11"/>
        <v>463</v>
      </c>
      <c r="T32">
        <f>MajorData!AE32</f>
        <v>432</v>
      </c>
      <c r="U32" s="13">
        <f t="shared" si="12"/>
        <v>0.47386363636363638</v>
      </c>
      <c r="V32" s="13">
        <f t="shared" si="13"/>
        <v>0.52613636363636362</v>
      </c>
      <c r="W32" s="13">
        <f t="shared" si="14"/>
        <v>0.49090909090909091</v>
      </c>
      <c r="Y32">
        <f>MinorData!DK32</f>
        <v>195.2</v>
      </c>
      <c r="Z32">
        <f>IntData!E32</f>
        <v>210</v>
      </c>
      <c r="AA32">
        <f>MinorData!DR32</f>
        <v>26.9</v>
      </c>
      <c r="AB32">
        <f>MinorData!DT32</f>
        <v>301.89999999999998</v>
      </c>
      <c r="AC32">
        <f t="shared" si="7"/>
        <v>370</v>
      </c>
      <c r="AD32">
        <f>IntData!W32</f>
        <v>235</v>
      </c>
      <c r="AE32">
        <f>IntData!V32</f>
        <v>136</v>
      </c>
      <c r="AF32">
        <f>MinorData!EA32</f>
        <v>66.7</v>
      </c>
      <c r="AG32">
        <f t="shared" si="15"/>
        <v>32.300000000000011</v>
      </c>
      <c r="AH32">
        <f>IntData!T32</f>
        <v>38</v>
      </c>
      <c r="AI32">
        <f>IntData!U32</f>
        <v>62</v>
      </c>
    </row>
    <row r="33" spans="1:35" x14ac:dyDescent="0.35">
      <c r="A33" s="7">
        <v>1902</v>
      </c>
      <c r="B33" s="6">
        <v>1333</v>
      </c>
      <c r="C33" s="6">
        <v>969</v>
      </c>
      <c r="E33">
        <f>MajorData!U33</f>
        <v>335</v>
      </c>
      <c r="F33">
        <f>MajorData!V33</f>
        <v>495</v>
      </c>
      <c r="G33">
        <f t="shared" si="2"/>
        <v>998</v>
      </c>
      <c r="H33">
        <f t="shared" si="3"/>
        <v>838</v>
      </c>
      <c r="I33" s="13">
        <f t="shared" si="16"/>
        <v>0.25131282820705175</v>
      </c>
      <c r="J33" s="13">
        <f t="shared" si="17"/>
        <v>0.37134283570892723</v>
      </c>
      <c r="K33" s="13">
        <f t="shared" si="8"/>
        <v>0.74868717179294819</v>
      </c>
      <c r="L33" s="13">
        <f t="shared" si="5"/>
        <v>0.62865716429107277</v>
      </c>
      <c r="N33">
        <f>MajorData!I33</f>
        <v>518</v>
      </c>
      <c r="O33">
        <f t="shared" si="9"/>
        <v>480</v>
      </c>
      <c r="P33">
        <f t="shared" si="10"/>
        <v>320</v>
      </c>
      <c r="R33">
        <f>MajorData!AR33</f>
        <v>480</v>
      </c>
      <c r="S33" s="17">
        <f t="shared" si="11"/>
        <v>489</v>
      </c>
      <c r="T33">
        <f>MajorData!AE33</f>
        <v>454</v>
      </c>
      <c r="U33" s="13">
        <f t="shared" si="12"/>
        <v>0.49535603715170279</v>
      </c>
      <c r="V33" s="13">
        <f t="shared" si="13"/>
        <v>0.50464396284829727</v>
      </c>
      <c r="W33" s="13">
        <f t="shared" si="14"/>
        <v>0.46852425180598556</v>
      </c>
      <c r="Y33">
        <f>MinorData!DK33</f>
        <v>119</v>
      </c>
      <c r="Z33">
        <f>IntData!E33</f>
        <v>188</v>
      </c>
      <c r="AA33">
        <f>MinorData!DR33</f>
        <v>34.6</v>
      </c>
      <c r="AB33">
        <f>MinorData!DT33</f>
        <v>291.5</v>
      </c>
      <c r="AC33">
        <f t="shared" si="7"/>
        <v>364.9</v>
      </c>
      <c r="AD33">
        <f>IntData!W33</f>
        <v>230</v>
      </c>
      <c r="AE33">
        <f>IntData!V33</f>
        <v>134</v>
      </c>
      <c r="AF33">
        <f>MinorData!EA33</f>
        <v>62.3</v>
      </c>
      <c r="AG33">
        <f t="shared" si="15"/>
        <v>33.699999999999989</v>
      </c>
      <c r="AH33">
        <f>IntData!T33</f>
        <v>34</v>
      </c>
      <c r="AI33">
        <f>IntData!U33</f>
        <v>72</v>
      </c>
    </row>
    <row r="34" spans="1:35" x14ac:dyDescent="0.35">
      <c r="A34" s="7">
        <v>1903</v>
      </c>
      <c r="B34" s="6">
        <v>1458</v>
      </c>
      <c r="C34" s="6">
        <v>995</v>
      </c>
      <c r="E34">
        <f>MajorData!U34</f>
        <v>358</v>
      </c>
      <c r="F34">
        <f>MajorData!V34</f>
        <v>528</v>
      </c>
      <c r="G34">
        <f t="shared" si="2"/>
        <v>1100</v>
      </c>
      <c r="H34">
        <f t="shared" si="3"/>
        <v>930</v>
      </c>
      <c r="I34" s="13">
        <f t="shared" si="16"/>
        <v>0.24554183813443073</v>
      </c>
      <c r="J34" s="13">
        <f t="shared" si="17"/>
        <v>0.36213991769547327</v>
      </c>
      <c r="K34" s="13">
        <f t="shared" si="8"/>
        <v>0.75445816186556924</v>
      </c>
      <c r="L34" s="13">
        <f t="shared" si="5"/>
        <v>0.63786008230452673</v>
      </c>
      <c r="N34">
        <f>MajorData!I34</f>
        <v>525</v>
      </c>
      <c r="O34">
        <f t="shared" si="9"/>
        <v>575</v>
      </c>
      <c r="P34">
        <f t="shared" si="10"/>
        <v>405</v>
      </c>
      <c r="R34">
        <f>MajorData!AR34</f>
        <v>498</v>
      </c>
      <c r="S34" s="17">
        <f t="shared" si="11"/>
        <v>497</v>
      </c>
      <c r="T34">
        <f>MajorData!AE34</f>
        <v>461</v>
      </c>
      <c r="U34" s="13">
        <f t="shared" si="12"/>
        <v>0.50050251256281408</v>
      </c>
      <c r="V34" s="13">
        <f t="shared" si="13"/>
        <v>0.49949748743718592</v>
      </c>
      <c r="W34" s="13">
        <f t="shared" si="14"/>
        <v>0.46331658291457284</v>
      </c>
      <c r="Y34">
        <f>MinorData!DK34</f>
        <v>116.4</v>
      </c>
      <c r="Z34">
        <f>IntData!E34</f>
        <v>183</v>
      </c>
      <c r="AA34">
        <f>MinorData!DR34</f>
        <v>29.8</v>
      </c>
      <c r="AB34">
        <f>MinorData!DT34</f>
        <v>379.6</v>
      </c>
      <c r="AC34">
        <f t="shared" si="7"/>
        <v>391.20000000000005</v>
      </c>
      <c r="AD34">
        <f>IntData!W34</f>
        <v>245</v>
      </c>
      <c r="AE34">
        <f>IntData!V34</f>
        <v>142</v>
      </c>
      <c r="AF34">
        <f>MinorData!EA34</f>
        <v>65.8</v>
      </c>
      <c r="AG34">
        <f t="shared" si="15"/>
        <v>37.199999999999989</v>
      </c>
      <c r="AH34">
        <f>IntData!T34</f>
        <v>42</v>
      </c>
      <c r="AI34">
        <f>IntData!U34</f>
        <v>71</v>
      </c>
    </row>
    <row r="35" spans="1:35" x14ac:dyDescent="0.35">
      <c r="A35" s="7">
        <v>1904</v>
      </c>
      <c r="B35" s="6">
        <v>1426</v>
      </c>
      <c r="C35" s="6">
        <v>1036</v>
      </c>
      <c r="E35">
        <f>MajorData!U35</f>
        <v>432</v>
      </c>
      <c r="F35">
        <f>MajorData!V35</f>
        <v>613</v>
      </c>
      <c r="G35">
        <f t="shared" si="2"/>
        <v>994</v>
      </c>
      <c r="H35">
        <f t="shared" si="3"/>
        <v>813</v>
      </c>
      <c r="I35" s="13">
        <f t="shared" si="16"/>
        <v>0.30294530154277699</v>
      </c>
      <c r="J35" s="13">
        <f t="shared" si="17"/>
        <v>0.42987377279102384</v>
      </c>
      <c r="K35" s="13">
        <f t="shared" si="8"/>
        <v>0.69705469845722301</v>
      </c>
      <c r="L35" s="13">
        <f t="shared" si="5"/>
        <v>0.57012622720897621</v>
      </c>
      <c r="N35">
        <f>MajorData!I35</f>
        <v>417</v>
      </c>
      <c r="O35">
        <f t="shared" si="9"/>
        <v>577</v>
      </c>
      <c r="P35">
        <f t="shared" si="10"/>
        <v>396</v>
      </c>
      <c r="R35">
        <f>MajorData!AR35</f>
        <v>462</v>
      </c>
      <c r="S35" s="17">
        <f t="shared" si="11"/>
        <v>574</v>
      </c>
      <c r="T35">
        <f>MajorData!AE35</f>
        <v>545</v>
      </c>
      <c r="U35" s="13">
        <f t="shared" si="12"/>
        <v>0.44594594594594594</v>
      </c>
      <c r="V35" s="13">
        <f t="shared" si="13"/>
        <v>0.55405405405405406</v>
      </c>
      <c r="W35" s="13">
        <f t="shared" si="14"/>
        <v>0.52606177606177607</v>
      </c>
      <c r="Y35">
        <f>MinorData!DK35</f>
        <v>41.3</v>
      </c>
      <c r="Z35">
        <f>IntData!E35</f>
        <v>169</v>
      </c>
      <c r="AA35">
        <f>MinorData!DR35</f>
        <v>31.5</v>
      </c>
      <c r="AB35">
        <f>MinorData!DT35</f>
        <v>370.4</v>
      </c>
      <c r="AC35">
        <f t="shared" si="7"/>
        <v>381.79999999999995</v>
      </c>
      <c r="AD35">
        <f>IntData!W35</f>
        <v>275</v>
      </c>
      <c r="AE35">
        <f>IntData!V35</f>
        <v>162</v>
      </c>
      <c r="AF35">
        <f>MinorData!EA35</f>
        <v>74.3</v>
      </c>
      <c r="AG35">
        <f t="shared" si="15"/>
        <v>38.699999999999989</v>
      </c>
      <c r="AH35">
        <f>IntData!T35</f>
        <v>44</v>
      </c>
      <c r="AI35">
        <f>IntData!U35</f>
        <v>113</v>
      </c>
    </row>
    <row r="36" spans="1:35" x14ac:dyDescent="0.35">
      <c r="A36" s="7">
        <v>1905</v>
      </c>
      <c r="B36" s="6">
        <v>1599</v>
      </c>
      <c r="C36" s="6">
        <v>1179</v>
      </c>
      <c r="E36">
        <f>MajorData!U36</f>
        <v>471</v>
      </c>
      <c r="F36">
        <f>MajorData!V36</f>
        <v>681</v>
      </c>
      <c r="G36">
        <f t="shared" si="2"/>
        <v>1128</v>
      </c>
      <c r="H36">
        <f t="shared" si="3"/>
        <v>918</v>
      </c>
      <c r="I36" s="13">
        <f t="shared" si="16"/>
        <v>0.2945590994371482</v>
      </c>
      <c r="J36" s="13">
        <f t="shared" si="17"/>
        <v>0.42589118198874298</v>
      </c>
      <c r="K36" s="13">
        <f t="shared" si="8"/>
        <v>0.7054409005628518</v>
      </c>
      <c r="L36" s="13">
        <f t="shared" si="5"/>
        <v>0.57410881801125702</v>
      </c>
      <c r="N36">
        <f>MajorData!I36</f>
        <v>498</v>
      </c>
      <c r="O36">
        <f t="shared" si="9"/>
        <v>630</v>
      </c>
      <c r="P36">
        <f t="shared" si="10"/>
        <v>420</v>
      </c>
      <c r="R36">
        <f>MajorData!AR36</f>
        <v>539</v>
      </c>
      <c r="S36" s="17">
        <f t="shared" si="11"/>
        <v>640</v>
      </c>
      <c r="T36">
        <f>MajorData!AE36</f>
        <v>605</v>
      </c>
      <c r="U36" s="13">
        <f t="shared" si="12"/>
        <v>0.45716709075487699</v>
      </c>
      <c r="V36" s="13">
        <f t="shared" si="13"/>
        <v>0.54283290924512295</v>
      </c>
      <c r="W36" s="13">
        <f t="shared" si="14"/>
        <v>0.5131467345207803</v>
      </c>
      <c r="Y36">
        <f>MinorData!DK36</f>
        <v>94.9</v>
      </c>
      <c r="Z36">
        <f>IntData!E36</f>
        <v>191</v>
      </c>
      <c r="AA36">
        <f>MinorData!DR36</f>
        <v>26.8</v>
      </c>
      <c r="AB36">
        <f>MinorData!DT36</f>
        <v>393.3</v>
      </c>
      <c r="AC36">
        <f t="shared" si="7"/>
        <v>422</v>
      </c>
      <c r="AD36">
        <f>IntData!W36</f>
        <v>302</v>
      </c>
      <c r="AE36">
        <f>IntData!V36</f>
        <v>185</v>
      </c>
      <c r="AF36">
        <f>MinorData!EA36</f>
        <v>73.599999999999994</v>
      </c>
      <c r="AG36">
        <f t="shared" si="15"/>
        <v>43.399999999999977</v>
      </c>
      <c r="AH36">
        <f>IntData!T36</f>
        <v>45</v>
      </c>
      <c r="AI36">
        <f>IntData!U36</f>
        <v>123</v>
      </c>
    </row>
    <row r="37" spans="1:35" x14ac:dyDescent="0.35">
      <c r="A37" s="7">
        <v>1906</v>
      </c>
      <c r="B37" s="6">
        <v>1773</v>
      </c>
      <c r="C37" s="6">
        <v>1321</v>
      </c>
      <c r="E37">
        <f>MajorData!U37</f>
        <v>534</v>
      </c>
      <c r="F37">
        <f>MajorData!V37</f>
        <v>760</v>
      </c>
      <c r="G37">
        <f t="shared" si="2"/>
        <v>1239</v>
      </c>
      <c r="H37">
        <f t="shared" si="3"/>
        <v>1013</v>
      </c>
      <c r="I37" s="13">
        <f t="shared" si="16"/>
        <v>0.30118443316412857</v>
      </c>
      <c r="J37" s="13">
        <f t="shared" si="17"/>
        <v>0.42865200225606315</v>
      </c>
      <c r="K37" s="13">
        <f t="shared" si="8"/>
        <v>0.69881556683587143</v>
      </c>
      <c r="L37" s="13">
        <f t="shared" si="5"/>
        <v>0.57134799774393685</v>
      </c>
      <c r="N37">
        <f>MajorData!I37</f>
        <v>552</v>
      </c>
      <c r="O37">
        <f t="shared" si="9"/>
        <v>687</v>
      </c>
      <c r="P37">
        <f t="shared" si="10"/>
        <v>461</v>
      </c>
      <c r="R37">
        <f>MajorData!AR37</f>
        <v>661</v>
      </c>
      <c r="S37" s="17">
        <f t="shared" si="11"/>
        <v>660</v>
      </c>
      <c r="T37">
        <f>MajorData!AE37</f>
        <v>618</v>
      </c>
      <c r="U37" s="13">
        <f t="shared" si="12"/>
        <v>0.50037850113550342</v>
      </c>
      <c r="V37" s="13">
        <f t="shared" si="13"/>
        <v>0.49962149886449658</v>
      </c>
      <c r="W37" s="13">
        <f t="shared" si="14"/>
        <v>0.46782740348221047</v>
      </c>
      <c r="Y37">
        <f>MinorData!DK37</f>
        <v>119.8</v>
      </c>
      <c r="Z37">
        <f>IntData!E37</f>
        <v>207</v>
      </c>
      <c r="AA37">
        <f>MinorData!DR37</f>
        <v>32.1</v>
      </c>
      <c r="AB37">
        <f>MinorData!DT37</f>
        <v>413.1</v>
      </c>
      <c r="AC37">
        <f t="shared" si="7"/>
        <v>467</v>
      </c>
      <c r="AD37">
        <f>IntData!W37</f>
        <v>350</v>
      </c>
      <c r="AE37">
        <f>IntData!V37</f>
        <v>223</v>
      </c>
      <c r="AF37">
        <f>MinorData!EA37</f>
        <v>78</v>
      </c>
      <c r="AG37">
        <f t="shared" si="15"/>
        <v>49</v>
      </c>
      <c r="AH37">
        <f>IntData!T37</f>
        <v>50</v>
      </c>
      <c r="AI37">
        <f>IntData!U37</f>
        <v>134</v>
      </c>
    </row>
    <row r="38" spans="1:35" x14ac:dyDescent="0.35">
      <c r="A38" s="7">
        <v>1907</v>
      </c>
      <c r="B38" s="6">
        <v>1895</v>
      </c>
      <c r="C38" s="6">
        <v>1423</v>
      </c>
      <c r="E38">
        <f>MajorData!U38</f>
        <v>599</v>
      </c>
      <c r="F38">
        <f>MajorData!V38</f>
        <v>814</v>
      </c>
      <c r="G38">
        <f t="shared" si="2"/>
        <v>1296</v>
      </c>
      <c r="H38">
        <f t="shared" si="3"/>
        <v>1081</v>
      </c>
      <c r="I38" s="13">
        <f t="shared" si="16"/>
        <v>0.31609498680738785</v>
      </c>
      <c r="J38" s="13">
        <f t="shared" si="17"/>
        <v>0.42955145118733506</v>
      </c>
      <c r="K38" s="13">
        <f t="shared" si="8"/>
        <v>0.6839050131926121</v>
      </c>
      <c r="L38" s="13">
        <f t="shared" si="5"/>
        <v>0.57044854881266494</v>
      </c>
      <c r="N38">
        <f>MajorData!I38</f>
        <v>565</v>
      </c>
      <c r="O38">
        <f t="shared" si="9"/>
        <v>731</v>
      </c>
      <c r="P38">
        <f t="shared" si="10"/>
        <v>516</v>
      </c>
      <c r="R38">
        <f>MajorData!AR38</f>
        <v>715</v>
      </c>
      <c r="S38" s="17">
        <f t="shared" si="11"/>
        <v>708</v>
      </c>
      <c r="T38">
        <f>MajorData!AE38</f>
        <v>662</v>
      </c>
      <c r="U38" s="13">
        <f t="shared" si="12"/>
        <v>0.50245959241040061</v>
      </c>
      <c r="V38" s="13">
        <f t="shared" si="13"/>
        <v>0.49754040758959944</v>
      </c>
      <c r="W38" s="13">
        <f t="shared" si="14"/>
        <v>0.46521433591004918</v>
      </c>
      <c r="Y38">
        <f>MinorData!DK38</f>
        <v>138.80000000000001</v>
      </c>
      <c r="Z38">
        <f>IntData!E38</f>
        <v>195</v>
      </c>
      <c r="AA38">
        <f>MinorData!DR38</f>
        <v>32.799999999999997</v>
      </c>
      <c r="AB38">
        <f>MinorData!DT38</f>
        <v>469.8</v>
      </c>
      <c r="AC38">
        <f t="shared" si="7"/>
        <v>459.59999999999991</v>
      </c>
      <c r="AD38">
        <f>IntData!W38</f>
        <v>391</v>
      </c>
      <c r="AE38">
        <f>IntData!V38</f>
        <v>253</v>
      </c>
      <c r="AF38">
        <f>MinorData!EA38</f>
        <v>85</v>
      </c>
      <c r="AG38">
        <f t="shared" si="15"/>
        <v>53</v>
      </c>
      <c r="AH38">
        <f>IntData!T38</f>
        <v>60</v>
      </c>
      <c r="AI38">
        <f>IntData!U38</f>
        <v>147</v>
      </c>
    </row>
    <row r="39" spans="1:35" x14ac:dyDescent="0.35">
      <c r="A39" s="7">
        <v>1908</v>
      </c>
      <c r="B39" s="8">
        <v>1729</v>
      </c>
      <c r="C39" s="6">
        <v>1116</v>
      </c>
      <c r="E39">
        <f>MajorData!U39</f>
        <v>535</v>
      </c>
      <c r="F39">
        <f>MajorData!V39</f>
        <v>727</v>
      </c>
      <c r="G39">
        <f t="shared" si="2"/>
        <v>1194</v>
      </c>
      <c r="H39">
        <f t="shared" si="3"/>
        <v>1002</v>
      </c>
      <c r="I39" s="13">
        <f t="shared" si="16"/>
        <v>0.30942741469057261</v>
      </c>
      <c r="J39" s="13">
        <f t="shared" si="17"/>
        <v>0.42047426257952575</v>
      </c>
      <c r="K39" s="13">
        <f t="shared" si="8"/>
        <v>0.69057258530942744</v>
      </c>
      <c r="L39" s="13">
        <f t="shared" si="5"/>
        <v>0.57952573742047431</v>
      </c>
      <c r="N39">
        <f>MajorData!I39</f>
        <v>525</v>
      </c>
      <c r="O39">
        <f t="shared" si="9"/>
        <v>669</v>
      </c>
      <c r="P39">
        <f t="shared" si="10"/>
        <v>477</v>
      </c>
      <c r="R39">
        <f>MajorData!AR39</f>
        <v>508</v>
      </c>
      <c r="S39" s="17">
        <f t="shared" si="11"/>
        <v>608</v>
      </c>
      <c r="T39">
        <f>MajorData!AE39</f>
        <v>574</v>
      </c>
      <c r="U39" s="13">
        <f t="shared" si="12"/>
        <v>0.45519713261648748</v>
      </c>
      <c r="V39" s="13">
        <f t="shared" si="13"/>
        <v>0.54480286738351258</v>
      </c>
      <c r="W39" s="13">
        <f t="shared" si="14"/>
        <v>0.51433691756272404</v>
      </c>
      <c r="Y39">
        <f>MinorData!DK39</f>
        <v>125.3</v>
      </c>
      <c r="Z39">
        <f>IntData!E39</f>
        <v>182</v>
      </c>
      <c r="AA39">
        <f>MinorData!DR39</f>
        <v>32.6</v>
      </c>
      <c r="AB39">
        <f>MinorData!DT39</f>
        <v>438.8</v>
      </c>
      <c r="AC39">
        <f t="shared" si="7"/>
        <v>415.29999999999995</v>
      </c>
      <c r="AD39">
        <f>IntData!W39</f>
        <v>348</v>
      </c>
      <c r="AE39">
        <f>IntData!V39</f>
        <v>198</v>
      </c>
      <c r="AF39">
        <f>MinorData!EA39</f>
        <v>102.3</v>
      </c>
      <c r="AG39">
        <f t="shared" si="15"/>
        <v>47.699999999999989</v>
      </c>
      <c r="AH39">
        <f>IntData!T39</f>
        <v>57</v>
      </c>
      <c r="AI39">
        <f>IntData!U39</f>
        <v>130</v>
      </c>
    </row>
    <row r="40" spans="1:35" x14ac:dyDescent="0.35">
      <c r="A40" s="7">
        <v>1909</v>
      </c>
      <c r="B40" s="8">
        <v>1701</v>
      </c>
      <c r="C40" s="6">
        <v>1476</v>
      </c>
      <c r="E40">
        <f>MajorData!U40</f>
        <v>558</v>
      </c>
      <c r="F40">
        <f>MajorData!V40</f>
        <v>772</v>
      </c>
      <c r="G40">
        <f t="shared" si="2"/>
        <v>1143</v>
      </c>
      <c r="H40">
        <f t="shared" si="3"/>
        <v>929</v>
      </c>
      <c r="I40" s="13">
        <f t="shared" si="16"/>
        <v>0.32804232804232802</v>
      </c>
      <c r="J40" s="13">
        <f t="shared" si="17"/>
        <v>0.45385067607289831</v>
      </c>
      <c r="K40" s="13">
        <f t="shared" si="8"/>
        <v>0.67195767195767198</v>
      </c>
      <c r="L40" s="13">
        <f t="shared" si="5"/>
        <v>0.54614932392710169</v>
      </c>
      <c r="N40">
        <f>MajorData!I40</f>
        <v>438</v>
      </c>
      <c r="O40">
        <f t="shared" si="9"/>
        <v>705</v>
      </c>
      <c r="P40">
        <f t="shared" si="10"/>
        <v>491</v>
      </c>
      <c r="R40">
        <f>MajorData!AR40</f>
        <v>664</v>
      </c>
      <c r="S40" s="17">
        <f t="shared" si="11"/>
        <v>812</v>
      </c>
      <c r="T40">
        <f>MajorData!AE40</f>
        <v>756</v>
      </c>
      <c r="U40" s="13">
        <f t="shared" si="12"/>
        <v>0.44986449864498645</v>
      </c>
      <c r="V40" s="13">
        <f t="shared" si="13"/>
        <v>0.55013550135501355</v>
      </c>
      <c r="W40" s="13">
        <f t="shared" si="14"/>
        <v>0.51219512195121952</v>
      </c>
      <c r="Y40">
        <f>MinorData!DK40</f>
        <v>80.5</v>
      </c>
      <c r="Z40">
        <f>IntData!E40</f>
        <v>156</v>
      </c>
      <c r="AA40">
        <f>MinorData!DR40</f>
        <v>36.799999999999997</v>
      </c>
      <c r="AB40">
        <f>MinorData!DT40</f>
        <v>461.9</v>
      </c>
      <c r="AC40">
        <f t="shared" si="7"/>
        <v>407.79999999999995</v>
      </c>
      <c r="AD40">
        <f>IntData!W40</f>
        <v>361</v>
      </c>
      <c r="AE40">
        <f>IntData!V40</f>
        <v>203</v>
      </c>
      <c r="AF40">
        <f>MinorData!EA40</f>
        <v>97.8</v>
      </c>
      <c r="AG40">
        <f t="shared" si="15"/>
        <v>60.199999999999989</v>
      </c>
      <c r="AH40">
        <f>IntData!T40</f>
        <v>56</v>
      </c>
      <c r="AI40">
        <f>IntData!U40</f>
        <v>140</v>
      </c>
    </row>
    <row r="41" spans="1:35" x14ac:dyDescent="0.35">
      <c r="A41" s="7">
        <v>1910</v>
      </c>
      <c r="B41" s="6">
        <v>1829</v>
      </c>
      <c r="C41" s="6">
        <v>1563</v>
      </c>
      <c r="E41">
        <f>MajorData!U41</f>
        <v>634</v>
      </c>
      <c r="F41">
        <f>MajorData!V41</f>
        <v>881</v>
      </c>
      <c r="G41">
        <f t="shared" si="2"/>
        <v>1195</v>
      </c>
      <c r="H41">
        <f t="shared" si="3"/>
        <v>948</v>
      </c>
      <c r="I41" s="13">
        <f t="shared" si="16"/>
        <v>0.3466375068343357</v>
      </c>
      <c r="J41" s="13">
        <f t="shared" si="17"/>
        <v>0.48168398031711318</v>
      </c>
      <c r="K41" s="13">
        <f t="shared" si="8"/>
        <v>0.6533624931656643</v>
      </c>
      <c r="L41" s="13">
        <f t="shared" si="5"/>
        <v>0.51831601968288687</v>
      </c>
      <c r="N41">
        <f>MajorData!I41</f>
        <v>384</v>
      </c>
      <c r="O41">
        <f t="shared" si="9"/>
        <v>811</v>
      </c>
      <c r="P41">
        <f t="shared" si="10"/>
        <v>564</v>
      </c>
      <c r="R41">
        <f>MajorData!AR41</f>
        <v>716</v>
      </c>
      <c r="S41" s="17">
        <f t="shared" si="11"/>
        <v>847</v>
      </c>
      <c r="T41">
        <f>MajorData!AE41</f>
        <v>775</v>
      </c>
      <c r="U41" s="13">
        <f t="shared" si="12"/>
        <v>0.4580934101087652</v>
      </c>
      <c r="V41" s="13">
        <f t="shared" si="13"/>
        <v>0.54190658989123486</v>
      </c>
      <c r="W41" s="13">
        <f t="shared" si="14"/>
        <v>0.49584133077415227</v>
      </c>
      <c r="Y41">
        <f>MinorData!DK41</f>
        <v>57.1</v>
      </c>
      <c r="Z41">
        <f>IntData!E41</f>
        <v>135</v>
      </c>
      <c r="AA41">
        <f>MinorData!DR41</f>
        <v>36.1</v>
      </c>
      <c r="AB41">
        <f>MinorData!DT41</f>
        <v>530.79999999999995</v>
      </c>
      <c r="AC41">
        <f t="shared" si="7"/>
        <v>436</v>
      </c>
      <c r="AD41">
        <f>IntData!W41</f>
        <v>422</v>
      </c>
      <c r="AE41">
        <f>IntData!V41</f>
        <v>260</v>
      </c>
      <c r="AF41">
        <f>MinorData!EA41</f>
        <v>88.7</v>
      </c>
      <c r="AG41">
        <f t="shared" si="15"/>
        <v>73.300000000000011</v>
      </c>
      <c r="AH41">
        <f>IntData!T41</f>
        <v>60</v>
      </c>
      <c r="AI41">
        <f>IntData!U41</f>
        <v>152</v>
      </c>
    </row>
    <row r="42" spans="1:35" x14ac:dyDescent="0.35">
      <c r="A42" s="7">
        <v>1911</v>
      </c>
      <c r="B42" s="6">
        <v>2058</v>
      </c>
      <c r="C42" s="6">
        <v>1533</v>
      </c>
      <c r="E42">
        <f>MajorData!U42</f>
        <v>760</v>
      </c>
      <c r="F42">
        <f>MajorData!V42</f>
        <v>1039</v>
      </c>
      <c r="G42">
        <f t="shared" si="2"/>
        <v>1298</v>
      </c>
      <c r="H42">
        <f t="shared" si="3"/>
        <v>1019</v>
      </c>
      <c r="I42" s="13">
        <f t="shared" si="16"/>
        <v>0.369290573372206</v>
      </c>
      <c r="J42" s="13">
        <f t="shared" si="17"/>
        <v>0.50485908649173961</v>
      </c>
      <c r="K42" s="13">
        <f t="shared" si="8"/>
        <v>0.63070942662779395</v>
      </c>
      <c r="L42" s="13">
        <f t="shared" si="5"/>
        <v>0.49514091350826045</v>
      </c>
      <c r="N42">
        <f>MajorData!I42</f>
        <v>466</v>
      </c>
      <c r="O42">
        <f t="shared" si="9"/>
        <v>832</v>
      </c>
      <c r="P42">
        <f t="shared" si="10"/>
        <v>553</v>
      </c>
      <c r="R42">
        <f>MajorData!AR42</f>
        <v>693</v>
      </c>
      <c r="S42" s="17">
        <f t="shared" si="11"/>
        <v>840</v>
      </c>
      <c r="T42">
        <f>MajorData!AE42</f>
        <v>768</v>
      </c>
      <c r="U42" s="13">
        <f t="shared" si="12"/>
        <v>0.45205479452054792</v>
      </c>
      <c r="V42" s="13">
        <f t="shared" si="13"/>
        <v>0.54794520547945202</v>
      </c>
      <c r="W42" s="13">
        <f t="shared" si="14"/>
        <v>0.50097847358121328</v>
      </c>
      <c r="Y42">
        <f>MinorData!DK42</f>
        <v>69.900000000000006</v>
      </c>
      <c r="Z42">
        <f>IntData!E42</f>
        <v>164</v>
      </c>
      <c r="AA42">
        <f>MinorData!DR42</f>
        <v>42.2</v>
      </c>
      <c r="AB42">
        <f>MinorData!DT42</f>
        <v>517.1</v>
      </c>
      <c r="AC42">
        <f t="shared" si="7"/>
        <v>504.79999999999995</v>
      </c>
      <c r="AD42">
        <f>IntData!W42</f>
        <v>504</v>
      </c>
      <c r="AE42">
        <f>IntData!V42</f>
        <v>314</v>
      </c>
      <c r="AF42">
        <f>MinorData!EA42</f>
        <v>99.8</v>
      </c>
      <c r="AG42">
        <f t="shared" si="15"/>
        <v>90.199999999999989</v>
      </c>
      <c r="AH42">
        <f>IntData!T42</f>
        <v>75</v>
      </c>
      <c r="AI42">
        <f>IntData!U42</f>
        <v>181</v>
      </c>
    </row>
    <row r="43" spans="1:35" x14ac:dyDescent="0.35">
      <c r="A43" s="7">
        <v>1912</v>
      </c>
      <c r="B43" s="6">
        <v>2363</v>
      </c>
      <c r="C43" s="6">
        <v>1818</v>
      </c>
      <c r="E43">
        <f>MajorData!U43</f>
        <v>897</v>
      </c>
      <c r="F43">
        <f>MajorData!V43</f>
        <v>1208</v>
      </c>
      <c r="G43">
        <f t="shared" si="2"/>
        <v>1466</v>
      </c>
      <c r="H43">
        <f t="shared" si="3"/>
        <v>1155</v>
      </c>
      <c r="I43" s="13">
        <f t="shared" si="16"/>
        <v>0.37960220059246719</v>
      </c>
      <c r="J43" s="13">
        <f t="shared" si="17"/>
        <v>0.51121455776555225</v>
      </c>
      <c r="K43" s="13">
        <f t="shared" si="8"/>
        <v>0.62039779940753281</v>
      </c>
      <c r="L43" s="13">
        <f t="shared" si="5"/>
        <v>0.48878544223444775</v>
      </c>
      <c r="N43">
        <f>MajorData!I43</f>
        <v>496</v>
      </c>
      <c r="O43">
        <f t="shared" si="9"/>
        <v>970</v>
      </c>
      <c r="P43">
        <f t="shared" si="10"/>
        <v>659</v>
      </c>
      <c r="R43">
        <f>MajorData!AR43</f>
        <v>762</v>
      </c>
      <c r="S43" s="17">
        <f t="shared" si="11"/>
        <v>1056</v>
      </c>
      <c r="T43">
        <f>MajorData!AE43</f>
        <v>957</v>
      </c>
      <c r="U43" s="13">
        <f t="shared" si="12"/>
        <v>0.41914191419141916</v>
      </c>
      <c r="V43" s="13">
        <f t="shared" si="13"/>
        <v>0.58085808580858089</v>
      </c>
      <c r="W43" s="13">
        <f t="shared" si="14"/>
        <v>0.52640264026402639</v>
      </c>
      <c r="Y43">
        <f>MinorData!DK43</f>
        <v>100.1</v>
      </c>
      <c r="Z43">
        <f>IntData!E43</f>
        <v>153</v>
      </c>
      <c r="AA43">
        <f>MinorData!DR43</f>
        <v>46.9</v>
      </c>
      <c r="AB43">
        <f>MinorData!DT43</f>
        <v>623.1</v>
      </c>
      <c r="AC43">
        <f t="shared" si="7"/>
        <v>542.9</v>
      </c>
      <c r="AD43">
        <f>IntData!W43</f>
        <v>587</v>
      </c>
      <c r="AE43">
        <f>IntData!V43</f>
        <v>364</v>
      </c>
      <c r="AF43">
        <f>MinorData!EA43</f>
        <v>117.4</v>
      </c>
      <c r="AG43">
        <f t="shared" si="15"/>
        <v>105.60000000000002</v>
      </c>
      <c r="AH43">
        <f>IntData!T43</f>
        <v>82</v>
      </c>
      <c r="AI43">
        <f>IntData!U43</f>
        <v>229</v>
      </c>
    </row>
    <row r="44" spans="1:35" x14ac:dyDescent="0.35">
      <c r="A44" s="7">
        <v>1913</v>
      </c>
      <c r="B44" s="6">
        <v>2448</v>
      </c>
      <c r="C44" s="6">
        <v>1793</v>
      </c>
      <c r="E44">
        <f>MajorData!U44</f>
        <v>973</v>
      </c>
      <c r="F44">
        <f>MajorData!V44</f>
        <v>1292</v>
      </c>
      <c r="G44">
        <f t="shared" si="2"/>
        <v>1475</v>
      </c>
      <c r="H44">
        <f t="shared" si="3"/>
        <v>1156</v>
      </c>
      <c r="I44" s="13">
        <f t="shared" si="16"/>
        <v>0.39746732026143788</v>
      </c>
      <c r="J44" s="13">
        <f t="shared" si="17"/>
        <v>0.52777777777777779</v>
      </c>
      <c r="K44" s="13">
        <f t="shared" si="8"/>
        <v>0.60253267973856206</v>
      </c>
      <c r="L44" s="13">
        <f t="shared" si="5"/>
        <v>0.47222222222222221</v>
      </c>
      <c r="N44">
        <f>MajorData!I44</f>
        <v>550</v>
      </c>
      <c r="O44">
        <f t="shared" si="9"/>
        <v>925</v>
      </c>
      <c r="P44">
        <f t="shared" si="10"/>
        <v>606</v>
      </c>
      <c r="R44">
        <f>MajorData!AR44</f>
        <v>828</v>
      </c>
      <c r="S44" s="17">
        <f t="shared" si="11"/>
        <v>965</v>
      </c>
      <c r="T44">
        <f>MajorData!AE44</f>
        <v>890</v>
      </c>
      <c r="U44" s="13">
        <f t="shared" si="12"/>
        <v>0.46179587283881762</v>
      </c>
      <c r="V44" s="13">
        <f t="shared" si="13"/>
        <v>0.53820412716118238</v>
      </c>
      <c r="W44" s="13">
        <f t="shared" si="14"/>
        <v>0.49637479085331848</v>
      </c>
      <c r="Y44">
        <f>MinorData!DK44</f>
        <v>133</v>
      </c>
      <c r="Z44">
        <f>IntData!E44</f>
        <v>167</v>
      </c>
      <c r="AA44">
        <f>MinorData!DR44</f>
        <v>52.9</v>
      </c>
      <c r="AB44">
        <f>MinorData!DT44</f>
        <v>575.5</v>
      </c>
      <c r="AC44">
        <f t="shared" si="7"/>
        <v>546.6</v>
      </c>
      <c r="AD44">
        <f>IntData!W44</f>
        <v>625</v>
      </c>
      <c r="AE44">
        <f>IntData!V44</f>
        <v>380</v>
      </c>
      <c r="AF44">
        <f>MinorData!EA44</f>
        <v>134</v>
      </c>
      <c r="AG44">
        <f t="shared" si="15"/>
        <v>111</v>
      </c>
      <c r="AH44">
        <f>IntData!T44</f>
        <v>97</v>
      </c>
      <c r="AI44">
        <f>IntData!U44</f>
        <v>251</v>
      </c>
    </row>
    <row r="45" spans="1:35" x14ac:dyDescent="0.35">
      <c r="A45" s="7">
        <v>1914</v>
      </c>
      <c r="B45" s="8">
        <v>2071</v>
      </c>
      <c r="C45" s="6">
        <v>1789</v>
      </c>
      <c r="E45">
        <f>MajorData!U45</f>
        <v>784</v>
      </c>
      <c r="F45">
        <f>MajorData!V45</f>
        <v>1058</v>
      </c>
      <c r="G45">
        <f t="shared" si="2"/>
        <v>1287</v>
      </c>
      <c r="H45">
        <f t="shared" si="3"/>
        <v>1013</v>
      </c>
      <c r="I45" s="13">
        <f t="shared" si="16"/>
        <v>0.37856108160309032</v>
      </c>
      <c r="J45" s="13">
        <f t="shared" si="17"/>
        <v>0.51086431675519073</v>
      </c>
      <c r="K45" s="13">
        <f t="shared" si="8"/>
        <v>0.62143891839690968</v>
      </c>
      <c r="L45" s="13">
        <f t="shared" si="5"/>
        <v>0.48913568324480927</v>
      </c>
      <c r="N45">
        <f>MajorData!I45</f>
        <v>632</v>
      </c>
      <c r="O45">
        <f t="shared" si="9"/>
        <v>655</v>
      </c>
      <c r="P45">
        <f t="shared" si="10"/>
        <v>381</v>
      </c>
      <c r="R45">
        <f>MajorData!AR45</f>
        <v>745</v>
      </c>
      <c r="S45" s="17">
        <f t="shared" si="11"/>
        <v>1044</v>
      </c>
      <c r="T45">
        <f>MajorData!AE45</f>
        <v>982</v>
      </c>
      <c r="U45" s="13">
        <f t="shared" si="12"/>
        <v>0.41643376187814424</v>
      </c>
      <c r="V45" s="13">
        <f t="shared" si="13"/>
        <v>0.58356623812185582</v>
      </c>
      <c r="W45" s="13">
        <f t="shared" si="14"/>
        <v>0.54891000558971492</v>
      </c>
      <c r="Y45">
        <f>MinorData!DK45</f>
        <v>237.6</v>
      </c>
      <c r="Z45">
        <f>IntData!E45</f>
        <v>150</v>
      </c>
      <c r="AA45">
        <f>MinorData!DR45</f>
        <v>43.9</v>
      </c>
      <c r="AB45">
        <f>MinorData!DT45</f>
        <v>343.9</v>
      </c>
      <c r="AC45">
        <f t="shared" si="7"/>
        <v>511.6</v>
      </c>
      <c r="AD45">
        <f>IntData!W45</f>
        <v>486</v>
      </c>
      <c r="AE45">
        <f>IntData!V45</f>
        <v>265</v>
      </c>
      <c r="AF45">
        <f>MinorData!EA45</f>
        <v>119.6</v>
      </c>
      <c r="AG45">
        <f t="shared" si="15"/>
        <v>101.39999999999998</v>
      </c>
      <c r="AH45">
        <f>IntData!T45</f>
        <v>73</v>
      </c>
      <c r="AI45">
        <f>IntData!U45</f>
        <v>225</v>
      </c>
    </row>
    <row r="46" spans="1:35" x14ac:dyDescent="0.35">
      <c r="A46" s="7">
        <v>1915</v>
      </c>
      <c r="B46" s="8">
        <v>3492</v>
      </c>
      <c r="C46" s="6">
        <v>1779</v>
      </c>
      <c r="E46">
        <f>MajorData!U46</f>
        <v>1430</v>
      </c>
      <c r="F46">
        <f>MajorData!V46</f>
        <v>1861</v>
      </c>
      <c r="G46">
        <f t="shared" si="2"/>
        <v>2062</v>
      </c>
      <c r="H46">
        <f t="shared" si="3"/>
        <v>1631</v>
      </c>
      <c r="I46" s="13">
        <f t="shared" si="16"/>
        <v>0.40950744558991981</v>
      </c>
      <c r="J46" s="13">
        <f t="shared" si="17"/>
        <v>0.5329324169530355</v>
      </c>
      <c r="K46" s="13">
        <f t="shared" si="8"/>
        <v>0.59049255441008019</v>
      </c>
      <c r="L46" s="13">
        <f t="shared" si="5"/>
        <v>0.4670675830469645</v>
      </c>
      <c r="N46">
        <f>MajorData!I46</f>
        <v>1064</v>
      </c>
      <c r="O46">
        <f t="shared" si="9"/>
        <v>998</v>
      </c>
      <c r="P46">
        <f t="shared" si="10"/>
        <v>567</v>
      </c>
      <c r="R46">
        <f>MajorData!AR46</f>
        <v>641</v>
      </c>
      <c r="S46" s="17">
        <f t="shared" si="11"/>
        <v>1138</v>
      </c>
      <c r="T46">
        <f>MajorData!AE46</f>
        <v>1084</v>
      </c>
      <c r="U46" s="13">
        <f t="shared" si="12"/>
        <v>0.36031478358628444</v>
      </c>
      <c r="V46" s="13">
        <f t="shared" si="13"/>
        <v>0.63968521641371556</v>
      </c>
      <c r="W46" s="13">
        <f t="shared" si="14"/>
        <v>0.60933108487914556</v>
      </c>
      <c r="Y46">
        <f>MinorData!DK46</f>
        <v>415.4</v>
      </c>
      <c r="Z46">
        <f>IntData!E46</f>
        <v>292</v>
      </c>
      <c r="AA46">
        <f>MinorData!DR46</f>
        <v>52.5</v>
      </c>
      <c r="AB46">
        <f>MinorData!DT46</f>
        <v>417</v>
      </c>
      <c r="AC46">
        <f t="shared" si="7"/>
        <v>885.09999999999991</v>
      </c>
      <c r="AD46">
        <f>IntData!W46</f>
        <v>983</v>
      </c>
      <c r="AE46">
        <f>IntData!V46</f>
        <v>544</v>
      </c>
      <c r="AF46">
        <f>MinorData!EA46</f>
        <v>121</v>
      </c>
      <c r="AG46">
        <f t="shared" si="15"/>
        <v>318</v>
      </c>
      <c r="AH46">
        <f>IntData!T46</f>
        <v>73</v>
      </c>
      <c r="AI46">
        <f>IntData!U46</f>
        <v>375</v>
      </c>
    </row>
    <row r="47" spans="1:35" x14ac:dyDescent="0.35">
      <c r="A47" s="7">
        <v>1916</v>
      </c>
      <c r="B47" s="6">
        <v>5423</v>
      </c>
      <c r="C47" s="6">
        <v>2392</v>
      </c>
      <c r="E47">
        <f>MajorData!U47</f>
        <v>3136</v>
      </c>
      <c r="F47">
        <f>MajorData!V47</f>
        <v>3651</v>
      </c>
      <c r="G47">
        <f t="shared" si="2"/>
        <v>2287</v>
      </c>
      <c r="H47">
        <f t="shared" si="3"/>
        <v>1772</v>
      </c>
      <c r="I47" s="13">
        <f t="shared" si="16"/>
        <v>0.57827770606675277</v>
      </c>
      <c r="J47" s="13">
        <f t="shared" si="17"/>
        <v>0.67324359210768947</v>
      </c>
      <c r="K47" s="13">
        <f t="shared" si="8"/>
        <v>0.42172229393324728</v>
      </c>
      <c r="L47" s="13">
        <f t="shared" si="5"/>
        <v>0.32675640789231053</v>
      </c>
      <c r="N47">
        <f>MajorData!I47</f>
        <v>1119</v>
      </c>
      <c r="O47">
        <f t="shared" si="9"/>
        <v>1168</v>
      </c>
      <c r="P47">
        <f t="shared" si="10"/>
        <v>653</v>
      </c>
      <c r="R47">
        <f>MajorData!AR47</f>
        <v>937</v>
      </c>
      <c r="S47" s="17">
        <f t="shared" si="11"/>
        <v>1455</v>
      </c>
      <c r="T47">
        <f>MajorData!AE47</f>
        <v>1403</v>
      </c>
      <c r="U47" s="13">
        <f t="shared" si="12"/>
        <v>0.39172240802675584</v>
      </c>
      <c r="V47" s="13">
        <f t="shared" si="13"/>
        <v>0.60827759197324416</v>
      </c>
      <c r="W47" s="13">
        <f t="shared" si="14"/>
        <v>0.58653846153846156</v>
      </c>
      <c r="Y47">
        <f>MinorData!DK47</f>
        <v>365.6</v>
      </c>
      <c r="Z47">
        <f>IntData!E47</f>
        <v>330</v>
      </c>
      <c r="AA47">
        <f>MinorData!DR47</f>
        <v>62.8</v>
      </c>
      <c r="AB47">
        <f>MinorData!DT47</f>
        <v>545.20000000000005</v>
      </c>
      <c r="AC47">
        <f t="shared" si="7"/>
        <v>983.40000000000009</v>
      </c>
      <c r="AD47">
        <f>IntData!W47</f>
        <v>2203</v>
      </c>
      <c r="AE47">
        <f>IntData!V47</f>
        <v>1105</v>
      </c>
      <c r="AF47">
        <f>MinorData!EA47</f>
        <v>172.9</v>
      </c>
      <c r="AG47">
        <f t="shared" si="15"/>
        <v>925.09999999999991</v>
      </c>
      <c r="AH47">
        <f>IntData!T47</f>
        <v>86</v>
      </c>
      <c r="AI47">
        <f>IntData!U47</f>
        <v>847</v>
      </c>
    </row>
    <row r="48" spans="1:35" x14ac:dyDescent="0.35">
      <c r="A48" s="7">
        <v>1917</v>
      </c>
      <c r="B48" s="6">
        <v>6170</v>
      </c>
      <c r="C48" s="6">
        <v>2952</v>
      </c>
      <c r="E48">
        <f>MajorData!U48</f>
        <v>3649</v>
      </c>
      <c r="F48">
        <f>MajorData!V48</f>
        <v>4164</v>
      </c>
      <c r="G48">
        <f t="shared" si="2"/>
        <v>2521</v>
      </c>
      <c r="H48">
        <f t="shared" si="3"/>
        <v>2006</v>
      </c>
      <c r="I48" s="13">
        <f t="shared" si="16"/>
        <v>0.59141004862236624</v>
      </c>
      <c r="J48" s="13">
        <f t="shared" si="17"/>
        <v>0.67487844408427877</v>
      </c>
      <c r="K48" s="13">
        <f t="shared" si="8"/>
        <v>0.40858995137763371</v>
      </c>
      <c r="L48" s="13">
        <f t="shared" si="5"/>
        <v>0.32512155591572123</v>
      </c>
      <c r="N48">
        <f>MajorData!I48</f>
        <v>1365</v>
      </c>
      <c r="O48">
        <f t="shared" si="9"/>
        <v>1156</v>
      </c>
      <c r="P48">
        <f t="shared" si="10"/>
        <v>641</v>
      </c>
      <c r="R48">
        <f>MajorData!AR48</f>
        <v>1081</v>
      </c>
      <c r="S48" s="17">
        <f t="shared" si="11"/>
        <v>1871</v>
      </c>
      <c r="T48">
        <f>MajorData!AE48</f>
        <v>1813</v>
      </c>
      <c r="U48" s="13">
        <f t="shared" si="12"/>
        <v>0.36619241192411922</v>
      </c>
      <c r="V48" s="13">
        <f t="shared" si="13"/>
        <v>0.63380758807588078</v>
      </c>
      <c r="W48" s="13">
        <f t="shared" si="14"/>
        <v>0.61415989159891604</v>
      </c>
      <c r="Y48">
        <f>MinorData!DK48</f>
        <v>442.4</v>
      </c>
      <c r="Z48">
        <f>IntData!E48</f>
        <v>455</v>
      </c>
      <c r="AA48">
        <f>MinorData!DR48</f>
        <v>45.6</v>
      </c>
      <c r="AB48">
        <f>MinorData!DT48</f>
        <v>575.29999999999995</v>
      </c>
      <c r="AC48">
        <f t="shared" si="7"/>
        <v>1002.7</v>
      </c>
      <c r="AD48">
        <f>IntData!W48</f>
        <v>2273</v>
      </c>
      <c r="AE48">
        <f>IntData!V48</f>
        <v>1147</v>
      </c>
      <c r="AF48">
        <f>MinorData!EA48</f>
        <v>204</v>
      </c>
      <c r="AG48">
        <f t="shared" si="15"/>
        <v>922</v>
      </c>
      <c r="AH48">
        <f>IntData!T48</f>
        <v>134</v>
      </c>
      <c r="AI48">
        <f>IntData!U48</f>
        <v>1243</v>
      </c>
    </row>
    <row r="49" spans="1:35" x14ac:dyDescent="0.35">
      <c r="A49" s="7">
        <v>1918</v>
      </c>
      <c r="B49" s="8">
        <v>6048</v>
      </c>
      <c r="C49" s="6">
        <v>3031</v>
      </c>
      <c r="E49">
        <f>MajorData!U49</f>
        <v>2713</v>
      </c>
      <c r="F49">
        <f>MajorData!V49</f>
        <v>3263</v>
      </c>
      <c r="G49">
        <f t="shared" si="2"/>
        <v>3335</v>
      </c>
      <c r="H49">
        <f t="shared" si="3"/>
        <v>2785</v>
      </c>
      <c r="I49" s="13">
        <f t="shared" si="16"/>
        <v>0.44857804232804233</v>
      </c>
      <c r="J49" s="13">
        <f t="shared" si="17"/>
        <v>0.53951719576719581</v>
      </c>
      <c r="K49" s="13">
        <f t="shared" si="8"/>
        <v>0.55142195767195767</v>
      </c>
      <c r="L49" s="13">
        <f t="shared" si="5"/>
        <v>0.46048280423280424</v>
      </c>
      <c r="N49">
        <f>MajorData!I49</f>
        <v>2094</v>
      </c>
      <c r="O49">
        <f t="shared" si="9"/>
        <v>1241</v>
      </c>
      <c r="P49">
        <f t="shared" si="10"/>
        <v>691</v>
      </c>
      <c r="R49">
        <f>MajorData!AR49</f>
        <v>1187</v>
      </c>
      <c r="S49" s="17">
        <f t="shared" si="11"/>
        <v>1844</v>
      </c>
      <c r="T49">
        <f>MajorData!AE49</f>
        <v>1799</v>
      </c>
      <c r="U49" s="13">
        <f t="shared" si="12"/>
        <v>0.39161992741669416</v>
      </c>
      <c r="V49" s="13">
        <f t="shared" si="13"/>
        <v>0.60838007258330584</v>
      </c>
      <c r="W49" s="13">
        <f t="shared" si="14"/>
        <v>0.59353348729792144</v>
      </c>
      <c r="Y49">
        <f>MinorData!DK49</f>
        <v>474.3</v>
      </c>
      <c r="Z49">
        <f>IntData!E49</f>
        <v>967</v>
      </c>
      <c r="AA49">
        <f>MinorData!DR49</f>
        <v>122.9</v>
      </c>
      <c r="AB49">
        <f>MinorData!DT49</f>
        <v>674.1</v>
      </c>
      <c r="AC49">
        <f t="shared" si="7"/>
        <v>1096.6999999999998</v>
      </c>
      <c r="AD49">
        <f>IntData!W49</f>
        <v>1624</v>
      </c>
      <c r="AE49">
        <f>IntData!V49</f>
        <v>874</v>
      </c>
      <c r="AF49">
        <f>MinorData!EA49</f>
        <v>270.2</v>
      </c>
      <c r="AG49">
        <f t="shared" si="15"/>
        <v>479.79999999999995</v>
      </c>
      <c r="AH49">
        <f>IntData!T49</f>
        <v>136</v>
      </c>
      <c r="AI49">
        <f>IntData!U49</f>
        <v>954</v>
      </c>
    </row>
    <row r="50" spans="1:35" x14ac:dyDescent="0.35">
      <c r="A50" s="7">
        <v>1919</v>
      </c>
      <c r="B50" s="8">
        <v>7750</v>
      </c>
      <c r="C50" s="6">
        <v>3904</v>
      </c>
      <c r="E50">
        <f>MajorData!U50</f>
        <v>2553</v>
      </c>
      <c r="F50">
        <f>MajorData!V50</f>
        <v>3598</v>
      </c>
      <c r="G50">
        <f t="shared" si="2"/>
        <v>5197</v>
      </c>
      <c r="H50">
        <f t="shared" si="3"/>
        <v>4152</v>
      </c>
      <c r="I50" s="13">
        <f t="shared" si="16"/>
        <v>0.32941935483870965</v>
      </c>
      <c r="J50" s="13">
        <f t="shared" si="17"/>
        <v>0.46425806451612905</v>
      </c>
      <c r="K50" s="13">
        <f t="shared" si="8"/>
        <v>0.67058064516129035</v>
      </c>
      <c r="L50" s="13">
        <f t="shared" si="5"/>
        <v>0.53574193548387095</v>
      </c>
      <c r="N50">
        <f>MajorData!I50</f>
        <v>2924</v>
      </c>
      <c r="O50">
        <f t="shared" si="9"/>
        <v>2273</v>
      </c>
      <c r="P50">
        <f t="shared" si="10"/>
        <v>1228</v>
      </c>
      <c r="R50">
        <f>MajorData!AR50</f>
        <v>1221</v>
      </c>
      <c r="S50" s="17">
        <f t="shared" si="11"/>
        <v>2683</v>
      </c>
      <c r="T50">
        <f>MajorData!AE50</f>
        <v>2598</v>
      </c>
      <c r="U50" s="13">
        <f t="shared" si="12"/>
        <v>0.31275614754098363</v>
      </c>
      <c r="V50" s="13">
        <f t="shared" si="13"/>
        <v>0.68724385245901642</v>
      </c>
      <c r="W50" s="13">
        <f t="shared" si="14"/>
        <v>0.66547131147540983</v>
      </c>
      <c r="Y50">
        <f>MinorData!DK50</f>
        <v>537.9</v>
      </c>
      <c r="Z50">
        <f>IntData!E50</f>
        <v>1194</v>
      </c>
      <c r="AA50">
        <f>MinorData!DR50</f>
        <v>260</v>
      </c>
      <c r="AB50">
        <f>MinorData!DT50</f>
        <v>1137.4000000000001</v>
      </c>
      <c r="AC50">
        <f t="shared" si="7"/>
        <v>2067.6999999999998</v>
      </c>
      <c r="AD50">
        <f>IntData!W50</f>
        <v>1795</v>
      </c>
      <c r="AE50">
        <f>IntData!V50</f>
        <v>1145</v>
      </c>
      <c r="AF50">
        <f>MinorData!EA50</f>
        <v>306.7</v>
      </c>
      <c r="AG50">
        <f t="shared" si="15"/>
        <v>343.29999999999995</v>
      </c>
      <c r="AH50">
        <f>IntData!T50</f>
        <v>154</v>
      </c>
      <c r="AI50">
        <f>IntData!U50</f>
        <v>605</v>
      </c>
    </row>
    <row r="51" spans="1:35" x14ac:dyDescent="0.35">
      <c r="A51" s="7">
        <v>1920</v>
      </c>
      <c r="B51" s="6">
        <v>8080</v>
      </c>
      <c r="C51" s="6">
        <v>5278</v>
      </c>
      <c r="E51">
        <f>MajorData!U51</f>
        <v>3466</v>
      </c>
      <c r="F51">
        <f>MajorData!V51</f>
        <v>4570</v>
      </c>
      <c r="G51">
        <f t="shared" si="2"/>
        <v>4614</v>
      </c>
      <c r="H51">
        <f t="shared" si="3"/>
        <v>3510</v>
      </c>
      <c r="I51" s="13">
        <f t="shared" si="16"/>
        <v>0.42896039603960395</v>
      </c>
      <c r="J51" s="13">
        <f t="shared" si="17"/>
        <v>0.56559405940594054</v>
      </c>
      <c r="K51" s="13">
        <f t="shared" si="8"/>
        <v>0.57103960396039599</v>
      </c>
      <c r="L51" s="13">
        <f t="shared" si="5"/>
        <v>0.4344059405940594</v>
      </c>
      <c r="N51">
        <f>MajorData!I51</f>
        <v>2301</v>
      </c>
      <c r="O51">
        <f t="shared" si="9"/>
        <v>2313</v>
      </c>
      <c r="P51">
        <f t="shared" si="10"/>
        <v>1209</v>
      </c>
      <c r="R51">
        <f>MajorData!AR51</f>
        <v>1882</v>
      </c>
      <c r="S51" s="17">
        <f t="shared" si="11"/>
        <v>3396</v>
      </c>
      <c r="T51">
        <f>MajorData!AE51</f>
        <v>3241</v>
      </c>
      <c r="U51" s="13">
        <f t="shared" si="12"/>
        <v>0.35657446002273591</v>
      </c>
      <c r="V51" s="13">
        <f t="shared" si="13"/>
        <v>0.64342553997726415</v>
      </c>
      <c r="W51" s="13">
        <f t="shared" si="14"/>
        <v>0.61405835543766574</v>
      </c>
      <c r="Y51">
        <f>MinorData!DK51</f>
        <v>785.7</v>
      </c>
      <c r="Z51">
        <f>IntData!E51</f>
        <v>566</v>
      </c>
      <c r="AA51">
        <f>MinorData!DR51</f>
        <v>245.5</v>
      </c>
      <c r="AB51">
        <f>MinorData!DT51</f>
        <v>1136.4000000000001</v>
      </c>
      <c r="AC51">
        <f t="shared" si="7"/>
        <v>1880.3999999999996</v>
      </c>
      <c r="AD51">
        <f>IntData!W51</f>
        <v>2340</v>
      </c>
      <c r="AE51">
        <f>IntData!V51</f>
        <v>1425</v>
      </c>
      <c r="AF51">
        <f>MinorData!EA51</f>
        <v>476.4</v>
      </c>
      <c r="AG51">
        <f t="shared" si="15"/>
        <v>438.59999999999991</v>
      </c>
      <c r="AH51">
        <f>IntData!T51</f>
        <v>410</v>
      </c>
      <c r="AI51">
        <f>IntData!U51</f>
        <v>715</v>
      </c>
    </row>
    <row r="52" spans="1:35" x14ac:dyDescent="0.35">
      <c r="A52" s="7">
        <v>1921</v>
      </c>
      <c r="B52" s="6">
        <v>4379</v>
      </c>
      <c r="C52" s="6">
        <v>2509</v>
      </c>
      <c r="E52">
        <f>MajorData!U52</f>
        <v>1838</v>
      </c>
      <c r="F52">
        <f>MajorData!V52</f>
        <v>2231</v>
      </c>
      <c r="G52">
        <f t="shared" si="2"/>
        <v>2541</v>
      </c>
      <c r="H52">
        <f t="shared" si="3"/>
        <v>2148</v>
      </c>
      <c r="I52" s="13">
        <f t="shared" si="16"/>
        <v>0.41973053208495092</v>
      </c>
      <c r="J52" s="13">
        <f t="shared" si="17"/>
        <v>0.50947704955469286</v>
      </c>
      <c r="K52" s="13">
        <f t="shared" si="8"/>
        <v>0.58026946791504908</v>
      </c>
      <c r="L52" s="13">
        <f t="shared" si="5"/>
        <v>0.49052295044530714</v>
      </c>
      <c r="N52">
        <f>MajorData!I52</f>
        <v>1577</v>
      </c>
      <c r="O52">
        <f t="shared" si="9"/>
        <v>964</v>
      </c>
      <c r="P52">
        <f t="shared" si="10"/>
        <v>571</v>
      </c>
      <c r="R52">
        <f>MajorData!AR52</f>
        <v>1087</v>
      </c>
      <c r="S52" s="17">
        <f t="shared" si="11"/>
        <v>1422</v>
      </c>
      <c r="T52">
        <f>MajorData!AE52</f>
        <v>1319</v>
      </c>
      <c r="U52" s="13">
        <f t="shared" si="12"/>
        <v>0.43324033479473895</v>
      </c>
      <c r="V52" s="13">
        <f t="shared" si="13"/>
        <v>0.56675966520526111</v>
      </c>
      <c r="W52" s="13">
        <f t="shared" si="14"/>
        <v>0.52570745316859302</v>
      </c>
      <c r="Y52">
        <f>MinorData!DK52</f>
        <v>592.9</v>
      </c>
      <c r="Z52">
        <f>IntData!E52</f>
        <v>351</v>
      </c>
      <c r="AA52">
        <f>MinorData!DR52</f>
        <v>205.1</v>
      </c>
      <c r="AB52">
        <f>MinorData!DT52</f>
        <v>534.20000000000005</v>
      </c>
      <c r="AC52">
        <f t="shared" si="7"/>
        <v>857.8</v>
      </c>
      <c r="AD52">
        <f>IntData!W52</f>
        <v>1327</v>
      </c>
      <c r="AE52">
        <f>IntData!V52</f>
        <v>796</v>
      </c>
      <c r="AF52">
        <f>MinorData!EA52</f>
        <v>323.89999999999998</v>
      </c>
      <c r="AG52">
        <f t="shared" si="15"/>
        <v>207.09999999999991</v>
      </c>
      <c r="AH52">
        <f>IntData!T52</f>
        <v>205</v>
      </c>
      <c r="AI52">
        <f>IntData!U52</f>
        <v>307</v>
      </c>
    </row>
    <row r="53" spans="1:35" x14ac:dyDescent="0.35">
      <c r="A53" s="7">
        <v>1922</v>
      </c>
      <c r="B53" s="6">
        <v>3765</v>
      </c>
      <c r="C53" s="6">
        <v>3113</v>
      </c>
      <c r="E53">
        <f>MajorData!U53</f>
        <v>1402</v>
      </c>
      <c r="F53">
        <f>MajorData!V53</f>
        <v>1841</v>
      </c>
      <c r="G53">
        <f t="shared" si="2"/>
        <v>2363</v>
      </c>
      <c r="H53">
        <f t="shared" si="3"/>
        <v>1924</v>
      </c>
      <c r="I53" s="13">
        <f t="shared" si="16"/>
        <v>0.37237715803452853</v>
      </c>
      <c r="J53" s="13">
        <f t="shared" si="17"/>
        <v>0.48897742363877822</v>
      </c>
      <c r="K53" s="13">
        <f t="shared" si="8"/>
        <v>0.62762284196547147</v>
      </c>
      <c r="L53" s="13">
        <f t="shared" si="5"/>
        <v>0.51102257636122173</v>
      </c>
      <c r="N53">
        <f>MajorData!I53</f>
        <v>1211</v>
      </c>
      <c r="O53">
        <f t="shared" si="9"/>
        <v>1152</v>
      </c>
      <c r="P53">
        <f t="shared" si="10"/>
        <v>713</v>
      </c>
      <c r="R53">
        <f>MajorData!AR53</f>
        <v>1391</v>
      </c>
      <c r="S53" s="17">
        <f t="shared" si="11"/>
        <v>1722</v>
      </c>
      <c r="T53">
        <f>MajorData!AE53</f>
        <v>1628</v>
      </c>
      <c r="U53" s="13">
        <f t="shared" si="12"/>
        <v>0.44683584966270479</v>
      </c>
      <c r="V53" s="13">
        <f t="shared" si="13"/>
        <v>0.55316415033729527</v>
      </c>
      <c r="W53" s="13">
        <f t="shared" si="14"/>
        <v>0.52296819787985871</v>
      </c>
      <c r="Y53">
        <f>MinorData!DK53</f>
        <v>396.4</v>
      </c>
      <c r="Z53">
        <f>IntData!E53</f>
        <v>290</v>
      </c>
      <c r="AA53">
        <f>MinorData!DR53</f>
        <v>146.5</v>
      </c>
      <c r="AB53">
        <f>MinorData!DT53</f>
        <v>673.2</v>
      </c>
      <c r="AC53">
        <f t="shared" si="7"/>
        <v>856.90000000000009</v>
      </c>
      <c r="AD53">
        <f>IntData!W53</f>
        <v>1001</v>
      </c>
      <c r="AE53">
        <f>IntData!V53</f>
        <v>515</v>
      </c>
      <c r="AF53">
        <f>MinorData!EA53</f>
        <v>291.8</v>
      </c>
      <c r="AG53">
        <f t="shared" si="15"/>
        <v>194.20000000000005</v>
      </c>
      <c r="AH53">
        <f>IntData!T53</f>
        <v>129</v>
      </c>
      <c r="AI53">
        <f>IntData!U53</f>
        <v>271</v>
      </c>
    </row>
    <row r="54" spans="1:35" x14ac:dyDescent="0.35">
      <c r="A54" s="7">
        <v>1923</v>
      </c>
      <c r="B54" s="6">
        <v>4091</v>
      </c>
      <c r="C54" s="6">
        <v>3792</v>
      </c>
      <c r="E54">
        <f>MajorData!U54</f>
        <v>1729</v>
      </c>
      <c r="F54">
        <f>MajorData!V54</f>
        <v>2234</v>
      </c>
      <c r="G54">
        <f t="shared" si="2"/>
        <v>2362</v>
      </c>
      <c r="H54">
        <f t="shared" si="3"/>
        <v>1857</v>
      </c>
      <c r="I54" s="13">
        <f t="shared" si="16"/>
        <v>0.42263505255438766</v>
      </c>
      <c r="J54" s="13">
        <f t="shared" si="17"/>
        <v>0.5460767538499145</v>
      </c>
      <c r="K54" s="13">
        <f t="shared" si="8"/>
        <v>0.57736494744561229</v>
      </c>
      <c r="L54" s="13">
        <f t="shared" si="5"/>
        <v>0.45392324615008556</v>
      </c>
      <c r="N54">
        <f>MajorData!I54</f>
        <v>1011</v>
      </c>
      <c r="O54">
        <f t="shared" si="9"/>
        <v>1351</v>
      </c>
      <c r="P54">
        <f t="shared" si="10"/>
        <v>846</v>
      </c>
      <c r="R54">
        <f>MajorData!AR54</f>
        <v>1677</v>
      </c>
      <c r="S54" s="17">
        <f t="shared" si="11"/>
        <v>2115</v>
      </c>
      <c r="T54">
        <f>MajorData!AE54</f>
        <v>2020</v>
      </c>
      <c r="U54" s="13">
        <f t="shared" si="12"/>
        <v>0.442246835443038</v>
      </c>
      <c r="V54" s="13">
        <f t="shared" si="13"/>
        <v>0.557753164556962</v>
      </c>
      <c r="W54" s="13">
        <f t="shared" si="14"/>
        <v>0.53270042194092826</v>
      </c>
      <c r="Y54">
        <f>MinorData!DK54</f>
        <v>192.6</v>
      </c>
      <c r="Z54">
        <f>IntData!E54</f>
        <v>345</v>
      </c>
      <c r="AA54">
        <f>MinorData!DR54</f>
        <v>153.4</v>
      </c>
      <c r="AB54">
        <f>MinorData!DT54</f>
        <v>807.1</v>
      </c>
      <c r="AC54">
        <f t="shared" si="7"/>
        <v>863.90000000000009</v>
      </c>
      <c r="AD54">
        <f>IntData!W54</f>
        <v>1179</v>
      </c>
      <c r="AE54">
        <f>IntData!V54</f>
        <v>670</v>
      </c>
      <c r="AF54">
        <f>MinorData!EA54</f>
        <v>296.2</v>
      </c>
      <c r="AG54">
        <f t="shared" si="15"/>
        <v>212.79999999999995</v>
      </c>
      <c r="AH54">
        <f>IntData!T54</f>
        <v>203</v>
      </c>
      <c r="AI54">
        <f>IntData!U54</f>
        <v>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0A02-2110-4B6C-8E12-CDD4F678ED49}">
  <sheetPr>
    <tabColor theme="5"/>
  </sheetPr>
  <dimension ref="B1:BS121"/>
  <sheetViews>
    <sheetView showGridLines="0" topLeftCell="AF105" zoomScale="85" zoomScaleNormal="85" workbookViewId="0">
      <selection activeCell="AT127" sqref="AT127"/>
    </sheetView>
  </sheetViews>
  <sheetFormatPr defaultRowHeight="14.5" x14ac:dyDescent="0.35"/>
  <cols>
    <col min="2" max="2" width="0.453125" customWidth="1"/>
    <col min="4" max="4" width="15.6328125" style="54" customWidth="1"/>
    <col min="5" max="6" width="0.453125" style="54" customWidth="1"/>
    <col min="7" max="7" width="15.6328125" style="54" customWidth="1"/>
    <col min="8" max="8" width="17.08984375" style="54" customWidth="1"/>
    <col min="9" max="10" width="0.453125" customWidth="1"/>
    <col min="11" max="11" width="15.6328125" customWidth="1"/>
    <col min="12" max="12" width="16.453125" customWidth="1"/>
    <col min="13" max="13" width="0.453125" customWidth="1"/>
    <col min="15" max="15" width="0.453125" customWidth="1"/>
    <col min="17" max="17" width="15.6328125" customWidth="1"/>
    <col min="18" max="19" width="0.453125" customWidth="1"/>
    <col min="20" max="20" width="11.6328125" customWidth="1"/>
    <col min="21" max="21" width="10.6328125" customWidth="1"/>
    <col min="23" max="24" width="0.453125" customWidth="1"/>
    <col min="25" max="25" width="10.6328125" customWidth="1"/>
    <col min="26" max="26" width="12.6328125" customWidth="1"/>
    <col min="28" max="29" width="0.453125" customWidth="1"/>
    <col min="33" max="34" width="0.453125" hidden="1" customWidth="1"/>
    <col min="35" max="37" width="0" hidden="1" customWidth="1"/>
    <col min="38" max="39" width="0.453125" customWidth="1"/>
    <col min="42" max="43" width="0.453125" customWidth="1"/>
    <col min="44" max="44" width="40.6328125" hidden="1" customWidth="1"/>
    <col min="45" max="45" width="14.6328125" hidden="1" customWidth="1"/>
    <col min="46" max="46" width="30.6328125" customWidth="1"/>
    <col min="47" max="48" width="10.6328125" customWidth="1"/>
    <col min="49" max="50" width="0.453125" customWidth="1"/>
    <col min="51" max="52" width="10.6328125" customWidth="1"/>
    <col min="53" max="54" width="0.453125" customWidth="1"/>
    <col min="58" max="59" width="0.453125" customWidth="1"/>
    <col min="60" max="62" width="0" style="13" hidden="1" customWidth="1"/>
  </cols>
  <sheetData>
    <row r="1" spans="2:71" x14ac:dyDescent="0.35"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 spans="2:71" ht="2" customHeight="1" x14ac:dyDescent="0.35">
      <c r="B2" s="58"/>
      <c r="C2" s="59"/>
      <c r="D2" s="60"/>
      <c r="E2" s="60"/>
      <c r="F2" s="60"/>
      <c r="G2" s="60"/>
      <c r="H2" s="60"/>
      <c r="I2" s="59"/>
      <c r="J2" s="59"/>
      <c r="K2" s="59"/>
      <c r="L2" s="59"/>
      <c r="M2" s="61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 spans="2:71" x14ac:dyDescent="0.35">
      <c r="B3" s="62"/>
      <c r="C3" s="63" t="s">
        <v>334</v>
      </c>
      <c r="D3" s="64"/>
      <c r="E3" s="64"/>
      <c r="F3" s="64"/>
      <c r="G3" s="64"/>
      <c r="H3" s="64"/>
      <c r="I3" s="65"/>
      <c r="J3" s="65"/>
      <c r="K3" s="65"/>
      <c r="L3" s="65"/>
      <c r="M3" s="66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65"/>
      <c r="AC3" s="65"/>
      <c r="AD3" s="73"/>
      <c r="AE3" s="73"/>
      <c r="AF3" s="73"/>
      <c r="AG3" s="73"/>
      <c r="AH3" s="73"/>
      <c r="AI3" s="73"/>
      <c r="AJ3" s="73"/>
      <c r="AK3" s="73"/>
    </row>
    <row r="4" spans="2:71" ht="2" customHeight="1" x14ac:dyDescent="0.35">
      <c r="B4" s="67"/>
      <c r="C4" s="68"/>
      <c r="D4" s="69"/>
      <c r="E4" s="69"/>
      <c r="F4" s="69"/>
      <c r="G4" s="69"/>
      <c r="H4" s="69"/>
      <c r="I4" s="68"/>
      <c r="J4" s="68"/>
      <c r="K4" s="68"/>
      <c r="L4" s="68"/>
      <c r="M4" s="70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</row>
    <row r="5" spans="2:71" ht="2" customHeight="1" x14ac:dyDescent="0.35">
      <c r="B5" s="58"/>
      <c r="C5" s="59"/>
      <c r="D5" s="60"/>
      <c r="E5" s="95"/>
      <c r="F5" s="60"/>
      <c r="G5" s="60"/>
      <c r="H5" s="60"/>
      <c r="I5" s="59"/>
      <c r="J5" s="58"/>
      <c r="K5" s="59"/>
      <c r="L5" s="59"/>
      <c r="M5" s="61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</row>
    <row r="6" spans="2:71" s="34" customFormat="1" ht="35" customHeight="1" x14ac:dyDescent="0.35">
      <c r="B6" s="71"/>
      <c r="C6" s="92" t="s">
        <v>313</v>
      </c>
      <c r="D6" s="84" t="s">
        <v>180</v>
      </c>
      <c r="E6" s="96"/>
      <c r="F6" s="84"/>
      <c r="G6" s="85" t="s">
        <v>317</v>
      </c>
      <c r="H6" s="85" t="s">
        <v>318</v>
      </c>
      <c r="I6" s="86"/>
      <c r="J6" s="87"/>
      <c r="K6" s="85" t="s">
        <v>317</v>
      </c>
      <c r="L6" s="85" t="s">
        <v>318</v>
      </c>
      <c r="M6" s="72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86"/>
      <c r="AC6" s="86"/>
      <c r="AD6" s="57"/>
      <c r="AE6" s="57"/>
      <c r="AF6" s="57"/>
      <c r="AG6" s="57"/>
      <c r="AH6" s="57"/>
      <c r="AI6" s="57"/>
      <c r="AJ6" s="57"/>
      <c r="AK6" s="57"/>
      <c r="BH6" s="120"/>
      <c r="BI6" s="120"/>
      <c r="BJ6" s="120"/>
      <c r="BM6" s="34" t="s">
        <v>43</v>
      </c>
      <c r="BO6" s="34" t="s">
        <v>65</v>
      </c>
      <c r="BP6" s="34" t="s">
        <v>69</v>
      </c>
      <c r="BQ6" s="34" t="s">
        <v>70</v>
      </c>
      <c r="BR6" s="56" t="s">
        <v>314</v>
      </c>
      <c r="BS6" s="56" t="s">
        <v>169</v>
      </c>
    </row>
    <row r="7" spans="2:71" ht="2" customHeight="1" x14ac:dyDescent="0.35">
      <c r="B7" s="67"/>
      <c r="C7" s="91"/>
      <c r="D7" s="69"/>
      <c r="E7" s="97"/>
      <c r="F7" s="69"/>
      <c r="G7" s="69"/>
      <c r="H7" s="69"/>
      <c r="I7" s="68"/>
      <c r="J7" s="67"/>
      <c r="K7" s="68"/>
      <c r="L7" s="68"/>
      <c r="M7" s="70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</row>
    <row r="8" spans="2:71" ht="2" customHeight="1" x14ac:dyDescent="0.35">
      <c r="B8" s="62"/>
      <c r="C8" s="93"/>
      <c r="D8" s="74"/>
      <c r="E8" s="98"/>
      <c r="F8" s="74"/>
      <c r="G8" s="74"/>
      <c r="H8" s="74"/>
      <c r="I8" s="73"/>
      <c r="J8" s="62"/>
      <c r="K8" s="73"/>
      <c r="L8" s="73"/>
      <c r="M8" s="66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</row>
    <row r="9" spans="2:71" s="79" customFormat="1" ht="12" customHeight="1" x14ac:dyDescent="0.3">
      <c r="B9" s="76"/>
      <c r="C9" s="94"/>
      <c r="D9" s="81" t="s">
        <v>142</v>
      </c>
      <c r="E9" s="99"/>
      <c r="F9" s="81"/>
      <c r="G9" s="81" t="s">
        <v>142</v>
      </c>
      <c r="H9" s="81" t="s">
        <v>142</v>
      </c>
      <c r="I9" s="82"/>
      <c r="J9" s="83"/>
      <c r="K9" s="82" t="s">
        <v>309</v>
      </c>
      <c r="L9" s="82" t="s">
        <v>309</v>
      </c>
      <c r="M9" s="78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82"/>
      <c r="AC9" s="82"/>
      <c r="AD9" s="77"/>
      <c r="AE9" s="77"/>
      <c r="AF9" s="77"/>
      <c r="AG9" s="77"/>
      <c r="AH9" s="77"/>
      <c r="AI9" s="77"/>
      <c r="AJ9" s="77"/>
      <c r="AK9" s="77"/>
      <c r="BH9" s="121"/>
      <c r="BI9" s="121"/>
      <c r="BJ9" s="121"/>
      <c r="BR9" s="80" t="s">
        <v>142</v>
      </c>
      <c r="BS9" s="80" t="s">
        <v>142</v>
      </c>
    </row>
    <row r="10" spans="2:71" ht="2" customHeight="1" x14ac:dyDescent="0.35">
      <c r="B10" s="67"/>
      <c r="C10" s="91"/>
      <c r="D10" s="69"/>
      <c r="E10" s="97"/>
      <c r="F10" s="69"/>
      <c r="G10" s="69"/>
      <c r="H10" s="69"/>
      <c r="I10" s="68"/>
      <c r="J10" s="67"/>
      <c r="K10" s="68"/>
      <c r="L10" s="68"/>
      <c r="M10" s="70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BR10" s="54"/>
      <c r="BS10" s="54"/>
    </row>
    <row r="11" spans="2:71" ht="2" customHeight="1" x14ac:dyDescent="0.35">
      <c r="B11" s="62"/>
      <c r="C11" s="93"/>
      <c r="D11" s="74"/>
      <c r="E11" s="98"/>
      <c r="F11" s="74"/>
      <c r="G11" s="74"/>
      <c r="H11" s="74"/>
      <c r="I11" s="73"/>
      <c r="J11" s="62"/>
      <c r="K11" s="73"/>
      <c r="L11" s="73"/>
      <c r="M11" s="66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BR11" s="54"/>
      <c r="BS11" s="54"/>
    </row>
    <row r="12" spans="2:71" x14ac:dyDescent="0.35">
      <c r="B12" s="62"/>
      <c r="C12" s="93">
        <v>1880</v>
      </c>
      <c r="D12" s="74">
        <v>876</v>
      </c>
      <c r="E12" s="98"/>
      <c r="F12" s="74"/>
      <c r="G12" s="74">
        <v>804</v>
      </c>
      <c r="H12" s="74">
        <v>72</v>
      </c>
      <c r="I12" s="73"/>
      <c r="J12" s="62"/>
      <c r="K12" s="75">
        <f t="shared" ref="K12:L18" si="0">G12/$D12</f>
        <v>0.9178082191780822</v>
      </c>
      <c r="L12" s="75">
        <f t="shared" si="0"/>
        <v>8.2191780821917804E-2</v>
      </c>
      <c r="M12" s="66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BM12">
        <v>11.3</v>
      </c>
      <c r="BO12">
        <v>1.4</v>
      </c>
      <c r="BP12">
        <v>7.2</v>
      </c>
      <c r="BQ12">
        <v>10.7</v>
      </c>
      <c r="BR12" s="54">
        <v>745</v>
      </c>
      <c r="BS12" s="54">
        <v>131</v>
      </c>
    </row>
    <row r="13" spans="2:71" x14ac:dyDescent="0.35">
      <c r="B13" s="62"/>
      <c r="C13" s="93">
        <v>1885</v>
      </c>
      <c r="D13" s="74">
        <v>674</v>
      </c>
      <c r="E13" s="98"/>
      <c r="F13" s="74"/>
      <c r="G13" s="74">
        <v>571</v>
      </c>
      <c r="H13" s="74">
        <v>103</v>
      </c>
      <c r="I13" s="73"/>
      <c r="J13" s="62"/>
      <c r="K13" s="75">
        <f t="shared" si="0"/>
        <v>0.84718100890207715</v>
      </c>
      <c r="L13" s="75">
        <f t="shared" si="0"/>
        <v>0.15281899109792285</v>
      </c>
      <c r="M13" s="66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BM13">
        <v>12.7</v>
      </c>
      <c r="BO13">
        <v>4.0999999999999996</v>
      </c>
      <c r="BP13">
        <v>6.6</v>
      </c>
      <c r="BQ13">
        <v>12.5</v>
      </c>
      <c r="BR13" s="54">
        <v>508</v>
      </c>
      <c r="BS13" s="54">
        <v>166</v>
      </c>
    </row>
    <row r="14" spans="2:71" x14ac:dyDescent="0.35">
      <c r="B14" s="62"/>
      <c r="C14" s="93">
        <v>1890</v>
      </c>
      <c r="D14" s="74">
        <v>846</v>
      </c>
      <c r="E14" s="98"/>
      <c r="F14" s="74"/>
      <c r="G14" s="74">
        <v>717</v>
      </c>
      <c r="H14" s="74">
        <v>129</v>
      </c>
      <c r="I14" s="73"/>
      <c r="J14" s="62"/>
      <c r="K14" s="75">
        <f t="shared" si="0"/>
        <v>0.84751773049645385</v>
      </c>
      <c r="L14" s="75">
        <f t="shared" si="0"/>
        <v>0.1524822695035461</v>
      </c>
      <c r="M14" s="66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BM14">
        <v>11.1</v>
      </c>
      <c r="BO14">
        <v>1.6</v>
      </c>
      <c r="BP14">
        <v>11.2</v>
      </c>
      <c r="BQ14">
        <v>24.6</v>
      </c>
      <c r="BR14" s="54">
        <v>644</v>
      </c>
      <c r="BS14" s="54">
        <v>202</v>
      </c>
    </row>
    <row r="15" spans="2:71" x14ac:dyDescent="0.35">
      <c r="B15" s="62"/>
      <c r="C15" s="93">
        <v>1895</v>
      </c>
      <c r="D15" s="74">
        <v>808</v>
      </c>
      <c r="E15" s="98"/>
      <c r="F15" s="74"/>
      <c r="G15" s="74">
        <v>643</v>
      </c>
      <c r="H15" s="74">
        <v>165</v>
      </c>
      <c r="I15" s="73"/>
      <c r="J15" s="62"/>
      <c r="K15" s="75">
        <f t="shared" si="0"/>
        <v>0.79579207920792083</v>
      </c>
      <c r="L15" s="75">
        <f t="shared" si="0"/>
        <v>0.2042079207920792</v>
      </c>
      <c r="M15" s="66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BM15">
        <v>14</v>
      </c>
      <c r="BO15">
        <v>13.1</v>
      </c>
      <c r="BP15">
        <v>15.7</v>
      </c>
      <c r="BQ15">
        <v>28.2</v>
      </c>
      <c r="BR15" s="54">
        <v>556</v>
      </c>
      <c r="BS15" s="54">
        <v>252</v>
      </c>
    </row>
    <row r="16" spans="2:71" x14ac:dyDescent="0.35">
      <c r="B16" s="62"/>
      <c r="C16" s="93">
        <v>1900</v>
      </c>
      <c r="D16" s="74">
        <v>1453</v>
      </c>
      <c r="E16" s="98"/>
      <c r="F16" s="74"/>
      <c r="G16" s="74">
        <v>1071</v>
      </c>
      <c r="H16" s="74">
        <v>382</v>
      </c>
      <c r="I16" s="73"/>
      <c r="J16" s="62"/>
      <c r="K16" s="75">
        <f t="shared" si="0"/>
        <v>0.73709566414315209</v>
      </c>
      <c r="L16" s="75">
        <f t="shared" si="0"/>
        <v>0.26290433585684791</v>
      </c>
      <c r="M16" s="66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BM16">
        <v>19.7</v>
      </c>
      <c r="BO16">
        <v>59.6</v>
      </c>
      <c r="BP16">
        <v>57.5</v>
      </c>
      <c r="BQ16">
        <v>89</v>
      </c>
      <c r="BR16" s="54">
        <v>927</v>
      </c>
      <c r="BS16" s="54">
        <v>526</v>
      </c>
    </row>
    <row r="17" spans="2:71" x14ac:dyDescent="0.35">
      <c r="B17" s="62"/>
      <c r="C17" s="93">
        <v>1905</v>
      </c>
      <c r="D17" s="74">
        <v>1599</v>
      </c>
      <c r="E17" s="98"/>
      <c r="F17" s="74"/>
      <c r="G17" s="74">
        <v>1128</v>
      </c>
      <c r="H17" s="74">
        <v>471</v>
      </c>
      <c r="I17" s="73"/>
      <c r="J17" s="62"/>
      <c r="K17" s="75">
        <f t="shared" si="0"/>
        <v>0.7054409005628518</v>
      </c>
      <c r="L17" s="75">
        <f t="shared" si="0"/>
        <v>0.2945590994371482</v>
      </c>
      <c r="M17" s="66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BM17">
        <v>55.2</v>
      </c>
      <c r="BO17">
        <v>85.1</v>
      </c>
      <c r="BP17">
        <v>59.4</v>
      </c>
      <c r="BQ17">
        <v>112.3</v>
      </c>
      <c r="BR17" s="54">
        <v>918</v>
      </c>
      <c r="BS17" s="54">
        <v>681</v>
      </c>
    </row>
    <row r="18" spans="2:71" x14ac:dyDescent="0.35">
      <c r="B18" s="62"/>
      <c r="C18" s="93">
        <v>1910</v>
      </c>
      <c r="D18" s="74">
        <v>1829</v>
      </c>
      <c r="E18" s="98"/>
      <c r="F18" s="74"/>
      <c r="G18" s="74">
        <v>1195</v>
      </c>
      <c r="H18" s="74">
        <v>634</v>
      </c>
      <c r="I18" s="73"/>
      <c r="J18" s="62"/>
      <c r="K18" s="75">
        <f t="shared" si="0"/>
        <v>0.6533624931656643</v>
      </c>
      <c r="L18" s="75">
        <f t="shared" si="0"/>
        <v>0.3466375068343357</v>
      </c>
      <c r="M18" s="66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BM18">
        <v>32</v>
      </c>
      <c r="BO18">
        <v>96.5</v>
      </c>
      <c r="BP18">
        <v>83.7</v>
      </c>
      <c r="BQ18">
        <v>149.5</v>
      </c>
      <c r="BR18" s="54">
        <v>948</v>
      </c>
      <c r="BS18" s="54">
        <v>881</v>
      </c>
    </row>
    <row r="19" spans="2:71" ht="2" customHeight="1" x14ac:dyDescent="0.35">
      <c r="B19" s="67"/>
      <c r="C19" s="68"/>
      <c r="D19" s="69"/>
      <c r="E19" s="97"/>
      <c r="F19" s="69"/>
      <c r="G19" s="69"/>
      <c r="H19" s="69"/>
      <c r="I19" s="68"/>
      <c r="J19" s="67"/>
      <c r="K19" s="68"/>
      <c r="L19" s="68"/>
      <c r="M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1"/>
    </row>
    <row r="20" spans="2:71" ht="2" customHeight="1" x14ac:dyDescent="0.35">
      <c r="B20" s="73"/>
      <c r="C20" s="73"/>
      <c r="D20" s="74"/>
      <c r="E20" s="74"/>
      <c r="F20" s="74"/>
      <c r="G20" s="74"/>
      <c r="H20" s="74"/>
      <c r="I20" s="73"/>
      <c r="J20" s="73"/>
      <c r="K20" s="73"/>
      <c r="L20" s="73"/>
      <c r="M20" s="73"/>
      <c r="O20" s="6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66"/>
    </row>
    <row r="21" spans="2:71" x14ac:dyDescent="0.35">
      <c r="O21" s="62"/>
      <c r="P21" s="63" t="s">
        <v>335</v>
      </c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6"/>
    </row>
    <row r="22" spans="2:71" ht="2" customHeight="1" x14ac:dyDescent="0.35">
      <c r="O22" s="67"/>
      <c r="P22" s="103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70"/>
    </row>
    <row r="23" spans="2:71" ht="2" customHeight="1" x14ac:dyDescent="0.35">
      <c r="O23" s="58"/>
      <c r="P23" s="110"/>
      <c r="Q23" s="111"/>
      <c r="R23" s="112"/>
      <c r="S23" s="116"/>
      <c r="T23" s="111"/>
      <c r="U23" s="111"/>
      <c r="V23" s="111"/>
      <c r="W23" s="112"/>
      <c r="X23" s="111"/>
      <c r="Y23" s="111"/>
      <c r="Z23" s="111"/>
      <c r="AA23" s="111"/>
      <c r="AB23" s="112"/>
      <c r="AC23" s="111"/>
      <c r="AD23" s="111"/>
      <c r="AE23" s="111"/>
      <c r="AF23" s="111"/>
      <c r="AG23" s="112"/>
      <c r="AH23" s="65"/>
      <c r="AI23" s="65"/>
      <c r="AJ23" s="65"/>
      <c r="AK23" s="65"/>
      <c r="AL23" s="66"/>
    </row>
    <row r="24" spans="2:71" s="101" customFormat="1" ht="35" customHeight="1" x14ac:dyDescent="0.35">
      <c r="D24" s="102"/>
      <c r="E24" s="102"/>
      <c r="F24" s="102"/>
      <c r="G24" s="102"/>
      <c r="H24" s="102"/>
      <c r="O24" s="87"/>
      <c r="P24" s="92" t="s">
        <v>313</v>
      </c>
      <c r="Q24" s="88" t="s">
        <v>168</v>
      </c>
      <c r="R24" s="96"/>
      <c r="S24" s="117"/>
      <c r="T24" s="85" t="s">
        <v>319</v>
      </c>
      <c r="U24" s="85" t="s">
        <v>321</v>
      </c>
      <c r="V24" s="85" t="s">
        <v>224</v>
      </c>
      <c r="W24" s="113"/>
      <c r="X24" s="85"/>
      <c r="Y24" s="85" t="s">
        <v>240</v>
      </c>
      <c r="Z24" s="85" t="s">
        <v>320</v>
      </c>
      <c r="AA24" s="85" t="s">
        <v>269</v>
      </c>
      <c r="AB24" s="105"/>
      <c r="AC24" s="86"/>
      <c r="AD24" s="85" t="s">
        <v>319</v>
      </c>
      <c r="AE24" s="85" t="s">
        <v>321</v>
      </c>
      <c r="AF24" s="85" t="s">
        <v>224</v>
      </c>
      <c r="AG24" s="113"/>
      <c r="AH24" s="85"/>
      <c r="AI24" s="85" t="s">
        <v>240</v>
      </c>
      <c r="AJ24" s="85" t="s">
        <v>320</v>
      </c>
      <c r="AK24" s="85" t="s">
        <v>269</v>
      </c>
      <c r="AL24" s="105"/>
      <c r="BH24" s="122"/>
      <c r="BI24" s="122"/>
      <c r="BJ24" s="122"/>
    </row>
    <row r="25" spans="2:71" ht="2" customHeight="1" x14ac:dyDescent="0.35">
      <c r="O25" s="67"/>
      <c r="P25" s="91"/>
      <c r="Q25" s="69"/>
      <c r="R25" s="97"/>
      <c r="S25" s="118"/>
      <c r="T25" s="68"/>
      <c r="U25" s="68"/>
      <c r="V25" s="68"/>
      <c r="W25" s="70"/>
      <c r="X25" s="68"/>
      <c r="Y25" s="68"/>
      <c r="Z25" s="68"/>
      <c r="AA25" s="68"/>
      <c r="AB25" s="70"/>
      <c r="AC25" s="68"/>
      <c r="AD25" s="68"/>
      <c r="AE25" s="68"/>
      <c r="AF25" s="68"/>
      <c r="AG25" s="70"/>
      <c r="AH25" s="68"/>
      <c r="AI25" s="68"/>
      <c r="AJ25" s="68"/>
      <c r="AK25" s="68"/>
      <c r="AL25" s="70"/>
    </row>
    <row r="26" spans="2:71" ht="2" customHeight="1" x14ac:dyDescent="0.35">
      <c r="O26" s="62"/>
      <c r="P26" s="93"/>
      <c r="Q26" s="74"/>
      <c r="R26" s="98"/>
      <c r="S26" s="119"/>
      <c r="T26" s="73"/>
      <c r="U26" s="73"/>
      <c r="V26" s="73"/>
      <c r="W26" s="66"/>
      <c r="X26" s="73"/>
      <c r="Y26" s="73"/>
      <c r="Z26" s="73"/>
      <c r="AA26" s="73"/>
      <c r="AB26" s="66"/>
      <c r="AC26" s="73"/>
      <c r="AD26" s="73"/>
      <c r="AE26" s="73"/>
      <c r="AF26" s="73"/>
      <c r="AG26" s="66"/>
      <c r="AH26" s="73"/>
      <c r="AI26" s="73"/>
      <c r="AJ26" s="73"/>
      <c r="AK26" s="73"/>
      <c r="AL26" s="66"/>
    </row>
    <row r="27" spans="2:71" x14ac:dyDescent="0.35">
      <c r="O27" s="62"/>
      <c r="P27" s="93"/>
      <c r="Q27" s="74" t="s">
        <v>142</v>
      </c>
      <c r="R27" s="98"/>
      <c r="S27" s="119"/>
      <c r="T27" s="74" t="s">
        <v>142</v>
      </c>
      <c r="U27" s="74"/>
      <c r="V27" s="74"/>
      <c r="W27" s="98"/>
      <c r="X27" s="74"/>
      <c r="Y27" s="74"/>
      <c r="Z27" s="74"/>
      <c r="AA27" s="74"/>
      <c r="AB27" s="66"/>
      <c r="AC27" s="73"/>
      <c r="AD27" s="74" t="s">
        <v>316</v>
      </c>
      <c r="AE27" s="74"/>
      <c r="AF27" s="74"/>
      <c r="AG27" s="98"/>
      <c r="AH27" s="74"/>
      <c r="AI27" s="74" t="s">
        <v>316</v>
      </c>
      <c r="AJ27" s="74"/>
      <c r="AK27" s="74"/>
      <c r="AL27" s="66"/>
    </row>
    <row r="28" spans="2:71" ht="2" customHeight="1" x14ac:dyDescent="0.35">
      <c r="O28" s="67"/>
      <c r="P28" s="91"/>
      <c r="Q28" s="69"/>
      <c r="R28" s="97"/>
      <c r="S28" s="118"/>
      <c r="T28" s="69"/>
      <c r="U28" s="69"/>
      <c r="V28" s="69"/>
      <c r="W28" s="97"/>
      <c r="X28" s="69"/>
      <c r="Y28" s="69"/>
      <c r="Z28" s="69"/>
      <c r="AA28" s="69"/>
      <c r="AB28" s="70"/>
      <c r="AC28" s="68"/>
      <c r="AD28" s="69"/>
      <c r="AE28" s="69"/>
      <c r="AF28" s="69"/>
      <c r="AG28" s="97"/>
      <c r="AH28" s="69"/>
      <c r="AI28" s="69"/>
      <c r="AJ28" s="69"/>
      <c r="AK28" s="69"/>
      <c r="AL28" s="70"/>
    </row>
    <row r="29" spans="2:71" ht="2" customHeight="1" x14ac:dyDescent="0.35">
      <c r="O29" s="62"/>
      <c r="P29" s="93"/>
      <c r="Q29" s="74"/>
      <c r="R29" s="98"/>
      <c r="S29" s="119"/>
      <c r="T29" s="74"/>
      <c r="U29" s="74"/>
      <c r="V29" s="74"/>
      <c r="W29" s="98"/>
      <c r="X29" s="74"/>
      <c r="Y29" s="74"/>
      <c r="Z29" s="74"/>
      <c r="AA29" s="74"/>
      <c r="AB29" s="66"/>
      <c r="AC29" s="73"/>
      <c r="AD29" s="74"/>
      <c r="AE29" s="74"/>
      <c r="AF29" s="74"/>
      <c r="AG29" s="98"/>
      <c r="AH29" s="74"/>
      <c r="AI29" s="74"/>
      <c r="AJ29" s="74"/>
      <c r="AK29" s="74"/>
      <c r="AL29" s="66"/>
    </row>
    <row r="30" spans="2:71" x14ac:dyDescent="0.35">
      <c r="O30" s="62"/>
      <c r="P30" s="93">
        <v>1880</v>
      </c>
      <c r="Q30" s="74">
        <v>72</v>
      </c>
      <c r="R30" s="98"/>
      <c r="S30" s="119"/>
      <c r="T30" s="73">
        <v>61</v>
      </c>
      <c r="U30" s="73">
        <v>6</v>
      </c>
      <c r="V30" s="73">
        <v>6</v>
      </c>
      <c r="W30" s="66"/>
      <c r="X30" s="73"/>
      <c r="Y30" s="73">
        <v>19</v>
      </c>
      <c r="Z30" s="106">
        <v>10.7</v>
      </c>
      <c r="AA30" s="106">
        <v>31.8</v>
      </c>
      <c r="AB30" s="66"/>
      <c r="AC30" s="73"/>
      <c r="AD30" s="75">
        <f t="shared" ref="AD30:AF36" si="1">T30/$Q30</f>
        <v>0.84722222222222221</v>
      </c>
      <c r="AE30" s="75">
        <f t="shared" si="1"/>
        <v>8.3333333333333329E-2</v>
      </c>
      <c r="AF30" s="75">
        <f t="shared" si="1"/>
        <v>8.3333333333333329E-2</v>
      </c>
      <c r="AG30" s="114"/>
      <c r="AH30" s="75"/>
      <c r="AI30" s="75">
        <f t="shared" ref="AI30:AK36" si="2">Y30/$Q30</f>
        <v>0.2638888888888889</v>
      </c>
      <c r="AJ30" s="75">
        <f t="shared" si="2"/>
        <v>0.14861111111111111</v>
      </c>
      <c r="AK30" s="75">
        <f t="shared" si="2"/>
        <v>0.44166666666666665</v>
      </c>
      <c r="AL30" s="66"/>
    </row>
    <row r="31" spans="2:71" x14ac:dyDescent="0.35">
      <c r="O31" s="62"/>
      <c r="P31" s="93">
        <v>1885</v>
      </c>
      <c r="Q31" s="74">
        <v>103</v>
      </c>
      <c r="R31" s="98"/>
      <c r="S31" s="119"/>
      <c r="T31" s="73">
        <v>77</v>
      </c>
      <c r="U31" s="73">
        <v>10</v>
      </c>
      <c r="V31" s="73">
        <v>15</v>
      </c>
      <c r="W31" s="66"/>
      <c r="X31" s="73"/>
      <c r="Y31" s="73">
        <v>20</v>
      </c>
      <c r="Z31" s="106">
        <v>12.5</v>
      </c>
      <c r="AA31" s="106">
        <v>43.6</v>
      </c>
      <c r="AB31" s="66"/>
      <c r="AC31" s="73"/>
      <c r="AD31" s="75">
        <f t="shared" si="1"/>
        <v>0.74757281553398058</v>
      </c>
      <c r="AE31" s="75">
        <f t="shared" si="1"/>
        <v>9.7087378640776698E-2</v>
      </c>
      <c r="AF31" s="75">
        <f t="shared" si="1"/>
        <v>0.14563106796116504</v>
      </c>
      <c r="AG31" s="114"/>
      <c r="AH31" s="75"/>
      <c r="AI31" s="75">
        <f t="shared" si="2"/>
        <v>0.1941747572815534</v>
      </c>
      <c r="AJ31" s="75">
        <f t="shared" si="2"/>
        <v>0.12135922330097088</v>
      </c>
      <c r="AK31" s="75">
        <f t="shared" si="2"/>
        <v>0.42330097087378643</v>
      </c>
      <c r="AL31" s="66"/>
    </row>
    <row r="32" spans="2:71" x14ac:dyDescent="0.35">
      <c r="O32" s="62"/>
      <c r="P32" s="93">
        <v>1890</v>
      </c>
      <c r="Q32" s="74">
        <v>129</v>
      </c>
      <c r="R32" s="98"/>
      <c r="S32" s="119"/>
      <c r="T32" s="73">
        <v>100</v>
      </c>
      <c r="U32" s="73">
        <v>9</v>
      </c>
      <c r="V32" s="73">
        <v>20</v>
      </c>
      <c r="W32" s="66"/>
      <c r="X32" s="73"/>
      <c r="Y32" s="73">
        <v>37</v>
      </c>
      <c r="Z32" s="106">
        <v>24.6</v>
      </c>
      <c r="AA32" s="106">
        <v>45.7</v>
      </c>
      <c r="AB32" s="66"/>
      <c r="AC32" s="73"/>
      <c r="AD32" s="75">
        <f t="shared" si="1"/>
        <v>0.77519379844961245</v>
      </c>
      <c r="AE32" s="75">
        <f t="shared" si="1"/>
        <v>6.9767441860465115E-2</v>
      </c>
      <c r="AF32" s="75">
        <f t="shared" si="1"/>
        <v>0.15503875968992248</v>
      </c>
      <c r="AG32" s="114"/>
      <c r="AH32" s="75"/>
      <c r="AI32" s="75">
        <f t="shared" si="2"/>
        <v>0.2868217054263566</v>
      </c>
      <c r="AJ32" s="75">
        <f t="shared" si="2"/>
        <v>0.19069767441860466</v>
      </c>
      <c r="AK32" s="75">
        <f t="shared" si="2"/>
        <v>0.3542635658914729</v>
      </c>
      <c r="AL32" s="66"/>
    </row>
    <row r="33" spans="2:71" x14ac:dyDescent="0.35">
      <c r="O33" s="62"/>
      <c r="P33" s="93">
        <v>1895</v>
      </c>
      <c r="Q33" s="74">
        <v>165</v>
      </c>
      <c r="R33" s="98"/>
      <c r="S33" s="119"/>
      <c r="T33" s="73">
        <v>117</v>
      </c>
      <c r="U33" s="73">
        <v>25</v>
      </c>
      <c r="V33" s="73">
        <v>24</v>
      </c>
      <c r="W33" s="66"/>
      <c r="X33" s="73"/>
      <c r="Y33" s="73">
        <v>47</v>
      </c>
      <c r="Z33" s="106">
        <v>28.2</v>
      </c>
      <c r="AA33" s="106">
        <v>50.8</v>
      </c>
      <c r="AB33" s="66"/>
      <c r="AC33" s="73"/>
      <c r="AD33" s="75">
        <f t="shared" si="1"/>
        <v>0.70909090909090911</v>
      </c>
      <c r="AE33" s="75">
        <f t="shared" si="1"/>
        <v>0.15151515151515152</v>
      </c>
      <c r="AF33" s="75">
        <f t="shared" si="1"/>
        <v>0.14545454545454545</v>
      </c>
      <c r="AG33" s="114"/>
      <c r="AH33" s="75"/>
      <c r="AI33" s="75">
        <f t="shared" si="2"/>
        <v>0.28484848484848485</v>
      </c>
      <c r="AJ33" s="75">
        <f t="shared" si="2"/>
        <v>0.1709090909090909</v>
      </c>
      <c r="AK33" s="75">
        <f t="shared" si="2"/>
        <v>0.30787878787878786</v>
      </c>
      <c r="AL33" s="66"/>
    </row>
    <row r="34" spans="2:71" x14ac:dyDescent="0.35">
      <c r="O34" s="62"/>
      <c r="P34" s="93">
        <v>1900</v>
      </c>
      <c r="Q34" s="74">
        <v>382</v>
      </c>
      <c r="R34" s="98"/>
      <c r="S34" s="119"/>
      <c r="T34" s="73">
        <v>250</v>
      </c>
      <c r="U34" s="73">
        <v>96</v>
      </c>
      <c r="V34" s="73">
        <v>37</v>
      </c>
      <c r="W34" s="66"/>
      <c r="X34" s="73"/>
      <c r="Y34" s="73">
        <v>153</v>
      </c>
      <c r="Z34" s="106">
        <v>89</v>
      </c>
      <c r="AA34" s="106">
        <v>67.2</v>
      </c>
      <c r="AB34" s="66"/>
      <c r="AC34" s="73"/>
      <c r="AD34" s="75">
        <f t="shared" si="1"/>
        <v>0.65445026178010468</v>
      </c>
      <c r="AE34" s="75">
        <f t="shared" si="1"/>
        <v>0.2513089005235602</v>
      </c>
      <c r="AF34" s="75">
        <f t="shared" si="1"/>
        <v>9.6858638743455502E-2</v>
      </c>
      <c r="AG34" s="114"/>
      <c r="AH34" s="75"/>
      <c r="AI34" s="75">
        <f t="shared" si="2"/>
        <v>0.40052356020942409</v>
      </c>
      <c r="AJ34" s="75">
        <f t="shared" si="2"/>
        <v>0.23298429319371727</v>
      </c>
      <c r="AK34" s="75">
        <f t="shared" si="2"/>
        <v>0.17591623036649215</v>
      </c>
      <c r="AL34" s="66"/>
    </row>
    <row r="35" spans="2:71" x14ac:dyDescent="0.35">
      <c r="O35" s="62"/>
      <c r="P35" s="93">
        <v>1905</v>
      </c>
      <c r="Q35" s="74">
        <v>471</v>
      </c>
      <c r="R35" s="98"/>
      <c r="S35" s="119"/>
      <c r="T35" s="73">
        <v>302</v>
      </c>
      <c r="U35" s="73">
        <v>123</v>
      </c>
      <c r="V35" s="73">
        <v>45</v>
      </c>
      <c r="W35" s="66"/>
      <c r="X35" s="73"/>
      <c r="Y35" s="73">
        <v>185</v>
      </c>
      <c r="Z35" s="106">
        <v>112.3</v>
      </c>
      <c r="AA35" s="106">
        <v>73.599999999999994</v>
      </c>
      <c r="AB35" s="66"/>
      <c r="AC35" s="73"/>
      <c r="AD35" s="75">
        <f t="shared" si="1"/>
        <v>0.64118895966029721</v>
      </c>
      <c r="AE35" s="75">
        <f t="shared" si="1"/>
        <v>0.26114649681528662</v>
      </c>
      <c r="AF35" s="75">
        <f t="shared" si="1"/>
        <v>9.5541401273885357E-2</v>
      </c>
      <c r="AG35" s="114"/>
      <c r="AH35" s="75"/>
      <c r="AI35" s="75">
        <f t="shared" si="2"/>
        <v>0.39278131634819535</v>
      </c>
      <c r="AJ35" s="75">
        <f t="shared" si="2"/>
        <v>0.23842887473460722</v>
      </c>
      <c r="AK35" s="75">
        <f t="shared" si="2"/>
        <v>0.15626326963906581</v>
      </c>
      <c r="AL35" s="66"/>
    </row>
    <row r="36" spans="2:71" x14ac:dyDescent="0.35">
      <c r="O36" s="62"/>
      <c r="P36" s="93">
        <v>1910</v>
      </c>
      <c r="Q36" s="74">
        <v>634</v>
      </c>
      <c r="R36" s="98"/>
      <c r="S36" s="119"/>
      <c r="T36" s="73">
        <v>422</v>
      </c>
      <c r="U36" s="73">
        <v>152</v>
      </c>
      <c r="V36" s="73">
        <v>60</v>
      </c>
      <c r="W36" s="66"/>
      <c r="X36" s="73"/>
      <c r="Y36" s="73">
        <v>260</v>
      </c>
      <c r="Z36" s="106">
        <v>149.5</v>
      </c>
      <c r="AA36" s="106">
        <v>88.7</v>
      </c>
      <c r="AB36" s="66"/>
      <c r="AC36" s="73"/>
      <c r="AD36" s="75">
        <f t="shared" si="1"/>
        <v>0.66561514195583593</v>
      </c>
      <c r="AE36" s="75">
        <f t="shared" si="1"/>
        <v>0.23974763406940064</v>
      </c>
      <c r="AF36" s="75">
        <f t="shared" si="1"/>
        <v>9.4637223974763401E-2</v>
      </c>
      <c r="AG36" s="114"/>
      <c r="AH36" s="75"/>
      <c r="AI36" s="75">
        <f t="shared" si="2"/>
        <v>0.41009463722397477</v>
      </c>
      <c r="AJ36" s="75">
        <f t="shared" si="2"/>
        <v>0.23580441640378549</v>
      </c>
      <c r="AK36" s="75">
        <f t="shared" si="2"/>
        <v>0.13990536277602525</v>
      </c>
      <c r="AL36" s="66"/>
    </row>
    <row r="37" spans="2:71" ht="2" customHeight="1" x14ac:dyDescent="0.35">
      <c r="O37" s="67"/>
      <c r="P37" s="68"/>
      <c r="Q37" s="69"/>
      <c r="R37" s="97"/>
      <c r="S37" s="118"/>
      <c r="T37" s="68"/>
      <c r="U37" s="68"/>
      <c r="V37" s="68"/>
      <c r="W37" s="70"/>
      <c r="X37" s="68"/>
      <c r="Y37" s="68"/>
      <c r="Z37" s="107"/>
      <c r="AA37" s="68"/>
      <c r="AB37" s="70"/>
      <c r="AC37" s="68"/>
      <c r="AD37" s="108"/>
      <c r="AE37" s="108"/>
      <c r="AF37" s="108"/>
      <c r="AG37" s="115"/>
      <c r="AH37" s="108"/>
      <c r="AI37" s="108"/>
      <c r="AJ37" s="108"/>
      <c r="AK37" s="108"/>
      <c r="AL37" s="70"/>
    </row>
    <row r="39" spans="2:71" ht="2" customHeight="1" x14ac:dyDescent="0.35">
      <c r="B39" s="58"/>
      <c r="C39" s="59"/>
      <c r="D39" s="60"/>
      <c r="E39" s="60"/>
      <c r="F39" s="60"/>
      <c r="G39" s="60"/>
      <c r="H39" s="60"/>
      <c r="I39" s="59"/>
      <c r="J39" s="59"/>
      <c r="K39" s="59"/>
      <c r="L39" s="59"/>
      <c r="M39" s="61"/>
      <c r="O39" s="58"/>
      <c r="AB39" s="59"/>
      <c r="AC39" s="59"/>
    </row>
    <row r="40" spans="2:71" x14ac:dyDescent="0.35">
      <c r="B40" s="62"/>
      <c r="C40" s="63" t="s">
        <v>357</v>
      </c>
      <c r="D40" s="64"/>
      <c r="E40" s="64"/>
      <c r="F40" s="64"/>
      <c r="G40" s="64"/>
      <c r="H40" s="64"/>
      <c r="I40" s="65"/>
      <c r="J40" s="65"/>
      <c r="K40" s="65"/>
      <c r="L40" s="65"/>
      <c r="M40" s="66"/>
      <c r="O40" s="62"/>
      <c r="AB40" s="65"/>
      <c r="AC40" s="65"/>
    </row>
    <row r="41" spans="2:71" ht="2" customHeight="1" x14ac:dyDescent="0.35">
      <c r="B41" s="67"/>
      <c r="C41" s="68"/>
      <c r="D41" s="69"/>
      <c r="E41" s="69"/>
      <c r="F41" s="69"/>
      <c r="G41" s="69"/>
      <c r="H41" s="69"/>
      <c r="I41" s="68"/>
      <c r="J41" s="68"/>
      <c r="K41" s="68"/>
      <c r="L41" s="68"/>
      <c r="M41" s="70"/>
      <c r="O41" s="67"/>
      <c r="AB41" s="68"/>
      <c r="AC41" s="68"/>
    </row>
    <row r="42" spans="2:71" ht="2" customHeight="1" x14ac:dyDescent="0.35">
      <c r="B42" s="58"/>
      <c r="C42" s="59"/>
      <c r="D42" s="60"/>
      <c r="E42" s="95"/>
      <c r="F42" s="60"/>
      <c r="G42" s="60"/>
      <c r="H42" s="60"/>
      <c r="I42" s="59"/>
      <c r="J42" s="58"/>
      <c r="K42" s="59"/>
      <c r="L42" s="59"/>
      <c r="M42" s="61"/>
      <c r="O42" s="58"/>
      <c r="AB42" s="59"/>
      <c r="AC42" s="58"/>
    </row>
    <row r="43" spans="2:71" s="34" customFormat="1" ht="35" customHeight="1" x14ac:dyDescent="0.35">
      <c r="B43" s="71"/>
      <c r="C43" s="92" t="s">
        <v>313</v>
      </c>
      <c r="D43" s="88" t="s">
        <v>317</v>
      </c>
      <c r="E43" s="100"/>
      <c r="F43" s="88"/>
      <c r="G43" s="89" t="s">
        <v>41</v>
      </c>
      <c r="H43" s="89" t="s">
        <v>4</v>
      </c>
      <c r="I43" s="89"/>
      <c r="J43" s="90"/>
      <c r="K43" s="89" t="s">
        <v>41</v>
      </c>
      <c r="L43" s="89" t="s">
        <v>4</v>
      </c>
      <c r="M43" s="72"/>
      <c r="O43" s="71"/>
      <c r="AB43" s="89"/>
      <c r="AC43" s="90"/>
      <c r="BH43" s="120"/>
      <c r="BI43" s="120"/>
      <c r="BJ43" s="120"/>
      <c r="BR43" s="56"/>
      <c r="BS43" s="56"/>
    </row>
    <row r="44" spans="2:71" ht="2" customHeight="1" x14ac:dyDescent="0.35">
      <c r="B44" s="67"/>
      <c r="C44" s="91"/>
      <c r="D44" s="69"/>
      <c r="E44" s="97"/>
      <c r="F44" s="69"/>
      <c r="G44" s="69"/>
      <c r="H44" s="69"/>
      <c r="I44" s="68"/>
      <c r="J44" s="67"/>
      <c r="K44" s="68"/>
      <c r="L44" s="68"/>
      <c r="M44" s="70"/>
      <c r="O44" s="67"/>
      <c r="AB44" s="68"/>
      <c r="AC44" s="67"/>
    </row>
    <row r="45" spans="2:71" ht="2" customHeight="1" x14ac:dyDescent="0.35">
      <c r="B45" s="62"/>
      <c r="C45" s="93"/>
      <c r="D45" s="74"/>
      <c r="E45" s="98"/>
      <c r="F45" s="74"/>
      <c r="G45" s="74"/>
      <c r="H45" s="74"/>
      <c r="I45" s="73"/>
      <c r="J45" s="62"/>
      <c r="K45" s="73"/>
      <c r="L45" s="73"/>
      <c r="M45" s="66"/>
      <c r="O45" s="62"/>
      <c r="AB45" s="73"/>
      <c r="AC45" s="62"/>
    </row>
    <row r="46" spans="2:71" s="79" customFormat="1" ht="12" customHeight="1" x14ac:dyDescent="0.3">
      <c r="B46" s="76"/>
      <c r="C46" s="94"/>
      <c r="D46" s="81" t="s">
        <v>142</v>
      </c>
      <c r="E46" s="99"/>
      <c r="F46" s="81"/>
      <c r="G46" s="81" t="s">
        <v>142</v>
      </c>
      <c r="H46" s="81" t="s">
        <v>142</v>
      </c>
      <c r="I46" s="82"/>
      <c r="J46" s="83"/>
      <c r="K46" s="82" t="s">
        <v>315</v>
      </c>
      <c r="L46" s="82" t="s">
        <v>315</v>
      </c>
      <c r="M46" s="78"/>
      <c r="O46" s="76"/>
      <c r="AB46" s="82"/>
      <c r="AC46" s="83"/>
      <c r="BH46" s="121"/>
      <c r="BI46" s="121"/>
      <c r="BJ46" s="121"/>
      <c r="BR46" s="80"/>
      <c r="BS46" s="80"/>
    </row>
    <row r="47" spans="2:71" ht="2" customHeight="1" x14ac:dyDescent="0.35">
      <c r="B47" s="67"/>
      <c r="C47" s="91"/>
      <c r="D47" s="69"/>
      <c r="E47" s="97"/>
      <c r="F47" s="69"/>
      <c r="G47" s="69"/>
      <c r="H47" s="69"/>
      <c r="I47" s="68"/>
      <c r="J47" s="67"/>
      <c r="K47" s="68"/>
      <c r="L47" s="68"/>
      <c r="M47" s="70"/>
      <c r="O47" s="67"/>
      <c r="AB47" s="68"/>
      <c r="AC47" s="67"/>
      <c r="BR47" s="54"/>
      <c r="BS47" s="54"/>
    </row>
    <row r="48" spans="2:71" ht="2" customHeight="1" x14ac:dyDescent="0.35">
      <c r="B48" s="62"/>
      <c r="C48" s="93"/>
      <c r="D48" s="74"/>
      <c r="E48" s="98"/>
      <c r="F48" s="74"/>
      <c r="G48" s="74"/>
      <c r="H48" s="74"/>
      <c r="I48" s="73"/>
      <c r="J48" s="62"/>
      <c r="K48" s="73"/>
      <c r="L48" s="73"/>
      <c r="M48" s="66"/>
      <c r="O48" s="62"/>
      <c r="AB48" s="73"/>
      <c r="AC48" s="62"/>
      <c r="BR48" s="54"/>
      <c r="BS48" s="54"/>
    </row>
    <row r="49" spans="2:71" x14ac:dyDescent="0.35">
      <c r="B49" s="62"/>
      <c r="C49" s="93">
        <v>1880</v>
      </c>
      <c r="D49" s="74">
        <v>804</v>
      </c>
      <c r="E49" s="98"/>
      <c r="F49" s="74"/>
      <c r="G49" s="74">
        <v>239.3</v>
      </c>
      <c r="H49" s="74">
        <v>236.8</v>
      </c>
      <c r="I49" s="73"/>
      <c r="J49" s="62"/>
      <c r="K49" s="75">
        <f t="shared" ref="K49:L55" si="3">G49/$D49</f>
        <v>0.29763681592039803</v>
      </c>
      <c r="L49" s="75">
        <f t="shared" si="3"/>
        <v>0.29452736318407963</v>
      </c>
      <c r="M49" s="66"/>
      <c r="O49" s="62"/>
      <c r="AB49" s="73"/>
      <c r="AC49" s="62"/>
      <c r="BR49" s="54"/>
      <c r="BS49" s="54"/>
    </row>
    <row r="50" spans="2:71" x14ac:dyDescent="0.35">
      <c r="B50" s="62"/>
      <c r="C50" s="93">
        <v>1885</v>
      </c>
      <c r="D50" s="74">
        <v>571</v>
      </c>
      <c r="E50" s="98"/>
      <c r="F50" s="74"/>
      <c r="G50" s="74">
        <v>184.4</v>
      </c>
      <c r="H50" s="74">
        <v>83.1</v>
      </c>
      <c r="I50" s="73"/>
      <c r="J50" s="62"/>
      <c r="K50" s="75">
        <f t="shared" si="3"/>
        <v>0.32294220665499124</v>
      </c>
      <c r="L50" s="75">
        <f t="shared" si="3"/>
        <v>0.14553415061295971</v>
      </c>
      <c r="M50" s="66"/>
      <c r="O50" s="62"/>
      <c r="AB50" s="73"/>
      <c r="AC50" s="62"/>
      <c r="BR50" s="54"/>
      <c r="BS50" s="54"/>
    </row>
    <row r="51" spans="2:71" x14ac:dyDescent="0.35">
      <c r="B51" s="62"/>
      <c r="C51" s="93">
        <v>1890</v>
      </c>
      <c r="D51" s="74">
        <v>717</v>
      </c>
      <c r="E51" s="98"/>
      <c r="F51" s="74"/>
      <c r="G51" s="74">
        <v>254.3</v>
      </c>
      <c r="H51" s="74">
        <v>85.6</v>
      </c>
      <c r="I51" s="73"/>
      <c r="J51" s="62"/>
      <c r="K51" s="75">
        <f t="shared" si="3"/>
        <v>0.35467224546722459</v>
      </c>
      <c r="L51" s="75">
        <f t="shared" si="3"/>
        <v>0.11938633193863318</v>
      </c>
      <c r="M51" s="66"/>
      <c r="O51" s="62"/>
      <c r="AB51" s="73"/>
      <c r="AC51" s="62"/>
      <c r="BR51" s="54"/>
      <c r="BS51" s="54"/>
    </row>
    <row r="52" spans="2:71" x14ac:dyDescent="0.35">
      <c r="B52" s="62"/>
      <c r="C52" s="93">
        <v>1895</v>
      </c>
      <c r="D52" s="74">
        <v>643</v>
      </c>
      <c r="E52" s="98"/>
      <c r="F52" s="74"/>
      <c r="G52" s="74">
        <v>189.9</v>
      </c>
      <c r="H52" s="74">
        <v>70.900000000000006</v>
      </c>
      <c r="I52" s="73"/>
      <c r="J52" s="62"/>
      <c r="K52" s="75">
        <f t="shared" si="3"/>
        <v>0.29533437013996888</v>
      </c>
      <c r="L52" s="75">
        <f t="shared" si="3"/>
        <v>0.11026438569206844</v>
      </c>
      <c r="M52" s="66"/>
      <c r="O52" s="62"/>
      <c r="AB52" s="73"/>
      <c r="AC52" s="62"/>
      <c r="AR52" t="s">
        <v>326</v>
      </c>
      <c r="AS52">
        <v>1880</v>
      </c>
      <c r="BR52" s="54"/>
      <c r="BS52" s="54"/>
    </row>
    <row r="53" spans="2:71" x14ac:dyDescent="0.35">
      <c r="B53" s="62"/>
      <c r="C53" s="93">
        <v>1900</v>
      </c>
      <c r="D53" s="74">
        <v>1071</v>
      </c>
      <c r="E53" s="98"/>
      <c r="F53" s="74"/>
      <c r="G53" s="74">
        <v>315.89999999999998</v>
      </c>
      <c r="H53" s="74">
        <v>172.3</v>
      </c>
      <c r="I53" s="73"/>
      <c r="J53" s="62"/>
      <c r="K53" s="75">
        <f t="shared" si="3"/>
        <v>0.29495798319327726</v>
      </c>
      <c r="L53" s="75">
        <f t="shared" si="3"/>
        <v>0.16087768440709618</v>
      </c>
      <c r="M53" s="66"/>
      <c r="O53" s="62"/>
      <c r="AB53" s="73"/>
      <c r="AC53" s="62"/>
      <c r="AR53" t="s">
        <v>325</v>
      </c>
      <c r="AS53">
        <v>1910</v>
      </c>
      <c r="BR53" s="54"/>
      <c r="BS53" s="54"/>
    </row>
    <row r="54" spans="2:71" x14ac:dyDescent="0.35">
      <c r="B54" s="62"/>
      <c r="C54" s="93">
        <v>1905</v>
      </c>
      <c r="D54" s="74">
        <v>1128</v>
      </c>
      <c r="E54" s="98"/>
      <c r="F54" s="74"/>
      <c r="G54" s="74">
        <v>393.3</v>
      </c>
      <c r="H54" s="74">
        <v>94.9</v>
      </c>
      <c r="I54" s="73"/>
      <c r="J54" s="62"/>
      <c r="K54" s="75">
        <f t="shared" si="3"/>
        <v>0.34867021276595744</v>
      </c>
      <c r="L54" s="75">
        <f t="shared" si="3"/>
        <v>8.4131205673758869E-2</v>
      </c>
      <c r="M54" s="66"/>
      <c r="O54" s="62"/>
      <c r="AB54" s="73"/>
      <c r="AC54" s="62"/>
      <c r="BR54" s="54"/>
      <c r="BS54" s="54"/>
    </row>
    <row r="55" spans="2:71" x14ac:dyDescent="0.35">
      <c r="B55" s="62"/>
      <c r="C55" s="93">
        <v>1910</v>
      </c>
      <c r="D55" s="74">
        <v>1195</v>
      </c>
      <c r="E55" s="98"/>
      <c r="F55" s="74"/>
      <c r="G55" s="74">
        <v>530.79999999999995</v>
      </c>
      <c r="H55" s="74">
        <v>57.1</v>
      </c>
      <c r="I55" s="73"/>
      <c r="J55" s="62"/>
      <c r="K55" s="75">
        <f t="shared" si="3"/>
        <v>0.44418410041841</v>
      </c>
      <c r="L55" s="75">
        <f t="shared" si="3"/>
        <v>4.7782426778242681E-2</v>
      </c>
      <c r="M55" s="66"/>
      <c r="O55" s="62"/>
      <c r="AB55" s="73"/>
      <c r="AC55" s="62"/>
      <c r="BR55" s="54"/>
      <c r="BS55" s="54"/>
    </row>
    <row r="56" spans="2:71" ht="2" customHeight="1" x14ac:dyDescent="0.35">
      <c r="B56" s="67"/>
      <c r="C56" s="68"/>
      <c r="D56" s="69"/>
      <c r="E56" s="97"/>
      <c r="F56" s="69"/>
      <c r="G56" s="69"/>
      <c r="H56" s="69"/>
      <c r="I56" s="68"/>
      <c r="J56" s="67"/>
      <c r="K56" s="68"/>
      <c r="L56" s="68"/>
      <c r="M56" s="70"/>
      <c r="O56" s="67"/>
      <c r="AB56" s="68"/>
      <c r="AC56" s="67"/>
    </row>
    <row r="57" spans="2:71" ht="2" customHeight="1" x14ac:dyDescent="0.35"/>
    <row r="60" spans="2:71" x14ac:dyDescent="0.35">
      <c r="AR60" t="s">
        <v>328</v>
      </c>
      <c r="AS60" t="s">
        <v>324</v>
      </c>
      <c r="AT60" t="s">
        <v>338</v>
      </c>
      <c r="AU60">
        <v>1895</v>
      </c>
      <c r="AV60">
        <f>AS53</f>
        <v>1910</v>
      </c>
      <c r="AY60" s="13">
        <f>381/634</f>
        <v>0.60094637223974767</v>
      </c>
      <c r="BH60" s="13" t="s">
        <v>331</v>
      </c>
      <c r="BI60" s="13" t="s">
        <v>332</v>
      </c>
      <c r="BJ60" s="13" t="s">
        <v>333</v>
      </c>
    </row>
    <row r="61" spans="2:71" x14ac:dyDescent="0.35">
      <c r="AT61" t="s">
        <v>356</v>
      </c>
      <c r="AU61">
        <v>4</v>
      </c>
      <c r="BH61" s="13" t="s">
        <v>330</v>
      </c>
      <c r="BI61" s="13" t="s">
        <v>330</v>
      </c>
      <c r="BJ61" s="13" t="s">
        <v>330</v>
      </c>
    </row>
    <row r="62" spans="2:71" ht="2" customHeight="1" x14ac:dyDescent="0.35">
      <c r="AP62" s="55"/>
      <c r="AQ62" s="55"/>
      <c r="AU62" s="17"/>
      <c r="AV62" s="124"/>
      <c r="AW62" s="55"/>
      <c r="AX62" s="55"/>
      <c r="AY62" s="124"/>
      <c r="AZ62" s="13"/>
      <c r="BA62" s="55"/>
      <c r="BB62" s="55"/>
      <c r="BC62" s="13"/>
      <c r="BD62" s="13"/>
      <c r="BE62" s="13"/>
      <c r="BF62" s="55"/>
      <c r="BG62" s="55"/>
    </row>
    <row r="63" spans="2:71" ht="2" customHeight="1" x14ac:dyDescent="0.35">
      <c r="AP63" s="55"/>
      <c r="AQ63" s="126"/>
      <c r="AR63" s="59"/>
      <c r="AS63" s="59"/>
      <c r="AT63" s="59"/>
      <c r="AU63" s="127"/>
      <c r="AV63" s="128"/>
      <c r="AW63" s="129"/>
      <c r="AX63" s="129"/>
      <c r="AY63" s="128"/>
      <c r="AZ63" s="130"/>
      <c r="BA63" s="129"/>
      <c r="BB63" s="129"/>
      <c r="BC63" s="130"/>
      <c r="BD63" s="130"/>
      <c r="BE63" s="130"/>
      <c r="BF63" s="131"/>
      <c r="BG63" s="55"/>
    </row>
    <row r="64" spans="2:71" x14ac:dyDescent="0.35">
      <c r="AQ64" s="62"/>
      <c r="AR64" s="73"/>
      <c r="AS64" s="63"/>
      <c r="AT64" s="63" t="str">
        <f>"Table "&amp;AU61&amp;": Growth in US Exports, "&amp;AU60&amp;" - "&amp;AV60&amp;" - Detail"</f>
        <v>Table 4: Growth in US Exports, 1895 - 1910 - Detail</v>
      </c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6"/>
    </row>
    <row r="65" spans="4:62" ht="2" customHeight="1" x14ac:dyDescent="0.35">
      <c r="AP65" s="55"/>
      <c r="AQ65" s="132"/>
      <c r="AR65" s="68"/>
      <c r="AS65" s="68"/>
      <c r="AT65" s="68"/>
      <c r="AU65" s="107"/>
      <c r="AV65" s="133"/>
      <c r="AW65" s="134"/>
      <c r="AX65" s="134"/>
      <c r="AY65" s="133"/>
      <c r="AZ65" s="108"/>
      <c r="BA65" s="134"/>
      <c r="BB65" s="134"/>
      <c r="BC65" s="108"/>
      <c r="BD65" s="108"/>
      <c r="BE65" s="108"/>
      <c r="BF65" s="135"/>
      <c r="BG65" s="55"/>
    </row>
    <row r="66" spans="4:62" ht="2" customHeight="1" x14ac:dyDescent="0.35">
      <c r="AP66" s="55"/>
      <c r="AQ66" s="136"/>
      <c r="AR66" s="73"/>
      <c r="AS66" s="73"/>
      <c r="AT66" s="73"/>
      <c r="AU66" s="106"/>
      <c r="AV66" s="137"/>
      <c r="AW66" s="138"/>
      <c r="AX66" s="126"/>
      <c r="AY66" s="128"/>
      <c r="AZ66" s="130"/>
      <c r="BA66" s="131"/>
      <c r="BB66" s="138"/>
      <c r="BC66" s="75"/>
      <c r="BD66" s="75"/>
      <c r="BE66" s="75"/>
      <c r="BF66" s="139"/>
      <c r="BG66" s="55"/>
    </row>
    <row r="67" spans="4:62" x14ac:dyDescent="0.35">
      <c r="AQ67" s="62"/>
      <c r="AR67" s="73"/>
      <c r="AS67" s="73"/>
      <c r="AT67" s="73"/>
      <c r="AU67" s="63" t="s">
        <v>323</v>
      </c>
      <c r="AV67" s="63"/>
      <c r="AW67" s="73"/>
      <c r="AX67" s="62"/>
      <c r="AY67" s="63" t="str">
        <f>"Change"</f>
        <v>Change</v>
      </c>
      <c r="AZ67" s="63"/>
      <c r="BA67" s="66"/>
      <c r="BB67" s="73"/>
      <c r="BC67" s="63" t="s">
        <v>340</v>
      </c>
      <c r="BD67" s="63"/>
      <c r="BE67" s="63"/>
      <c r="BF67" s="66"/>
    </row>
    <row r="68" spans="4:62" ht="2" customHeight="1" x14ac:dyDescent="0.35">
      <c r="AP68" s="55"/>
      <c r="AQ68" s="132"/>
      <c r="AR68" s="68"/>
      <c r="AS68" s="68"/>
      <c r="AT68" s="68"/>
      <c r="AU68" s="107"/>
      <c r="AV68" s="133"/>
      <c r="AW68" s="134"/>
      <c r="AX68" s="132"/>
      <c r="AY68" s="133"/>
      <c r="AZ68" s="108"/>
      <c r="BA68" s="135"/>
      <c r="BB68" s="134"/>
      <c r="BC68" s="108"/>
      <c r="BD68" s="108"/>
      <c r="BE68" s="108"/>
      <c r="BF68" s="135"/>
      <c r="BG68" s="55"/>
    </row>
    <row r="69" spans="4:62" ht="2" customHeight="1" x14ac:dyDescent="0.35">
      <c r="AP69" s="55"/>
      <c r="AQ69" s="136"/>
      <c r="AR69" s="73"/>
      <c r="AS69" s="73"/>
      <c r="AT69" s="73"/>
      <c r="AU69" s="106"/>
      <c r="AV69" s="137"/>
      <c r="AW69" s="138"/>
      <c r="AX69" s="136"/>
      <c r="AY69" s="137"/>
      <c r="AZ69" s="75"/>
      <c r="BA69" s="139"/>
      <c r="BB69" s="138"/>
      <c r="BC69" s="75"/>
      <c r="BD69" s="75"/>
      <c r="BE69" s="75"/>
      <c r="BF69" s="139"/>
      <c r="BG69" s="55"/>
    </row>
    <row r="70" spans="4:62" x14ac:dyDescent="0.35">
      <c r="AP70" s="125"/>
      <c r="AQ70" s="140"/>
      <c r="AR70" s="73"/>
      <c r="AS70" s="73"/>
      <c r="AT70" s="73"/>
      <c r="AU70" s="141">
        <f>AU60</f>
        <v>1895</v>
      </c>
      <c r="AV70" s="141">
        <f>AV60</f>
        <v>1910</v>
      </c>
      <c r="AW70" s="141"/>
      <c r="AX70" s="140"/>
      <c r="AY70" s="141"/>
      <c r="AZ70" s="141"/>
      <c r="BA70" s="180"/>
      <c r="BB70" s="141"/>
      <c r="BC70" s="141">
        <f>AU60</f>
        <v>1895</v>
      </c>
      <c r="BD70" s="141">
        <f>AV60</f>
        <v>1910</v>
      </c>
      <c r="BE70" s="141" t="s">
        <v>341</v>
      </c>
      <c r="BF70" s="66"/>
    </row>
    <row r="71" spans="4:62" x14ac:dyDescent="0.35">
      <c r="AP71" s="125"/>
      <c r="AQ71" s="140"/>
      <c r="AR71" s="73"/>
      <c r="AS71" s="73"/>
      <c r="AT71" s="73"/>
      <c r="AU71" s="141" t="s">
        <v>142</v>
      </c>
      <c r="AV71" s="141" t="s">
        <v>142</v>
      </c>
      <c r="AW71" s="141"/>
      <c r="AX71" s="140"/>
      <c r="AY71" s="141" t="s">
        <v>142</v>
      </c>
      <c r="AZ71" s="141" t="s">
        <v>339</v>
      </c>
      <c r="BA71" s="180"/>
      <c r="BB71" s="141"/>
      <c r="BC71" s="141" t="s">
        <v>339</v>
      </c>
      <c r="BD71" s="141" t="s">
        <v>339</v>
      </c>
      <c r="BE71" s="141" t="s">
        <v>339</v>
      </c>
      <c r="BF71" s="66"/>
    </row>
    <row r="72" spans="4:62" ht="2" customHeight="1" x14ac:dyDescent="0.35">
      <c r="AP72" s="55"/>
      <c r="AQ72" s="132"/>
      <c r="AR72" s="68"/>
      <c r="AS72" s="68"/>
      <c r="AT72" s="68"/>
      <c r="AU72" s="107"/>
      <c r="AV72" s="133"/>
      <c r="AW72" s="134"/>
      <c r="AX72" s="132"/>
      <c r="AY72" s="133"/>
      <c r="AZ72" s="108"/>
      <c r="BA72" s="135"/>
      <c r="BB72" s="134"/>
      <c r="BC72" s="108"/>
      <c r="BD72" s="108"/>
      <c r="BE72" s="108"/>
      <c r="BF72" s="135"/>
      <c r="BG72" s="55"/>
    </row>
    <row r="73" spans="4:62" ht="2" customHeight="1" x14ac:dyDescent="0.35">
      <c r="AP73" s="55"/>
      <c r="AQ73" s="136"/>
      <c r="AR73" s="73"/>
      <c r="AS73" s="73"/>
      <c r="AT73" s="73"/>
      <c r="AU73" s="106"/>
      <c r="AV73" s="137"/>
      <c r="AW73" s="138"/>
      <c r="AX73" s="136"/>
      <c r="AY73" s="137"/>
      <c r="AZ73" s="75"/>
      <c r="BA73" s="139"/>
      <c r="BB73" s="138"/>
      <c r="BC73" s="75"/>
      <c r="BD73" s="75"/>
      <c r="BE73" s="75"/>
      <c r="BF73" s="139"/>
      <c r="BG73" s="55"/>
    </row>
    <row r="74" spans="4:62" s="123" customFormat="1" x14ac:dyDescent="0.35">
      <c r="D74" s="161"/>
      <c r="E74" s="161"/>
      <c r="F74" s="161"/>
      <c r="G74" s="161"/>
      <c r="H74" s="161"/>
      <c r="AP74" s="162"/>
      <c r="AQ74" s="163"/>
      <c r="AR74" s="142" t="str">
        <f ca="1">OFFSET(ArrangedForR!$A$1,MATCH(Tables!$AS74,ArrangedForR!$F$2:$F$281,0),4)</f>
        <v>Grand Total</v>
      </c>
      <c r="AS74" s="142">
        <v>220</v>
      </c>
      <c r="AT74" s="142" t="s">
        <v>180</v>
      </c>
      <c r="AU74" s="157">
        <f ca="1">OFFSET(ArrangedForR!$A$1,MATCH(Tables!$AS74,ArrangedForR!$F$2:$F$281,0),MATCH(Tables!AU$60,ArrangedForR!$G$1:$AY$1,0)+5)</f>
        <v>808</v>
      </c>
      <c r="AV74" s="158">
        <f ca="1">OFFSET(ArrangedForR!$A$1,MATCH(Tables!$AS74,ArrangedForR!$F$2:$F$281,0),MATCH(Tables!AV$60,ArrangedForR!$G$1:$AY$1,0)+5)</f>
        <v>1829</v>
      </c>
      <c r="AW74" s="159"/>
      <c r="AX74" s="163"/>
      <c r="AY74" s="158">
        <f ca="1">AV74-AU74</f>
        <v>1021</v>
      </c>
      <c r="AZ74" s="160">
        <f ca="1">AV74/AU74-1</f>
        <v>1.2636138613861387</v>
      </c>
      <c r="BA74" s="164"/>
      <c r="BB74" s="159"/>
      <c r="BC74" s="160"/>
      <c r="BD74" s="160"/>
      <c r="BE74" s="160"/>
      <c r="BF74" s="164"/>
      <c r="BG74" s="162"/>
      <c r="BH74" s="165"/>
      <c r="BI74" s="165"/>
      <c r="BJ74" s="165"/>
    </row>
    <row r="75" spans="4:62" ht="2" customHeight="1" x14ac:dyDescent="0.35">
      <c r="AP75" s="55"/>
      <c r="AQ75" s="132"/>
      <c r="AR75" s="68"/>
      <c r="AS75" s="68"/>
      <c r="AT75" s="68"/>
      <c r="AU75" s="107"/>
      <c r="AV75" s="133"/>
      <c r="AW75" s="134"/>
      <c r="AX75" s="132"/>
      <c r="AY75" s="133"/>
      <c r="AZ75" s="108"/>
      <c r="BA75" s="135"/>
      <c r="BB75" s="134"/>
      <c r="BC75" s="108"/>
      <c r="BD75" s="108"/>
      <c r="BE75" s="108"/>
      <c r="BF75" s="135"/>
      <c r="BG75" s="55"/>
    </row>
    <row r="76" spans="4:62" ht="2" customHeight="1" x14ac:dyDescent="0.35">
      <c r="AP76" s="55"/>
      <c r="AQ76" s="136"/>
      <c r="AR76" s="73"/>
      <c r="AS76" s="73"/>
      <c r="AT76" s="73"/>
      <c r="AU76" s="106"/>
      <c r="AV76" s="137"/>
      <c r="AW76" s="138"/>
      <c r="AX76" s="136"/>
      <c r="AY76" s="137"/>
      <c r="AZ76" s="75"/>
      <c r="BA76" s="139"/>
      <c r="BB76" s="138"/>
      <c r="BC76" s="75"/>
      <c r="BD76" s="75"/>
      <c r="BE76" s="75"/>
      <c r="BF76" s="139"/>
      <c r="BG76" s="55"/>
    </row>
    <row r="77" spans="4:62" x14ac:dyDescent="0.35">
      <c r="AP77" s="55"/>
      <c r="AQ77" s="166"/>
      <c r="AR77" s="167" t="str">
        <f ca="1">OFFSET(ArrangedForR!$A$1,MATCH(Tables!$AS77,ArrangedForR!$F$2:$F$281,0),4)</f>
        <v>Total products other than those of animal or vegetable origin</v>
      </c>
      <c r="AS77" s="169">
        <v>221</v>
      </c>
      <c r="AT77" s="169" t="s">
        <v>322</v>
      </c>
      <c r="AU77" s="170">
        <f ca="1">OFFSET(ArrangedForR!$A$1,MATCH(Tables!$AS77,ArrangedForR!$F$2:$F$281,0),MATCH(Tables!AU$60,ArrangedForR!$G$1:$AY$1,0)+5)</f>
        <v>165</v>
      </c>
      <c r="AV77" s="171">
        <f ca="1">OFFSET(ArrangedForR!$A$1,MATCH(Tables!$AS77,ArrangedForR!$F$2:$F$281,0),MATCH(Tables!AV$60,ArrangedForR!$G$1:$AY$1,0)+5)</f>
        <v>634</v>
      </c>
      <c r="AW77" s="172"/>
      <c r="AX77" s="181"/>
      <c r="AY77" s="171">
        <f ca="1">AV77-AU77</f>
        <v>469</v>
      </c>
      <c r="AZ77" s="173">
        <f ca="1">AV77/AU77-1</f>
        <v>2.8424242424242423</v>
      </c>
      <c r="BA77" s="182"/>
      <c r="BB77" s="172"/>
      <c r="BC77" s="173">
        <f t="shared" ref="BC77:BD92" ca="1" si="4">AU77/AU$74</f>
        <v>0.2042079207920792</v>
      </c>
      <c r="BD77" s="173">
        <f t="shared" ca="1" si="4"/>
        <v>0.3466375068343357</v>
      </c>
      <c r="BE77" s="173">
        <f ca="1">AY77/AY$74</f>
        <v>0.45935357492654261</v>
      </c>
      <c r="BF77" s="168"/>
      <c r="BG77" s="55"/>
      <c r="BH77" s="13">
        <f ca="1">AU77/AU$74</f>
        <v>0.2042079207920792</v>
      </c>
      <c r="BI77" s="13">
        <f t="shared" ref="BI77" ca="1" si="5">AV77/AV$74</f>
        <v>0.3466375068343357</v>
      </c>
      <c r="BJ77" s="13">
        <f ca="1">AY77/AY$74</f>
        <v>0.45935357492654261</v>
      </c>
    </row>
    <row r="78" spans="4:62" ht="2" customHeight="1" x14ac:dyDescent="0.35">
      <c r="AP78" s="55"/>
      <c r="AQ78" s="136"/>
      <c r="AR78" s="73"/>
      <c r="AS78" s="142"/>
      <c r="AT78" s="142"/>
      <c r="AU78" s="157"/>
      <c r="AV78" s="158"/>
      <c r="AW78" s="159"/>
      <c r="AX78" s="163"/>
      <c r="AY78" s="158"/>
      <c r="AZ78" s="160"/>
      <c r="BA78" s="164"/>
      <c r="BB78" s="159"/>
      <c r="BC78" s="160"/>
      <c r="BD78" s="160"/>
      <c r="BE78" s="160"/>
      <c r="BF78" s="139"/>
      <c r="BG78" s="55"/>
    </row>
    <row r="79" spans="4:62" x14ac:dyDescent="0.35">
      <c r="AP79" s="55"/>
      <c r="AQ79" s="136"/>
      <c r="AR79" s="143" t="str">
        <f ca="1">OFFSET(ArrangedForR!$A$1,MATCH(Tables!$AS79,ArrangedForR!$F$2:$F$281,0),4)</f>
        <v>Manufactured products, including rubber, books, and other printed matter</v>
      </c>
      <c r="AS79" s="175">
        <v>147</v>
      </c>
      <c r="AT79" s="174" t="s">
        <v>342</v>
      </c>
      <c r="AU79" s="176">
        <f ca="1">OFFSET(ArrangedForR!$A$1,MATCH(Tables!$AS79,ArrangedForR!$F$2:$F$281,0),MATCH(Tables!AU$60,ArrangedForR!$G$1:$AY$1,0)+5)</f>
        <v>117</v>
      </c>
      <c r="AV79" s="177">
        <f ca="1">OFFSET(ArrangedForR!$A$1,MATCH(Tables!$AS79,ArrangedForR!$F$2:$F$281,0),MATCH(Tables!AV$60,ArrangedForR!$G$1:$AY$1,0)+5)</f>
        <v>422</v>
      </c>
      <c r="AW79" s="178"/>
      <c r="AX79" s="183"/>
      <c r="AY79" s="177">
        <f t="shared" ref="AY79:AY86" ca="1" si="6">AV79-AU79</f>
        <v>305</v>
      </c>
      <c r="AZ79" s="179">
        <f ca="1">AV79/AU79-1</f>
        <v>2.6068376068376069</v>
      </c>
      <c r="BA79" s="184"/>
      <c r="BB79" s="178"/>
      <c r="BC79" s="179">
        <f t="shared" ca="1" si="4"/>
        <v>0.14480198019801979</v>
      </c>
      <c r="BD79" s="179">
        <f t="shared" ca="1" si="4"/>
        <v>0.23072717331875342</v>
      </c>
      <c r="BE79" s="179">
        <f t="shared" ref="BE79:BE86" ca="1" si="7">AY79/AY$74</f>
        <v>0.2987267384916748</v>
      </c>
      <c r="BF79" s="139"/>
      <c r="BG79" s="55"/>
      <c r="BH79" s="13">
        <f ca="1">AU79/AU$77</f>
        <v>0.70909090909090911</v>
      </c>
      <c r="BI79" s="13">
        <f t="shared" ref="BI79" ca="1" si="8">AV79/AV$77</f>
        <v>0.66561514195583593</v>
      </c>
      <c r="BJ79" s="13">
        <f ca="1">AY79/AY$77</f>
        <v>0.65031982942430699</v>
      </c>
    </row>
    <row r="80" spans="4:62" x14ac:dyDescent="0.35">
      <c r="AP80" s="55"/>
      <c r="AQ80" s="136"/>
      <c r="AR80" s="144" t="str">
        <f ca="1">OFFSET(ArrangedForR!$A$1,MATCH(Tables!$AS80,ArrangedForR!$F$2:$F$281,0),4)</f>
        <v>Manufactured metal products</v>
      </c>
      <c r="AS80" s="109">
        <v>146</v>
      </c>
      <c r="AT80" s="156" t="s">
        <v>343</v>
      </c>
      <c r="AU80" s="146">
        <f ca="1">OFFSET(ArrangedForR!$A$1,MATCH(Tables!$AS80,ArrangedForR!$F$2:$F$281,0),MATCH(Tables!AU$60,ArrangedForR!$G$1:$AY$1,0)+5)</f>
        <v>47</v>
      </c>
      <c r="AV80" s="147">
        <f ca="1">OFFSET(ArrangedForR!$A$1,MATCH(Tables!$AS80,ArrangedForR!$F$2:$F$281,0),MATCH(Tables!AV$60,ArrangedForR!$G$1:$AY$1,0)+5)</f>
        <v>260</v>
      </c>
      <c r="AW80" s="148"/>
      <c r="AX80" s="185"/>
      <c r="AY80" s="147">
        <f t="shared" ca="1" si="6"/>
        <v>213</v>
      </c>
      <c r="AZ80" s="149">
        <f ca="1">AV80/AU80-1</f>
        <v>4.5319148936170217</v>
      </c>
      <c r="BA80" s="186"/>
      <c r="BB80" s="148"/>
      <c r="BC80" s="149">
        <f t="shared" ca="1" si="4"/>
        <v>5.8168316831683171E-2</v>
      </c>
      <c r="BD80" s="149">
        <f t="shared" ca="1" si="4"/>
        <v>0.14215418261344998</v>
      </c>
      <c r="BE80" s="149">
        <f t="shared" ca="1" si="7"/>
        <v>0.20861900097943192</v>
      </c>
      <c r="BF80" s="139"/>
      <c r="BG80" s="55"/>
      <c r="BH80" s="13">
        <f ca="1">AU80/AU$79</f>
        <v>0.40170940170940173</v>
      </c>
      <c r="BI80" s="13">
        <f t="shared" ref="BI80" ca="1" si="9">AV80/AV$79</f>
        <v>0.61611374407582942</v>
      </c>
      <c r="BJ80" s="13">
        <f ca="1">AY80/AY$79</f>
        <v>0.69836065573770489</v>
      </c>
    </row>
    <row r="81" spans="4:62" x14ac:dyDescent="0.35">
      <c r="AP81" s="55"/>
      <c r="AQ81" s="136"/>
      <c r="AR81" s="145" t="str">
        <f ca="1">OFFSET(ArrangedForR!$A$1,MATCH(Tables!$AS81,ArrangedForR!$F$2:$F$281,0),4)</f>
        <v>Iron and steel products, manufactured</v>
      </c>
      <c r="AS81" s="151">
        <v>70</v>
      </c>
      <c r="AT81" s="150" t="s">
        <v>344</v>
      </c>
      <c r="AU81" s="152">
        <f ca="1">OFFSET(ArrangedForR!$A$1,MATCH(Tables!$AS81,ArrangedForR!$F$2:$F$281,0),MATCH(Tables!AU$60,ArrangedForR!$G$1:$AY$1,0)+5)</f>
        <v>15.7</v>
      </c>
      <c r="AV81" s="153">
        <f ca="1">OFFSET(ArrangedForR!$A$1,MATCH(Tables!$AS81,ArrangedForR!$F$2:$F$281,0),MATCH(Tables!AV$60,ArrangedForR!$G$1:$AY$1,0)+5)</f>
        <v>83.7</v>
      </c>
      <c r="AW81" s="154"/>
      <c r="AX81" s="187"/>
      <c r="AY81" s="153">
        <f t="shared" ca="1" si="6"/>
        <v>68</v>
      </c>
      <c r="AZ81" s="155">
        <f ca="1">AV81/AU81-1</f>
        <v>4.3312101910828034</v>
      </c>
      <c r="BA81" s="188"/>
      <c r="BB81" s="154"/>
      <c r="BC81" s="155">
        <f t="shared" ca="1" si="4"/>
        <v>1.9430693069306931E-2</v>
      </c>
      <c r="BD81" s="155">
        <f t="shared" ca="1" si="4"/>
        <v>4.576271186440678E-2</v>
      </c>
      <c r="BE81" s="155">
        <f t="shared" ca="1" si="7"/>
        <v>6.6601371204701276E-2</v>
      </c>
      <c r="BF81" s="139"/>
      <c r="BG81" s="55"/>
      <c r="BH81" s="13">
        <f ca="1">AU81/AU$80</f>
        <v>0.33404255319148934</v>
      </c>
      <c r="BI81" s="13">
        <f t="shared" ref="BI81" ca="1" si="10">AV81/AV$80</f>
        <v>0.32192307692307692</v>
      </c>
      <c r="BJ81" s="13">
        <f ca="1">AY81/AY$80</f>
        <v>0.31924882629107981</v>
      </c>
    </row>
    <row r="82" spans="4:62" x14ac:dyDescent="0.35">
      <c r="AP82" s="55"/>
      <c r="AQ82" s="136"/>
      <c r="AR82" s="145" t="str">
        <f ca="1">OFFSET(ArrangedForR!$A$1,MATCH(Tables!$AS82,ArrangedForR!$F$2:$F$281,0),4)</f>
        <v>Machiery and vehicles, except automobiles</v>
      </c>
      <c r="AS82" s="151">
        <v>71</v>
      </c>
      <c r="AT82" s="150" t="s">
        <v>345</v>
      </c>
      <c r="AU82" s="152">
        <f ca="1">OFFSET(ArrangedForR!$A$1,MATCH(Tables!$AS82,ArrangedForR!$F$2:$F$281,0),MATCH(Tables!AU$60,ArrangedForR!$G$1:$AY$1,0)+5)</f>
        <v>28.2</v>
      </c>
      <c r="AV82" s="153">
        <f ca="1">OFFSET(ArrangedForR!$A$1,MATCH(Tables!$AS82,ArrangedForR!$F$2:$F$281,0),MATCH(Tables!AV$60,ArrangedForR!$G$1:$AY$1,0)+5)</f>
        <v>149.5</v>
      </c>
      <c r="AW82" s="154"/>
      <c r="AX82" s="187"/>
      <c r="AY82" s="153">
        <f t="shared" ca="1" si="6"/>
        <v>121.3</v>
      </c>
      <c r="AZ82" s="155">
        <f ca="1">AV82/AU82-1</f>
        <v>4.3014184397163122</v>
      </c>
      <c r="BA82" s="188"/>
      <c r="BB82" s="154"/>
      <c r="BC82" s="155">
        <f t="shared" ca="1" si="4"/>
        <v>3.4900990099009897E-2</v>
      </c>
      <c r="BD82" s="155">
        <f t="shared" ca="1" si="4"/>
        <v>8.1738655002733737E-2</v>
      </c>
      <c r="BE82" s="155">
        <f t="shared" ca="1" si="7"/>
        <v>0.1188050930460333</v>
      </c>
      <c r="BF82" s="139"/>
      <c r="BG82" s="55"/>
      <c r="BH82" s="13">
        <f ca="1">AU82/AU$80</f>
        <v>0.6</v>
      </c>
      <c r="BI82" s="13">
        <f t="shared" ref="BI82" ca="1" si="11">AV82/AV$80</f>
        <v>0.57499999999999996</v>
      </c>
      <c r="BJ82" s="13">
        <f ca="1">AY82/AY$80</f>
        <v>0.56948356807511735</v>
      </c>
    </row>
    <row r="83" spans="4:62" x14ac:dyDescent="0.35">
      <c r="AP83" s="55"/>
      <c r="AQ83" s="136"/>
      <c r="AR83" s="145" t="str">
        <f ca="1">OFFSET(ArrangedForR!$A$1,MATCH(Tables!$AS83,ArrangedForR!$F$2:$F$281,0),4)</f>
        <v>Nonferrous metals, manufactured</v>
      </c>
      <c r="AS83" s="151">
        <v>67</v>
      </c>
      <c r="AT83" s="150" t="s">
        <v>363</v>
      </c>
      <c r="AU83" s="152">
        <f ca="1">OFFSET(ArrangedForR!$A$1,MATCH(Tables!$AS83,ArrangedForR!$F$2:$F$281,0),MATCH(Tables!AU$60,ArrangedForR!$G$1:$AY$1,0)+5)</f>
        <v>2.7</v>
      </c>
      <c r="AV83" s="153">
        <f ca="1">OFFSET(ArrangedForR!$A$1,MATCH(Tables!$AS83,ArrangedForR!$F$2:$F$281,0),MATCH(Tables!AV$60,ArrangedForR!$G$1:$AY$1,0)+5)</f>
        <v>13.2</v>
      </c>
      <c r="AW83" s="154"/>
      <c r="AX83" s="187"/>
      <c r="AY83" s="153">
        <f t="shared" ca="1" si="6"/>
        <v>10.5</v>
      </c>
      <c r="AZ83" s="155">
        <f ca="1">AV83/AU83-1</f>
        <v>3.8888888888888884</v>
      </c>
      <c r="BA83" s="188"/>
      <c r="BB83" s="154"/>
      <c r="BC83" s="155">
        <f t="shared" ca="1" si="4"/>
        <v>3.3415841584158419E-3</v>
      </c>
      <c r="BD83" s="155">
        <f t="shared" ca="1" si="4"/>
        <v>7.2170585019136133E-3</v>
      </c>
      <c r="BE83" s="155">
        <f t="shared" ca="1" si="7"/>
        <v>1.028403525954946E-2</v>
      </c>
      <c r="BF83" s="139"/>
      <c r="BG83" s="55"/>
      <c r="BH83" s="13">
        <f ca="1">AU83/AU$80</f>
        <v>5.7446808510638304E-2</v>
      </c>
      <c r="BI83" s="13">
        <f t="shared" ref="BI83" ca="1" si="12">AV83/AV$80</f>
        <v>5.0769230769230768E-2</v>
      </c>
      <c r="BJ83" s="13">
        <f ca="1">AY83/AY$80</f>
        <v>4.9295774647887321E-2</v>
      </c>
    </row>
    <row r="84" spans="4:62" x14ac:dyDescent="0.35">
      <c r="AP84" s="55"/>
      <c r="AQ84" s="136"/>
      <c r="AR84" s="144" t="str">
        <f ca="1">OFFSET(ArrangedForR!$A$1,MATCH(Tables!$AS84,ArrangedForR!$F$2:$F$281,0),4)</f>
        <v>Petroleum and prodcuts, manufactured</v>
      </c>
      <c r="AS84" s="109">
        <v>61</v>
      </c>
      <c r="AT84" s="156" t="s">
        <v>346</v>
      </c>
      <c r="AU84" s="146">
        <f ca="1">OFFSET(ArrangedForR!$A$1,MATCH(Tables!$AS84,ArrangedForR!$F$2:$F$281,0),MATCH(Tables!AU$60,ArrangedForR!$G$1:$AY$1,0)+5)</f>
        <v>50.8</v>
      </c>
      <c r="AV84" s="147">
        <f ca="1">OFFSET(ArrangedForR!$A$1,MATCH(Tables!$AS84,ArrangedForR!$F$2:$F$281,0),MATCH(Tables!AV$60,ArrangedForR!$G$1:$AY$1,0)+5)</f>
        <v>88.7</v>
      </c>
      <c r="AW84" s="148"/>
      <c r="AX84" s="185"/>
      <c r="AY84" s="147">
        <f t="shared" ca="1" si="6"/>
        <v>37.900000000000006</v>
      </c>
      <c r="AZ84" s="149">
        <f t="shared" ref="AZ84:AZ85" ca="1" si="13">AV84/AU84-1</f>
        <v>0.74606299212598448</v>
      </c>
      <c r="BA84" s="186"/>
      <c r="BB84" s="148"/>
      <c r="BC84" s="149">
        <f t="shared" ca="1" si="4"/>
        <v>6.2871287128712872E-2</v>
      </c>
      <c r="BD84" s="149">
        <f t="shared" ca="1" si="4"/>
        <v>4.8496446145434663E-2</v>
      </c>
      <c r="BE84" s="149">
        <f t="shared" ca="1" si="7"/>
        <v>3.7120470127326159E-2</v>
      </c>
      <c r="BF84" s="139"/>
      <c r="BG84" s="55"/>
      <c r="BH84" s="13">
        <f t="shared" ref="BH84:BI86" ca="1" si="14">AU84/AU$79</f>
        <v>0.43418803418803414</v>
      </c>
      <c r="BI84" s="13">
        <f t="shared" ca="1" si="14"/>
        <v>0.21018957345971565</v>
      </c>
      <c r="BJ84" s="13">
        <f ca="1">AY84/AY$79</f>
        <v>0.12426229508196723</v>
      </c>
    </row>
    <row r="85" spans="4:62" x14ac:dyDescent="0.35">
      <c r="AP85" s="55"/>
      <c r="AQ85" s="136"/>
      <c r="AR85" s="144" t="str">
        <f ca="1">OFFSET(ArrangedForR!$A$1,MATCH(Tables!$AS85,ArrangedForR!$F$2:$F$281,0),4)</f>
        <v>Chemicals and allied products, manufactured</v>
      </c>
      <c r="AS85" s="109">
        <v>75</v>
      </c>
      <c r="AT85" s="156" t="s">
        <v>361</v>
      </c>
      <c r="AU85" s="146">
        <f ca="1">OFFSET(ArrangedForR!$A$1,MATCH(Tables!$AS85,ArrangedForR!$F$2:$F$281,0),MATCH(Tables!AU$60,ArrangedForR!$G$1:$AY$1,0)+5)</f>
        <v>5.6</v>
      </c>
      <c r="AV85" s="147">
        <f ca="1">OFFSET(ArrangedForR!$A$1,MATCH(Tables!$AS85,ArrangedForR!$F$2:$F$281,0),MATCH(Tables!AV$60,ArrangedForR!$G$1:$AY$1,0)+5)</f>
        <v>17.8</v>
      </c>
      <c r="AW85" s="148"/>
      <c r="AX85" s="185"/>
      <c r="AY85" s="147">
        <f t="shared" ca="1" si="6"/>
        <v>12.200000000000001</v>
      </c>
      <c r="AZ85" s="149">
        <f t="shared" ca="1" si="13"/>
        <v>2.1785714285714288</v>
      </c>
      <c r="BA85" s="186"/>
      <c r="BB85" s="148"/>
      <c r="BC85" s="149">
        <f t="shared" ca="1" si="4"/>
        <v>6.9306930693069299E-3</v>
      </c>
      <c r="BD85" s="149">
        <f t="shared" ca="1" si="4"/>
        <v>9.732094040459268E-3</v>
      </c>
      <c r="BE85" s="149">
        <f t="shared" ca="1" si="7"/>
        <v>1.1949069539666995E-2</v>
      </c>
      <c r="BF85" s="139"/>
      <c r="BG85" s="55"/>
      <c r="BH85" s="13">
        <f t="shared" ca="1" si="14"/>
        <v>4.786324786324786E-2</v>
      </c>
      <c r="BI85" s="13">
        <f t="shared" ca="1" si="14"/>
        <v>4.2180094786729856E-2</v>
      </c>
      <c r="BJ85" s="13">
        <f ca="1">AY85/AY$79</f>
        <v>0.04</v>
      </c>
    </row>
    <row r="86" spans="4:62" x14ac:dyDescent="0.35">
      <c r="AP86" s="55"/>
      <c r="AQ86" s="136"/>
      <c r="AR86" s="144" t="str">
        <f ca="1">OFFSET(ArrangedForR!$A$1,MATCH(Tables!$AS86,ArrangedForR!$F$2:$F$281,0),4)</f>
        <v>Other nonmetallic minterals, manufactured</v>
      </c>
      <c r="AS86" s="109">
        <v>76</v>
      </c>
      <c r="AT86" s="156" t="s">
        <v>362</v>
      </c>
      <c r="AU86" s="146">
        <f ca="1">OFFSET(ArrangedForR!$A$1,MATCH(Tables!$AS86,ArrangedForR!$F$2:$F$281,0),MATCH(Tables!AU$60,ArrangedForR!$G$1:$AY$1,0)+5)</f>
        <v>18.8</v>
      </c>
      <c r="AV86" s="147">
        <f ca="1">OFFSET(ArrangedForR!$A$1,MATCH(Tables!$AS86,ArrangedForR!$F$2:$F$281,0),MATCH(Tables!AV$60,ArrangedForR!$G$1:$AY$1,0)+5)</f>
        <v>19</v>
      </c>
      <c r="AW86" s="148"/>
      <c r="AX86" s="185"/>
      <c r="AY86" s="147">
        <f t="shared" ca="1" si="6"/>
        <v>0.19999999999999929</v>
      </c>
      <c r="AZ86" s="149">
        <f t="shared" ref="AZ86" ca="1" si="15">AV86/AU86-1</f>
        <v>1.0638297872340496E-2</v>
      </c>
      <c r="BA86" s="186"/>
      <c r="BB86" s="148"/>
      <c r="BC86" s="149">
        <f t="shared" ca="1" si="4"/>
        <v>2.3267326732673267E-2</v>
      </c>
      <c r="BD86" s="149">
        <f t="shared" ca="1" si="4"/>
        <v>1.038819026790596E-2</v>
      </c>
      <c r="BE86" s="149">
        <f t="shared" ca="1" si="7"/>
        <v>1.9588638589617953E-4</v>
      </c>
      <c r="BF86" s="139"/>
      <c r="BG86" s="55"/>
      <c r="BH86" s="13">
        <f t="shared" ca="1" si="14"/>
        <v>0.1606837606837607</v>
      </c>
      <c r="BI86" s="13">
        <f t="shared" ca="1" si="14"/>
        <v>4.5023696682464455E-2</v>
      </c>
      <c r="BJ86" s="13">
        <f ca="1">AY86/AY$79</f>
        <v>6.5573770491803051E-4</v>
      </c>
    </row>
    <row r="87" spans="4:62" ht="2" customHeight="1" x14ac:dyDescent="0.35">
      <c r="AP87" s="55"/>
      <c r="AQ87" s="136"/>
      <c r="AR87" s="144"/>
      <c r="AS87" s="109"/>
      <c r="AT87" s="156"/>
      <c r="AU87" s="146"/>
      <c r="AV87" s="147"/>
      <c r="AW87" s="148"/>
      <c r="AX87" s="185"/>
      <c r="AY87" s="147"/>
      <c r="AZ87" s="149"/>
      <c r="BA87" s="186"/>
      <c r="BB87" s="148"/>
      <c r="BC87" s="149"/>
      <c r="BD87" s="149"/>
      <c r="BE87" s="149"/>
      <c r="BF87" s="139"/>
      <c r="BG87" s="55"/>
    </row>
    <row r="88" spans="4:62" x14ac:dyDescent="0.35">
      <c r="AP88" s="55"/>
      <c r="AQ88" s="136"/>
      <c r="AR88" s="143" t="str">
        <f ca="1">OFFSET(ArrangedForR!$A$1,MATCH(Tables!$AS88,ArrangedForR!$F$2:$F$281,0),4)</f>
        <v>Semimanufactures</v>
      </c>
      <c r="AS88" s="175">
        <v>145</v>
      </c>
      <c r="AT88" s="174" t="s">
        <v>263</v>
      </c>
      <c r="AU88" s="176">
        <f ca="1">OFFSET(ArrangedForR!$A$1,MATCH(Tables!$AS88,ArrangedForR!$F$2:$F$281,0),MATCH(Tables!AU$60,ArrangedForR!$G$1:$AY$1,0)+5)</f>
        <v>25</v>
      </c>
      <c r="AV88" s="177">
        <f ca="1">OFFSET(ArrangedForR!$A$1,MATCH(Tables!$AS88,ArrangedForR!$F$2:$F$281,0),MATCH(Tables!AV$60,ArrangedForR!$G$1:$AY$1,0)+5)</f>
        <v>152</v>
      </c>
      <c r="AW88" s="178"/>
      <c r="AX88" s="183"/>
      <c r="AY88" s="177">
        <f t="shared" ref="AY88:AY95" ca="1" si="16">AV88-AU88</f>
        <v>127</v>
      </c>
      <c r="AZ88" s="179">
        <f t="shared" ref="AZ88:AZ92" ca="1" si="17">AV88/AU88-1</f>
        <v>5.08</v>
      </c>
      <c r="BA88" s="184"/>
      <c r="BB88" s="178"/>
      <c r="BC88" s="179">
        <f t="shared" ca="1" si="4"/>
        <v>3.094059405940594E-2</v>
      </c>
      <c r="BD88" s="179">
        <f t="shared" ca="1" si="4"/>
        <v>8.3105522143247679E-2</v>
      </c>
      <c r="BE88" s="179">
        <f t="shared" ref="BE88:BE95" ca="1" si="18">AY88/AY$74</f>
        <v>0.12438785504407443</v>
      </c>
      <c r="BF88" s="139"/>
      <c r="BG88" s="55"/>
      <c r="BH88" s="13">
        <f t="shared" ref="BH88:BH92" ca="1" si="19">AU88/AU$77</f>
        <v>0.15151515151515152</v>
      </c>
      <c r="BI88" s="13">
        <f t="shared" ref="BI88:BI92" ca="1" si="20">AV88/AV$77</f>
        <v>0.23974763406940064</v>
      </c>
      <c r="BJ88" s="13">
        <f ca="1">AY88/AY$77</f>
        <v>0.27078891257995735</v>
      </c>
    </row>
    <row r="89" spans="4:62" x14ac:dyDescent="0.35">
      <c r="AP89" s="55"/>
      <c r="AQ89" s="136"/>
      <c r="AR89" s="145" t="str">
        <f ca="1">OFFSET(ArrangedForR!$A$1,MATCH(Tables!$AS89,ArrangedForR!$F$2:$F$281,0),4)</f>
        <v>Chemicals and allied products, semimanufactured</v>
      </c>
      <c r="AS89" s="109">
        <v>74</v>
      </c>
      <c r="AT89" s="156" t="s">
        <v>361</v>
      </c>
      <c r="AU89" s="146">
        <f ca="1">OFFSET(ArrangedForR!$A$1,MATCH(Tables!$AS89,ArrangedForR!$F$2:$F$281,0),MATCH(Tables!AU$60,ArrangedForR!$G$1:$AY$1,0)+5)</f>
        <v>5.7</v>
      </c>
      <c r="AV89" s="147">
        <f ca="1">OFFSET(ArrangedForR!$A$1,MATCH(Tables!$AS89,ArrangedForR!$F$2:$F$281,0),MATCH(Tables!AV$60,ArrangedForR!$G$1:$AY$1,0)+5)</f>
        <v>16.899999999999999</v>
      </c>
      <c r="AW89" s="148"/>
      <c r="AX89" s="185"/>
      <c r="AY89" s="147">
        <f t="shared" ca="1" si="16"/>
        <v>11.2</v>
      </c>
      <c r="AZ89" s="149">
        <f ca="1">AV89/AU89-1</f>
        <v>1.9649122807017538</v>
      </c>
      <c r="BA89" s="186"/>
      <c r="BB89" s="148"/>
      <c r="BC89" s="149">
        <f t="shared" ca="1" si="4"/>
        <v>7.0544554455445546E-3</v>
      </c>
      <c r="BD89" s="149">
        <f t="shared" ca="1" si="4"/>
        <v>9.2400218698742466E-3</v>
      </c>
      <c r="BE89" s="149">
        <f t="shared" ca="1" si="18"/>
        <v>1.0969637610186092E-2</v>
      </c>
      <c r="BF89" s="139"/>
      <c r="BG89" s="55"/>
      <c r="BH89" s="13">
        <f ca="1">AU89/AU$88</f>
        <v>0.22800000000000001</v>
      </c>
      <c r="BI89" s="13">
        <f t="shared" ref="BI89" ca="1" si="21">AV89/AV$88</f>
        <v>0.11118421052631577</v>
      </c>
      <c r="BJ89" s="13">
        <f ca="1">AY89/AY$88</f>
        <v>8.8188976377952755E-2</v>
      </c>
    </row>
    <row r="90" spans="4:62" x14ac:dyDescent="0.35">
      <c r="AP90" s="55"/>
      <c r="AQ90" s="136"/>
      <c r="AR90" s="145" t="str">
        <f ca="1">OFFSET(ArrangedForR!$A$1,MATCH(Tables!$AS90,ArrangedForR!$F$2:$F$281,0),4)</f>
        <v>Iron and steel products, semimanufactured</v>
      </c>
      <c r="AS90" s="109">
        <v>69</v>
      </c>
      <c r="AT90" s="156" t="s">
        <v>359</v>
      </c>
      <c r="AU90" s="146">
        <f ca="1">OFFSET(ArrangedForR!$A$1,MATCH(Tables!$AS90,ArrangedForR!$F$2:$F$281,0),MATCH(Tables!AU$60,ArrangedForR!$G$1:$AY$1,0)+5)</f>
        <v>0.7</v>
      </c>
      <c r="AV90" s="147">
        <f ca="1">OFFSET(ArrangedForR!$A$1,MATCH(Tables!$AS90,ArrangedForR!$F$2:$F$281,0),MATCH(Tables!AV$60,ArrangedForR!$G$1:$AY$1,0)+5)</f>
        <v>24.2</v>
      </c>
      <c r="AW90" s="148"/>
      <c r="AX90" s="185"/>
      <c r="AY90" s="147">
        <f t="shared" ca="1" si="16"/>
        <v>23.5</v>
      </c>
      <c r="AZ90" s="149">
        <f ca="1">AV90/AU90-1</f>
        <v>33.571428571428569</v>
      </c>
      <c r="BA90" s="186"/>
      <c r="BB90" s="148"/>
      <c r="BC90" s="149">
        <f t="shared" ca="1" si="4"/>
        <v>8.6633663366336624E-4</v>
      </c>
      <c r="BD90" s="149">
        <f t="shared" ca="1" si="4"/>
        <v>1.3231273920174959E-2</v>
      </c>
      <c r="BE90" s="149">
        <f t="shared" ca="1" si="18"/>
        <v>2.3016650342801176E-2</v>
      </c>
      <c r="BF90" s="139"/>
      <c r="BG90" s="55"/>
      <c r="BH90" s="13">
        <f ca="1">AU90/AU$88</f>
        <v>2.7999999999999997E-2</v>
      </c>
      <c r="BI90" s="13">
        <f t="shared" ref="BI90" ca="1" si="22">AV90/AV$88</f>
        <v>0.15921052631578947</v>
      </c>
      <c r="BJ90" s="13">
        <f ca="1">AY90/AY$88</f>
        <v>0.18503937007874016</v>
      </c>
    </row>
    <row r="91" spans="4:62" x14ac:dyDescent="0.35">
      <c r="AP91" s="55"/>
      <c r="AQ91" s="136"/>
      <c r="AR91" s="145" t="str">
        <f ca="1">OFFSET(ArrangedForR!$A$1,MATCH(Tables!$AS91,ArrangedForR!$F$2:$F$281,0),4)</f>
        <v>Nonferrous metals, semimanufactured</v>
      </c>
      <c r="AS91" s="109">
        <v>66</v>
      </c>
      <c r="AT91" s="156" t="s">
        <v>358</v>
      </c>
      <c r="AU91" s="146">
        <f ca="1">OFFSET(ArrangedForR!$A$1,MATCH(Tables!$AS91,ArrangedForR!$F$2:$F$281,0),MATCH(Tables!AU$60,ArrangedForR!$G$1:$AY$1,0)+5)</f>
        <v>13.1</v>
      </c>
      <c r="AV91" s="147">
        <f ca="1">OFFSET(ArrangedForR!$A$1,MATCH(Tables!$AS91,ArrangedForR!$F$2:$F$281,0),MATCH(Tables!AV$60,ArrangedForR!$G$1:$AY$1,0)+5)</f>
        <v>96.5</v>
      </c>
      <c r="AW91" s="148"/>
      <c r="AX91" s="185"/>
      <c r="AY91" s="147">
        <f t="shared" ca="1" si="16"/>
        <v>83.4</v>
      </c>
      <c r="AZ91" s="149">
        <f ca="1">AV91/AU91-1</f>
        <v>6.3664122137404586</v>
      </c>
      <c r="BA91" s="186"/>
      <c r="BB91" s="148"/>
      <c r="BC91" s="149">
        <f t="shared" ca="1" si="4"/>
        <v>1.6212871287128713E-2</v>
      </c>
      <c r="BD91" s="149">
        <f t="shared" ca="1" si="4"/>
        <v>5.2761071623838161E-2</v>
      </c>
      <c r="BE91" s="149">
        <f t="shared" ca="1" si="18"/>
        <v>8.168462291870715E-2</v>
      </c>
      <c r="BF91" s="139"/>
      <c r="BG91" s="55"/>
      <c r="BH91" s="13">
        <f ca="1">AU91/AU$88</f>
        <v>0.52400000000000002</v>
      </c>
      <c r="BI91" s="13">
        <f t="shared" ref="BI91" ca="1" si="23">AV91/AV$88</f>
        <v>0.63486842105263153</v>
      </c>
      <c r="BJ91" s="13">
        <f ca="1">AY91/AY$88</f>
        <v>0.6566929133858268</v>
      </c>
    </row>
    <row r="92" spans="4:62" x14ac:dyDescent="0.35">
      <c r="AP92" s="55"/>
      <c r="AQ92" s="136"/>
      <c r="AR92" s="143" t="str">
        <f ca="1">OFFSET(ArrangedForR!$A$1,MATCH(Tables!$AS92,ArrangedForR!$F$2:$F$281,0),4)</f>
        <v>Crude materials</v>
      </c>
      <c r="AS92" s="175">
        <v>144</v>
      </c>
      <c r="AT92" s="174" t="s">
        <v>224</v>
      </c>
      <c r="AU92" s="176">
        <f ca="1">OFFSET(ArrangedForR!$A$1,MATCH(Tables!$AS92,ArrangedForR!$F$2:$F$281,0),MATCH(Tables!AU$60,ArrangedForR!$G$1:$AY$1,0)+5)</f>
        <v>24</v>
      </c>
      <c r="AV92" s="177">
        <f ca="1">OFFSET(ArrangedForR!$A$1,MATCH(Tables!$AS92,ArrangedForR!$F$2:$F$281,0),MATCH(Tables!AV$60,ArrangedForR!$G$1:$AY$1,0)+5)</f>
        <v>60</v>
      </c>
      <c r="AW92" s="178"/>
      <c r="AX92" s="183"/>
      <c r="AY92" s="177">
        <f t="shared" ca="1" si="16"/>
        <v>36</v>
      </c>
      <c r="AZ92" s="179">
        <f t="shared" ca="1" si="17"/>
        <v>1.5</v>
      </c>
      <c r="BA92" s="184"/>
      <c r="BB92" s="178"/>
      <c r="BC92" s="179">
        <f t="shared" ca="1" si="4"/>
        <v>2.9702970297029702E-2</v>
      </c>
      <c r="BD92" s="179">
        <f t="shared" ca="1" si="4"/>
        <v>3.2804811372334611E-2</v>
      </c>
      <c r="BE92" s="179">
        <f t="shared" ca="1" si="18"/>
        <v>3.5259549461312441E-2</v>
      </c>
      <c r="BF92" s="139"/>
      <c r="BG92" s="55"/>
      <c r="BH92" s="13">
        <f t="shared" ca="1" si="19"/>
        <v>0.14545454545454545</v>
      </c>
      <c r="BI92" s="13">
        <f t="shared" ca="1" si="20"/>
        <v>9.4637223974763401E-2</v>
      </c>
      <c r="BJ92" s="13">
        <f ca="1">AY92/AY$77</f>
        <v>7.6759061833688705E-2</v>
      </c>
    </row>
    <row r="93" spans="4:62" x14ac:dyDescent="0.35">
      <c r="AP93" s="55"/>
      <c r="AQ93" s="136"/>
      <c r="AR93" s="145" t="str">
        <f ca="1">OFFSET(ArrangedForR!$A$1,MATCH(Tables!$AS93,ArrangedForR!$F$2:$F$281,0),4)</f>
        <v>Petroleum and products, crude</v>
      </c>
      <c r="AS93" s="109">
        <v>59</v>
      </c>
      <c r="AT93" s="156" t="s">
        <v>346</v>
      </c>
      <c r="AU93" s="146">
        <f ca="1">OFFSET(ArrangedForR!$A$1,MATCH(Tables!$AS93,ArrangedForR!$F$2:$F$281,0),MATCH(Tables!AU$60,ArrangedForR!$G$1:$AY$1,0)+5)</f>
        <v>6.3</v>
      </c>
      <c r="AV93" s="147">
        <f ca="1">OFFSET(ArrangedForR!$A$1,MATCH(Tables!$AS93,ArrangedForR!$F$2:$F$281,0),MATCH(Tables!AV$60,ArrangedForR!$G$1:$AY$1,0)+5)</f>
        <v>5.4</v>
      </c>
      <c r="AW93" s="148"/>
      <c r="AX93" s="185"/>
      <c r="AY93" s="147">
        <f t="shared" ca="1" si="16"/>
        <v>-0.89999999999999947</v>
      </c>
      <c r="AZ93" s="149">
        <f t="shared" ref="AZ93" ca="1" si="24">AV93/AU93-1</f>
        <v>-0.14285714285714279</v>
      </c>
      <c r="BA93" s="186"/>
      <c r="BB93" s="148"/>
      <c r="BC93" s="149">
        <f t="shared" ref="BC93:BD113" ca="1" si="25">AU93/AU$74</f>
        <v>7.797029702970297E-3</v>
      </c>
      <c r="BD93" s="149">
        <f t="shared" ca="1" si="25"/>
        <v>2.9524330235101148E-3</v>
      </c>
      <c r="BE93" s="149">
        <f t="shared" ca="1" si="18"/>
        <v>-8.8148873653281048E-4</v>
      </c>
      <c r="BF93" s="139"/>
      <c r="BG93" s="55"/>
      <c r="BH93" s="13">
        <f ca="1">AU93/AU$92</f>
        <v>0.26250000000000001</v>
      </c>
      <c r="BI93" s="13">
        <f t="shared" ref="BI93" ca="1" si="26">AV93/AV$92</f>
        <v>9.0000000000000011E-2</v>
      </c>
      <c r="BJ93" s="13">
        <f ca="1">AY93/AY$92</f>
        <v>-2.4999999999999984E-2</v>
      </c>
    </row>
    <row r="94" spans="4:62" x14ac:dyDescent="0.35">
      <c r="AP94" s="55"/>
      <c r="AQ94" s="136"/>
      <c r="AR94" s="145" t="str">
        <f ca="1">OFFSET(ArrangedForR!$A$1,MATCH(Tables!$AS94,ArrangedForR!$F$2:$F$281,0),4)</f>
        <v>Coal and products, crude</v>
      </c>
      <c r="AS94" s="109">
        <v>57</v>
      </c>
      <c r="AT94" s="156" t="s">
        <v>364</v>
      </c>
      <c r="AU94" s="146">
        <f ca="1">OFFSET(ArrangedForR!$A$1,MATCH(Tables!$AS94,ArrangedForR!$F$2:$F$281,0),MATCH(Tables!AU$60,ArrangedForR!$G$1:$AY$1,0)+5)</f>
        <v>10.8</v>
      </c>
      <c r="AV94" s="147">
        <f ca="1">OFFSET(ArrangedForR!$A$1,MATCH(Tables!$AS94,ArrangedForR!$F$2:$F$281,0),MATCH(Tables!AV$60,ArrangedForR!$G$1:$AY$1,0)+5)</f>
        <v>41.5</v>
      </c>
      <c r="AW94" s="148"/>
      <c r="AX94" s="185"/>
      <c r="AY94" s="147">
        <f t="shared" ca="1" si="16"/>
        <v>30.7</v>
      </c>
      <c r="AZ94" s="149">
        <f t="shared" ref="AZ94:AZ95" ca="1" si="27">AV94/AU94-1</f>
        <v>2.8425925925925926</v>
      </c>
      <c r="BA94" s="186"/>
      <c r="BB94" s="148"/>
      <c r="BC94" s="149">
        <f t="shared" ca="1" si="25"/>
        <v>1.3366336633663368E-2</v>
      </c>
      <c r="BD94" s="149">
        <f t="shared" ca="1" si="25"/>
        <v>2.2689994532531437E-2</v>
      </c>
      <c r="BE94" s="149">
        <f t="shared" ca="1" si="18"/>
        <v>3.0068560235063664E-2</v>
      </c>
      <c r="BF94" s="139"/>
      <c r="BG94" s="55"/>
      <c r="BH94" s="13">
        <f ca="1">AU94/AU$92</f>
        <v>0.45</v>
      </c>
      <c r="BI94" s="13">
        <f t="shared" ref="BI94" ca="1" si="28">AV94/AV$92</f>
        <v>0.69166666666666665</v>
      </c>
      <c r="BJ94" s="13">
        <f ca="1">AY94/AY$92</f>
        <v>0.85277777777777775</v>
      </c>
    </row>
    <row r="95" spans="4:62" x14ac:dyDescent="0.35">
      <c r="D95"/>
      <c r="E95"/>
      <c r="F95"/>
      <c r="G95"/>
      <c r="H95"/>
      <c r="AP95" s="55"/>
      <c r="AQ95" s="136"/>
      <c r="AR95" s="144"/>
      <c r="AS95" s="190"/>
      <c r="AT95" s="189" t="s">
        <v>360</v>
      </c>
      <c r="AU95" s="191">
        <f ca="1">AU80+AU90+AU91</f>
        <v>60.800000000000004</v>
      </c>
      <c r="AV95" s="191">
        <f ca="1">AV80+AV90+AV91</f>
        <v>380.7</v>
      </c>
      <c r="AW95" s="193"/>
      <c r="AX95" s="194"/>
      <c r="AY95" s="192">
        <f t="shared" ca="1" si="16"/>
        <v>319.89999999999998</v>
      </c>
      <c r="AZ95" s="195">
        <f t="shared" ca="1" si="27"/>
        <v>5.2615131578947363</v>
      </c>
      <c r="BA95" s="196"/>
      <c r="BB95" s="193"/>
      <c r="BC95" s="195">
        <f t="shared" ca="1" si="25"/>
        <v>7.5247524752475259E-2</v>
      </c>
      <c r="BD95" s="195">
        <f t="shared" ca="1" si="25"/>
        <v>0.2081465281574631</v>
      </c>
      <c r="BE95" s="195">
        <f t="shared" ca="1" si="18"/>
        <v>0.31332027424094022</v>
      </c>
      <c r="BF95" s="139"/>
      <c r="BG95" s="55"/>
    </row>
    <row r="96" spans="4:62" ht="2" customHeight="1" x14ac:dyDescent="0.35">
      <c r="D96"/>
      <c r="E96"/>
      <c r="F96"/>
      <c r="G96"/>
      <c r="H96"/>
      <c r="AP96" s="55"/>
      <c r="AQ96" s="132"/>
      <c r="AR96" s="68"/>
      <c r="AS96" s="68"/>
      <c r="AT96" s="68"/>
      <c r="AU96" s="107"/>
      <c r="AV96" s="133"/>
      <c r="AW96" s="134"/>
      <c r="AX96" s="132"/>
      <c r="AY96" s="133"/>
      <c r="AZ96" s="108"/>
      <c r="BA96" s="135"/>
      <c r="BB96" s="134"/>
      <c r="BC96" s="108"/>
      <c r="BD96" s="108"/>
      <c r="BE96" s="108"/>
      <c r="BF96" s="135"/>
      <c r="BG96" s="55"/>
    </row>
    <row r="97" spans="4:62" ht="2" customHeight="1" x14ac:dyDescent="0.35">
      <c r="D97"/>
      <c r="E97"/>
      <c r="F97"/>
      <c r="G97"/>
      <c r="H97"/>
      <c r="AP97" s="55"/>
      <c r="AQ97" s="136"/>
      <c r="AR97" s="73"/>
      <c r="AS97" s="73"/>
      <c r="AT97" s="73"/>
      <c r="AU97" s="106"/>
      <c r="AV97" s="137"/>
      <c r="AW97" s="138"/>
      <c r="AX97" s="136"/>
      <c r="AY97" s="137"/>
      <c r="AZ97" s="75"/>
      <c r="BA97" s="139"/>
      <c r="BB97" s="138"/>
      <c r="BC97" s="75"/>
      <c r="BD97" s="75"/>
      <c r="BE97" s="75"/>
      <c r="BF97" s="139"/>
      <c r="BG97" s="55"/>
    </row>
    <row r="98" spans="4:62" x14ac:dyDescent="0.35">
      <c r="D98"/>
      <c r="E98"/>
      <c r="F98"/>
      <c r="G98"/>
      <c r="H98"/>
      <c r="AP98" s="55"/>
      <c r="AQ98" s="166"/>
      <c r="AR98" s="167" t="str">
        <f ca="1">OFFSET(ArrangedForR!$A$1,MATCH(Tables!$AS98,ArrangedForR!$F$2:$F$281,0),4)</f>
        <v>Inferred - Total Products of Animal or Vegetable Origin</v>
      </c>
      <c r="AS98" s="169">
        <v>301</v>
      </c>
      <c r="AT98" s="169" t="s">
        <v>329</v>
      </c>
      <c r="AU98" s="170">
        <f ca="1">OFFSET(ArrangedForR!$A$1,MATCH(Tables!$AS98,ArrangedForR!$F$2:$F$281,0),MATCH(Tables!AU$60,ArrangedForR!$G$1:$AY$1,0)+5)</f>
        <v>643</v>
      </c>
      <c r="AV98" s="171">
        <f ca="1">OFFSET(ArrangedForR!$A$1,MATCH(Tables!$AS98,ArrangedForR!$F$2:$F$281,0),MATCH(Tables!AV$60,ArrangedForR!$G$1:$AY$1,0)+5)</f>
        <v>1195</v>
      </c>
      <c r="AW98" s="172"/>
      <c r="AX98" s="181"/>
      <c r="AY98" s="171">
        <f ca="1">AV98-AU98</f>
        <v>552</v>
      </c>
      <c r="AZ98" s="173">
        <f ca="1">AV98/AU98-1</f>
        <v>0.85847589424572313</v>
      </c>
      <c r="BA98" s="182"/>
      <c r="BB98" s="172"/>
      <c r="BC98" s="173">
        <f t="shared" ca="1" si="25"/>
        <v>0.79579207920792083</v>
      </c>
      <c r="BD98" s="173">
        <f t="shared" ca="1" si="25"/>
        <v>0.6533624931656643</v>
      </c>
      <c r="BE98" s="173">
        <f ca="1">AY98/AY$74</f>
        <v>0.54064642507345739</v>
      </c>
      <c r="BF98" s="168"/>
      <c r="BG98" s="55"/>
      <c r="BH98" s="13">
        <f ca="1">AU98/AU$74</f>
        <v>0.79579207920792083</v>
      </c>
      <c r="BI98" s="13">
        <f t="shared" ref="BI98" ca="1" si="29">AV98/AV$74</f>
        <v>0.6533624931656643</v>
      </c>
      <c r="BJ98" s="13">
        <f ca="1">AY98/AY$74</f>
        <v>0.54064642507345739</v>
      </c>
    </row>
    <row r="99" spans="4:62" ht="2" customHeight="1" x14ac:dyDescent="0.35">
      <c r="D99"/>
      <c r="E99"/>
      <c r="F99"/>
      <c r="G99"/>
      <c r="H99"/>
      <c r="AP99" s="55"/>
      <c r="AQ99" s="136"/>
      <c r="AR99" s="73"/>
      <c r="AS99" s="142"/>
      <c r="AT99" s="142"/>
      <c r="AU99" s="157"/>
      <c r="AV99" s="158"/>
      <c r="AW99" s="159"/>
      <c r="AX99" s="163"/>
      <c r="AY99" s="158"/>
      <c r="AZ99" s="160"/>
      <c r="BA99" s="164"/>
      <c r="BB99" s="159"/>
      <c r="BC99" s="160"/>
      <c r="BD99" s="160"/>
      <c r="BE99" s="160"/>
      <c r="BF99" s="139"/>
      <c r="BG99" s="55"/>
    </row>
    <row r="100" spans="4:62" x14ac:dyDescent="0.35">
      <c r="D100"/>
      <c r="E100"/>
      <c r="F100"/>
      <c r="G100"/>
      <c r="H100"/>
      <c r="AP100" s="55"/>
      <c r="AQ100" s="136"/>
      <c r="AR100" s="143" t="str">
        <f ca="1">OFFSET(ArrangedForR!$A$1,MATCH(Tables!$AS100,ArrangedForR!$F$2:$F$281,0),4)</f>
        <v>Foodstuffs, including tobacco and products</v>
      </c>
      <c r="AS100" s="175">
        <v>208</v>
      </c>
      <c r="AT100" s="174" t="s">
        <v>347</v>
      </c>
      <c r="AU100" s="176">
        <f ca="1">OFFSET(ArrangedForR!$A$1,MATCH(Tables!$AS100,ArrangedForR!$F$2:$F$281,0),MATCH(Tables!AU$60,ArrangedForR!$G$1:$AY$1,0)+5)</f>
        <v>352</v>
      </c>
      <c r="AV100" s="177">
        <f ca="1">OFFSET(ArrangedForR!$A$1,MATCH(Tables!$AS100,ArrangedForR!$F$2:$F$281,0),MATCH(Tables!AV$60,ArrangedForR!$G$1:$AY$1,0)+5)</f>
        <v>384</v>
      </c>
      <c r="AW100" s="178"/>
      <c r="AX100" s="183"/>
      <c r="AY100" s="177">
        <f t="shared" ref="AY100:AY111" ca="1" si="30">AV100-AU100</f>
        <v>32</v>
      </c>
      <c r="AZ100" s="179">
        <f t="shared" ref="AZ100:AZ109" ca="1" si="31">AV100/AU100-1</f>
        <v>9.0909090909090828E-2</v>
      </c>
      <c r="BA100" s="184"/>
      <c r="BB100" s="178"/>
      <c r="BC100" s="179">
        <f t="shared" ca="1" si="25"/>
        <v>0.43564356435643564</v>
      </c>
      <c r="BD100" s="179">
        <f t="shared" ca="1" si="25"/>
        <v>0.20995079278294149</v>
      </c>
      <c r="BE100" s="179">
        <f t="shared" ref="BE100:BE111" ca="1" si="32">AY100/AY$74</f>
        <v>3.1341821743388835E-2</v>
      </c>
      <c r="BF100" s="139"/>
      <c r="BG100" s="55"/>
      <c r="BH100" s="13">
        <f ca="1">AU100/AU$98</f>
        <v>0.54743390357698285</v>
      </c>
      <c r="BI100" s="13">
        <f t="shared" ref="BI100" ca="1" si="33">AV100/AV$98</f>
        <v>0.32133891213389121</v>
      </c>
      <c r="BJ100" s="13">
        <f ca="1">AY100/AY$98</f>
        <v>5.7971014492753624E-2</v>
      </c>
    </row>
    <row r="101" spans="4:62" x14ac:dyDescent="0.35">
      <c r="D101"/>
      <c r="E101"/>
      <c r="F101"/>
      <c r="G101"/>
      <c r="H101"/>
      <c r="AP101" s="55"/>
      <c r="AQ101" s="136"/>
      <c r="AR101" s="144" t="str">
        <f ca="1">OFFSET(ArrangedForR!$A$1,MATCH(Tables!$AS101,ArrangedForR!$F$2:$F$281,0),4)</f>
        <v>Manufactured foodstuffs, including tobacco</v>
      </c>
      <c r="AS101" s="73">
        <v>204</v>
      </c>
      <c r="AT101" s="156" t="s">
        <v>348</v>
      </c>
      <c r="AU101" s="106">
        <f ca="1">OFFSET(ArrangedForR!$A$1,MATCH(Tables!$AS101,ArrangedForR!$F$2:$F$281,0),MATCH(Tables!AU$60,ArrangedForR!$G$1:$AY$1,0)+5)</f>
        <v>221</v>
      </c>
      <c r="AV101" s="137">
        <f ca="1">OFFSET(ArrangedForR!$A$1,MATCH(Tables!$AS101,ArrangedForR!$F$2:$F$281,0),MATCH(Tables!AV$60,ArrangedForR!$G$1:$AY$1,0)+5)</f>
        <v>253</v>
      </c>
      <c r="AW101" s="138"/>
      <c r="AX101" s="136"/>
      <c r="AY101" s="137">
        <f t="shared" ca="1" si="30"/>
        <v>32</v>
      </c>
      <c r="AZ101" s="75">
        <f t="shared" ca="1" si="31"/>
        <v>0.14479638009049767</v>
      </c>
      <c r="BA101" s="139"/>
      <c r="BB101" s="138"/>
      <c r="BC101" s="75">
        <f t="shared" ca="1" si="25"/>
        <v>0.27351485148514854</v>
      </c>
      <c r="BD101" s="75">
        <f t="shared" ca="1" si="25"/>
        <v>0.13832695462001093</v>
      </c>
      <c r="BE101" s="75">
        <f t="shared" ca="1" si="32"/>
        <v>3.1341821743388835E-2</v>
      </c>
      <c r="BF101" s="139"/>
      <c r="BG101" s="55"/>
      <c r="BH101" s="13">
        <f ca="1">AU101/AU$100</f>
        <v>0.62784090909090906</v>
      </c>
      <c r="BI101" s="13">
        <f t="shared" ref="BI101" ca="1" si="34">AV101/AV$100</f>
        <v>0.65885416666666663</v>
      </c>
      <c r="BJ101" s="13">
        <f ca="1">AY101/AY$100</f>
        <v>1</v>
      </c>
    </row>
    <row r="102" spans="4:62" x14ac:dyDescent="0.35">
      <c r="D102"/>
      <c r="E102"/>
      <c r="F102"/>
      <c r="G102"/>
      <c r="H102"/>
      <c r="AP102" s="55"/>
      <c r="AQ102" s="136"/>
      <c r="AR102" s="145" t="str">
        <f ca="1">OFFSET(ArrangedForR!$A$1,MATCH(Tables!$AS102,ArrangedForR!$F$2:$F$281,0),4)</f>
        <v>Beef</v>
      </c>
      <c r="AS102" s="151">
        <v>8</v>
      </c>
      <c r="AT102" s="150" t="s">
        <v>7</v>
      </c>
      <c r="AU102" s="152">
        <f ca="1">OFFSET(ArrangedForR!$A$1,MATCH(Tables!$AS102,ArrangedForR!$F$2:$F$281,0),MATCH(Tables!AU$60,ArrangedForR!$G$1:$AY$1,0)+5)</f>
        <v>25.7</v>
      </c>
      <c r="AV102" s="153">
        <f ca="1">OFFSET(ArrangedForR!$A$1,MATCH(Tables!$AS102,ArrangedForR!$F$2:$F$281,0),MATCH(Tables!AV$60,ArrangedForR!$G$1:$AY$1,0)+5)</f>
        <v>10.3</v>
      </c>
      <c r="AW102" s="154"/>
      <c r="AX102" s="187"/>
      <c r="AY102" s="153">
        <f t="shared" ca="1" si="30"/>
        <v>-15.399999999999999</v>
      </c>
      <c r="AZ102" s="155">
        <f t="shared" ca="1" si="31"/>
        <v>-0.59922178988326846</v>
      </c>
      <c r="BA102" s="188"/>
      <c r="BB102" s="154"/>
      <c r="BC102" s="155">
        <f t="shared" ca="1" si="25"/>
        <v>3.1806930693069307E-2</v>
      </c>
      <c r="BD102" s="155">
        <f t="shared" ca="1" si="25"/>
        <v>5.6314926189174417E-3</v>
      </c>
      <c r="BE102" s="155">
        <f t="shared" ca="1" si="32"/>
        <v>-1.5083251714005876E-2</v>
      </c>
      <c r="BF102" s="139"/>
      <c r="BG102" s="55"/>
      <c r="BH102" s="13">
        <f ca="1">AU102/AU$101</f>
        <v>0.116289592760181</v>
      </c>
      <c r="BI102" s="13">
        <f t="shared" ref="BI102:BI107" ca="1" si="35">AV102/AV$101</f>
        <v>4.0711462450592886E-2</v>
      </c>
      <c r="BJ102" s="13">
        <f t="shared" ref="BJ102:BJ107" ca="1" si="36">AY102/AY$101</f>
        <v>-0.48124999999999996</v>
      </c>
    </row>
    <row r="103" spans="4:62" x14ac:dyDescent="0.35">
      <c r="D103"/>
      <c r="E103"/>
      <c r="F103"/>
      <c r="G103"/>
      <c r="H103"/>
      <c r="AP103" s="55"/>
      <c r="AQ103" s="136"/>
      <c r="AR103" s="145" t="str">
        <f ca="1">OFFSET(ArrangedForR!$A$1,MATCH(Tables!$AS103,ArrangedForR!$F$2:$F$281,0),4)</f>
        <v>Pork and related products</v>
      </c>
      <c r="AS103" s="151">
        <v>9</v>
      </c>
      <c r="AT103" s="150" t="s">
        <v>349</v>
      </c>
      <c r="AU103" s="152">
        <f ca="1">OFFSET(ArrangedForR!$A$1,MATCH(Tables!$AS103,ArrangedForR!$F$2:$F$281,0),MATCH(Tables!AU$60,ArrangedForR!$G$1:$AY$1,0)+5)</f>
        <v>54.5</v>
      </c>
      <c r="AV103" s="153">
        <f ca="1">OFFSET(ArrangedForR!$A$1,MATCH(Tables!$AS103,ArrangedForR!$F$2:$F$281,0),MATCH(Tables!AV$60,ArrangedForR!$G$1:$AY$1,0)+5)</f>
        <v>46.2</v>
      </c>
      <c r="AW103" s="154"/>
      <c r="AX103" s="187"/>
      <c r="AY103" s="153">
        <f t="shared" ca="1" si="30"/>
        <v>-8.2999999999999972</v>
      </c>
      <c r="AZ103" s="155">
        <f t="shared" ca="1" si="31"/>
        <v>-0.15229357798165133</v>
      </c>
      <c r="BA103" s="188"/>
      <c r="BB103" s="154"/>
      <c r="BC103" s="155">
        <f t="shared" ca="1" si="25"/>
        <v>6.7450495049504955E-2</v>
      </c>
      <c r="BD103" s="155">
        <f t="shared" ca="1" si="25"/>
        <v>2.525970475669765E-2</v>
      </c>
      <c r="BE103" s="155">
        <f t="shared" ca="1" si="32"/>
        <v>-8.1292850146914754E-3</v>
      </c>
      <c r="BF103" s="139"/>
      <c r="BG103" s="55"/>
      <c r="BH103" s="13">
        <f t="shared" ref="BH103:BH107" ca="1" si="37">AU103/AU$101</f>
        <v>0.24660633484162897</v>
      </c>
      <c r="BI103" s="13">
        <f t="shared" ca="1" si="35"/>
        <v>0.18260869565217391</v>
      </c>
      <c r="BJ103" s="13">
        <f t="shared" ca="1" si="36"/>
        <v>-0.25937499999999991</v>
      </c>
    </row>
    <row r="104" spans="4:62" x14ac:dyDescent="0.35">
      <c r="D104"/>
      <c r="E104"/>
      <c r="F104"/>
      <c r="G104"/>
      <c r="H104"/>
      <c r="AP104" s="55"/>
      <c r="AQ104" s="136"/>
      <c r="AR104" s="145" t="str">
        <f ca="1">OFFSET(ArrangedForR!$A$1,MATCH(Tables!$AS104,ArrangedForR!$F$2:$F$281,0),4)</f>
        <v>Lard, oleo, and related products</v>
      </c>
      <c r="AS104" s="151">
        <v>11</v>
      </c>
      <c r="AT104" s="150" t="s">
        <v>350</v>
      </c>
      <c r="AU104" s="152">
        <f ca="1">OFFSET(ArrangedForR!$A$1,MATCH(Tables!$AS104,ArrangedForR!$F$2:$F$281,0),MATCH(Tables!AU$60,ArrangedForR!$G$1:$AY$1,0)+5)</f>
        <v>45.2</v>
      </c>
      <c r="AV104" s="153">
        <f ca="1">OFFSET(ArrangedForR!$A$1,MATCH(Tables!$AS104,ArrangedForR!$F$2:$F$281,0),MATCH(Tables!AV$60,ArrangedForR!$G$1:$AY$1,0)+5)</f>
        <v>66.599999999999994</v>
      </c>
      <c r="AW104" s="154"/>
      <c r="AX104" s="187"/>
      <c r="AY104" s="153">
        <f t="shared" ca="1" si="30"/>
        <v>21.399999999999991</v>
      </c>
      <c r="AZ104" s="155">
        <f t="shared" ca="1" si="31"/>
        <v>0.47345132743362806</v>
      </c>
      <c r="BA104" s="188"/>
      <c r="BB104" s="154"/>
      <c r="BC104" s="155">
        <f t="shared" ca="1" si="25"/>
        <v>5.5940594059405942E-2</v>
      </c>
      <c r="BD104" s="155">
        <f t="shared" ca="1" si="25"/>
        <v>3.6413340623291414E-2</v>
      </c>
      <c r="BE104" s="155">
        <f t="shared" ca="1" si="32"/>
        <v>2.0959843290891275E-2</v>
      </c>
      <c r="BF104" s="139"/>
      <c r="BG104" s="55"/>
      <c r="BH104" s="13">
        <f t="shared" ca="1" si="37"/>
        <v>0.20452488687782808</v>
      </c>
      <c r="BI104" s="13">
        <f t="shared" ca="1" si="35"/>
        <v>0.26324110671936757</v>
      </c>
      <c r="BJ104" s="13">
        <f t="shared" ca="1" si="36"/>
        <v>0.66874999999999973</v>
      </c>
    </row>
    <row r="105" spans="4:62" x14ac:dyDescent="0.35">
      <c r="D105"/>
      <c r="E105"/>
      <c r="F105"/>
      <c r="G105"/>
      <c r="H105"/>
      <c r="AP105" s="55"/>
      <c r="AQ105" s="136"/>
      <c r="AR105" s="145" t="str">
        <f ca="1">OFFSET(ArrangedForR!$A$1,MATCH(Tables!$AS105,ArrangedForR!$F$2:$F$281,0),4)</f>
        <v>Dairy products, manufactured</v>
      </c>
      <c r="AS105" s="151">
        <v>12</v>
      </c>
      <c r="AT105" s="150" t="s">
        <v>365</v>
      </c>
      <c r="AU105" s="152">
        <f ca="1">OFFSET(ArrangedForR!$A$1,MATCH(Tables!$AS105,ArrangedForR!$F$2:$F$281,0),MATCH(Tables!AU$60,ArrangedForR!$G$1:$AY$1,0)+5)</f>
        <v>5.8</v>
      </c>
      <c r="AV105" s="153">
        <f ca="1">OFFSET(ArrangedForR!$A$1,MATCH(Tables!$AS105,ArrangedForR!$F$2:$F$281,0),MATCH(Tables!AV$60,ArrangedForR!$G$1:$AY$1,0)+5)</f>
        <v>2.2000000000000002</v>
      </c>
      <c r="AW105" s="154"/>
      <c r="AX105" s="187"/>
      <c r="AY105" s="153">
        <f t="shared" ca="1" si="30"/>
        <v>-3.5999999999999996</v>
      </c>
      <c r="AZ105" s="155">
        <f t="shared" ca="1" si="31"/>
        <v>-0.6206896551724137</v>
      </c>
      <c r="BA105" s="188"/>
      <c r="BB105" s="154"/>
      <c r="BC105" s="155">
        <f t="shared" ca="1" si="25"/>
        <v>7.1782178217821777E-3</v>
      </c>
      <c r="BD105" s="155">
        <f t="shared" ca="1" si="25"/>
        <v>1.202843083652269E-3</v>
      </c>
      <c r="BE105" s="155">
        <f t="shared" ca="1" si="32"/>
        <v>-3.5259549461312436E-3</v>
      </c>
      <c r="BF105" s="139"/>
      <c r="BG105" s="55"/>
      <c r="BH105" s="13">
        <f t="shared" ca="1" si="37"/>
        <v>2.6244343891402715E-2</v>
      </c>
      <c r="BI105" s="13">
        <f t="shared" ca="1" si="35"/>
        <v>8.6956521739130436E-3</v>
      </c>
      <c r="BJ105" s="13">
        <f t="shared" ca="1" si="36"/>
        <v>-0.11249999999999999</v>
      </c>
    </row>
    <row r="106" spans="4:62" x14ac:dyDescent="0.35">
      <c r="D106"/>
      <c r="E106"/>
      <c r="F106"/>
      <c r="G106"/>
      <c r="H106"/>
      <c r="AP106" s="55"/>
      <c r="AQ106" s="136"/>
      <c r="AR106" s="145" t="str">
        <f ca="1">OFFSET(ArrangedForR!$A$1,MATCH(Tables!$AS106,ArrangedForR!$F$2:$F$281,0),4)</f>
        <v>Flour and other grain products</v>
      </c>
      <c r="AS106" s="151">
        <v>14</v>
      </c>
      <c r="AT106" s="150" t="s">
        <v>351</v>
      </c>
      <c r="AU106" s="152">
        <f ca="1">OFFSET(ArrangedForR!$A$1,MATCH(Tables!$AS106,ArrangedForR!$F$2:$F$281,0),MATCH(Tables!AU$60,ArrangedForR!$G$1:$AY$1,0)+5)</f>
        <v>54.4</v>
      </c>
      <c r="AV106" s="153">
        <f ca="1">OFFSET(ArrangedForR!$A$1,MATCH(Tables!$AS106,ArrangedForR!$F$2:$F$281,0),MATCH(Tables!AV$60,ArrangedForR!$G$1:$AY$1,0)+5)</f>
        <v>48.2</v>
      </c>
      <c r="AW106" s="154"/>
      <c r="AX106" s="187"/>
      <c r="AY106" s="153">
        <f t="shared" ca="1" si="30"/>
        <v>-6.1999999999999957</v>
      </c>
      <c r="AZ106" s="155">
        <f t="shared" ca="1" si="31"/>
        <v>-0.11397058823529405</v>
      </c>
      <c r="BA106" s="188"/>
      <c r="BB106" s="154"/>
      <c r="BC106" s="155">
        <f t="shared" ca="1" si="25"/>
        <v>6.7326732673267331E-2</v>
      </c>
      <c r="BD106" s="155">
        <f t="shared" ca="1" si="25"/>
        <v>2.6353198469108805E-2</v>
      </c>
      <c r="BE106" s="155">
        <f t="shared" ca="1" si="32"/>
        <v>-6.0724779627815825E-3</v>
      </c>
      <c r="BF106" s="139"/>
      <c r="BG106" s="55"/>
      <c r="BH106" s="13">
        <f t="shared" ca="1" si="37"/>
        <v>0.24615384615384614</v>
      </c>
      <c r="BI106" s="13">
        <f t="shared" ca="1" si="35"/>
        <v>0.19051383399209487</v>
      </c>
      <c r="BJ106" s="13">
        <f t="shared" ca="1" si="36"/>
        <v>-0.19374999999999987</v>
      </c>
    </row>
    <row r="107" spans="4:62" x14ac:dyDescent="0.35">
      <c r="D107"/>
      <c r="E107"/>
      <c r="F107"/>
      <c r="G107"/>
      <c r="H107"/>
      <c r="AP107" s="55"/>
      <c r="AQ107" s="136"/>
      <c r="AR107" s="145" t="str">
        <f ca="1">OFFSET(ArrangedForR!$A$1,MATCH(Tables!$AS107,ArrangedForR!$F$2:$F$281,0),4)</f>
        <v>Vegetable oil, cake, and meal</v>
      </c>
      <c r="AS107" s="151">
        <v>15</v>
      </c>
      <c r="AT107" s="150" t="s">
        <v>366</v>
      </c>
      <c r="AU107" s="152">
        <f ca="1">OFFSET(ArrangedForR!$A$1,MATCH(Tables!$AS107,ArrangedForR!$F$2:$F$281,0),MATCH(Tables!AU$60,ArrangedForR!$G$1:$AY$1,0)+5)</f>
        <v>14.3</v>
      </c>
      <c r="AV107" s="153">
        <f ca="1">OFFSET(ArrangedForR!$A$1,MATCH(Tables!$AS107,ArrangedForR!$F$2:$F$281,0),MATCH(Tables!AV$60,ArrangedForR!$G$1:$AY$1,0)+5)</f>
        <v>33.9</v>
      </c>
      <c r="AW107" s="154"/>
      <c r="AX107" s="187"/>
      <c r="AY107" s="153">
        <f t="shared" ca="1" si="30"/>
        <v>19.599999999999998</v>
      </c>
      <c r="AZ107" s="155">
        <f t="shared" ca="1" si="31"/>
        <v>1.3706293706293704</v>
      </c>
      <c r="BA107" s="188"/>
      <c r="BB107" s="154"/>
      <c r="BC107" s="155">
        <f t="shared" ca="1" si="25"/>
        <v>1.76980198019802E-2</v>
      </c>
      <c r="BD107" s="155">
        <f t="shared" ca="1" si="25"/>
        <v>1.8534718425369055E-2</v>
      </c>
      <c r="BE107" s="155">
        <f t="shared" ca="1" si="32"/>
        <v>1.9196865817825658E-2</v>
      </c>
      <c r="BF107" s="139"/>
      <c r="BG107" s="55"/>
      <c r="BH107" s="13">
        <f t="shared" ca="1" si="37"/>
        <v>6.4705882352941183E-2</v>
      </c>
      <c r="BI107" s="13">
        <f t="shared" ca="1" si="35"/>
        <v>0.13399209486166008</v>
      </c>
      <c r="BJ107" s="13">
        <f t="shared" ca="1" si="36"/>
        <v>0.61249999999999993</v>
      </c>
    </row>
    <row r="108" spans="4:62" x14ac:dyDescent="0.35">
      <c r="D108"/>
      <c r="E108"/>
      <c r="F108"/>
      <c r="G108"/>
      <c r="H108"/>
      <c r="AP108" s="55"/>
      <c r="AQ108" s="136"/>
      <c r="AR108" s="144" t="str">
        <f ca="1">OFFSET(ArrangedForR!$A$1,MATCH(Tables!$AS108,ArrangedForR!$F$2:$F$281,0),4)</f>
        <v>Crude foodstuffs, including tobacco</v>
      </c>
      <c r="AS108" s="73">
        <v>202</v>
      </c>
      <c r="AT108" s="156" t="s">
        <v>352</v>
      </c>
      <c r="AU108" s="106">
        <f ca="1">OFFSET(ArrangedForR!$A$1,MATCH(Tables!$AS108,ArrangedForR!$F$2:$F$281,0),MATCH(Tables!AU$60,ArrangedForR!$G$1:$AY$1,0)+5)</f>
        <v>131</v>
      </c>
      <c r="AV108" s="137">
        <f ca="1">OFFSET(ArrangedForR!$A$1,MATCH(Tables!$AS108,ArrangedForR!$F$2:$F$281,0),MATCH(Tables!AV$60,ArrangedForR!$G$1:$AY$1,0)+5)</f>
        <v>131</v>
      </c>
      <c r="AW108" s="138"/>
      <c r="AX108" s="136"/>
      <c r="AY108" s="137">
        <f t="shared" ca="1" si="30"/>
        <v>0</v>
      </c>
      <c r="AZ108" s="75">
        <f t="shared" ca="1" si="31"/>
        <v>0</v>
      </c>
      <c r="BA108" s="139"/>
      <c r="BB108" s="138"/>
      <c r="BC108" s="75">
        <f t="shared" ca="1" si="25"/>
        <v>0.16212871287128713</v>
      </c>
      <c r="BD108" s="75">
        <f t="shared" ca="1" si="25"/>
        <v>7.1623838162930567E-2</v>
      </c>
      <c r="BE108" s="75">
        <f t="shared" ca="1" si="32"/>
        <v>0</v>
      </c>
      <c r="BF108" s="139"/>
      <c r="BG108" s="55"/>
      <c r="BH108" s="13">
        <f ca="1">AU108/AU$100</f>
        <v>0.37215909090909088</v>
      </c>
      <c r="BI108" s="13">
        <f t="shared" ref="BI108" ca="1" si="38">AV108/AV$100</f>
        <v>0.34114583333333331</v>
      </c>
      <c r="BJ108" s="13">
        <f ca="1">AY108/AY$100</f>
        <v>0</v>
      </c>
    </row>
    <row r="109" spans="4:62" x14ac:dyDescent="0.35">
      <c r="D109"/>
      <c r="E109"/>
      <c r="F109"/>
      <c r="G109"/>
      <c r="H109"/>
      <c r="AP109" s="55"/>
      <c r="AQ109" s="136"/>
      <c r="AR109" s="145" t="str">
        <f ca="1">OFFSET(ArrangedForR!$A$1,MATCH(Tables!$AS109,ArrangedForR!$F$2:$F$281,0),4)</f>
        <v>Crude animal foods, agricultural</v>
      </c>
      <c r="AS109" s="151">
        <v>1</v>
      </c>
      <c r="AT109" s="150" t="s">
        <v>353</v>
      </c>
      <c r="AU109" s="152">
        <f ca="1">OFFSET(ArrangedForR!$A$1,MATCH(Tables!$AS109,ArrangedForR!$F$2:$F$281,0),MATCH(Tables!AU$60,ArrangedForR!$G$1:$AY$1,0)+5)</f>
        <v>30.5</v>
      </c>
      <c r="AV109" s="153">
        <f ca="1">OFFSET(ArrangedForR!$A$1,MATCH(Tables!$AS109,ArrangedForR!$F$2:$F$281,0),MATCH(Tables!AV$60,ArrangedForR!$G$1:$AY$1,0)+5)</f>
        <v>11.3</v>
      </c>
      <c r="AW109" s="154"/>
      <c r="AX109" s="187"/>
      <c r="AY109" s="153">
        <f t="shared" ca="1" si="30"/>
        <v>-19.2</v>
      </c>
      <c r="AZ109" s="155">
        <f t="shared" ca="1" si="31"/>
        <v>-0.62950819672131142</v>
      </c>
      <c r="BA109" s="188"/>
      <c r="BB109" s="154"/>
      <c r="BC109" s="155">
        <f t="shared" ca="1" si="25"/>
        <v>3.7747524752475246E-2</v>
      </c>
      <c r="BD109" s="155">
        <f t="shared" ca="1" si="25"/>
        <v>6.1782394751230185E-3</v>
      </c>
      <c r="BE109" s="155">
        <f t="shared" ca="1" si="32"/>
        <v>-1.8805093046033301E-2</v>
      </c>
      <c r="BF109" s="139"/>
      <c r="BG109" s="55"/>
      <c r="BH109" s="13">
        <f ca="1">AU109/AU$108</f>
        <v>0.23282442748091603</v>
      </c>
      <c r="BI109" s="13">
        <f t="shared" ref="BI109" ca="1" si="39">AV109/AV$108</f>
        <v>8.6259541984732832E-2</v>
      </c>
      <c r="BJ109" s="13" t="e">
        <f ca="1">AY109/AY$108</f>
        <v>#DIV/0!</v>
      </c>
    </row>
    <row r="110" spans="4:62" x14ac:dyDescent="0.35">
      <c r="D110"/>
      <c r="E110"/>
      <c r="F110"/>
      <c r="G110"/>
      <c r="H110"/>
      <c r="AP110" s="55"/>
      <c r="AQ110" s="136"/>
      <c r="AR110" s="145" t="str">
        <f ca="1">OFFSET(ArrangedForR!$A$1,MATCH(Tables!$AS110,ArrangedForR!$F$2:$F$281,0),4)</f>
        <v>Grains</v>
      </c>
      <c r="AS110" s="151">
        <v>5</v>
      </c>
      <c r="AT110" s="150" t="s">
        <v>4</v>
      </c>
      <c r="AU110" s="152">
        <f ca="1">OFFSET(ArrangedForR!$A$1,MATCH(Tables!$AS110,ArrangedForR!$F$2:$F$281,0),MATCH(Tables!AU$60,ArrangedForR!$G$1:$AY$1,0)+5)</f>
        <v>70.900000000000006</v>
      </c>
      <c r="AV110" s="153">
        <f ca="1">OFFSET(ArrangedForR!$A$1,MATCH(Tables!$AS110,ArrangedForR!$F$2:$F$281,0),MATCH(Tables!AV$60,ArrangedForR!$G$1:$AY$1,0)+5)</f>
        <v>57.1</v>
      </c>
      <c r="AW110" s="154"/>
      <c r="AX110" s="187"/>
      <c r="AY110" s="153">
        <f t="shared" ca="1" si="30"/>
        <v>-13.800000000000004</v>
      </c>
      <c r="AZ110" s="155">
        <f t="shared" ref="AZ110" ca="1" si="40">AV110/AU110-1</f>
        <v>-0.19464033850493656</v>
      </c>
      <c r="BA110" s="188"/>
      <c r="BB110" s="154"/>
      <c r="BC110" s="155">
        <f t="shared" ca="1" si="25"/>
        <v>8.7747524752475256E-2</v>
      </c>
      <c r="BD110" s="155">
        <f t="shared" ca="1" si="25"/>
        <v>3.1219245489338437E-2</v>
      </c>
      <c r="BE110" s="155">
        <f t="shared" ca="1" si="32"/>
        <v>-1.351616062683644E-2</v>
      </c>
      <c r="BF110" s="139"/>
      <c r="BG110" s="55"/>
      <c r="BH110" s="13">
        <f t="shared" ref="BH110:BH111" ca="1" si="41">AU110/AU$108</f>
        <v>0.54122137404580162</v>
      </c>
      <c r="BI110" s="13">
        <f t="shared" ref="BI110:BI111" ca="1" si="42">AV110/AV$108</f>
        <v>0.43587786259541988</v>
      </c>
      <c r="BJ110" s="13" t="e">
        <f ca="1">AY110/AY$108</f>
        <v>#DIV/0!</v>
      </c>
    </row>
    <row r="111" spans="4:62" x14ac:dyDescent="0.35">
      <c r="D111"/>
      <c r="E111"/>
      <c r="F111"/>
      <c r="G111"/>
      <c r="H111"/>
      <c r="AP111" s="55"/>
      <c r="AQ111" s="136"/>
      <c r="AR111" s="145" t="str">
        <f ca="1">OFFSET(ArrangedForR!$A$1,MATCH(Tables!$AS111,ArrangedForR!$F$2:$F$281,0),4)</f>
        <v>Crude tobacco</v>
      </c>
      <c r="AS111" s="151">
        <v>25</v>
      </c>
      <c r="AT111" s="150" t="s">
        <v>354</v>
      </c>
      <c r="AU111" s="152">
        <f ca="1">OFFSET(ArrangedForR!$A$1,MATCH(Tables!$AS111,ArrangedForR!$F$2:$F$281,0),MATCH(Tables!AU$60,ArrangedForR!$G$1:$AY$1,0)+5)</f>
        <v>24.7</v>
      </c>
      <c r="AV111" s="153">
        <f ca="1">OFFSET(ArrangedForR!$A$1,MATCH(Tables!$AS111,ArrangedForR!$F$2:$F$281,0),MATCH(Tables!AV$60,ArrangedForR!$G$1:$AY$1,0)+5)</f>
        <v>36.1</v>
      </c>
      <c r="AW111" s="154"/>
      <c r="AX111" s="187"/>
      <c r="AY111" s="153">
        <f t="shared" ca="1" si="30"/>
        <v>11.400000000000002</v>
      </c>
      <c r="AZ111" s="155">
        <f t="shared" ref="AZ111" ca="1" si="43">AV111/AU111-1</f>
        <v>0.46153846153846168</v>
      </c>
      <c r="BA111" s="188"/>
      <c r="BB111" s="154"/>
      <c r="BC111" s="155">
        <f t="shared" ca="1" si="25"/>
        <v>3.0569306930693069E-2</v>
      </c>
      <c r="BD111" s="155">
        <f t="shared" ca="1" si="25"/>
        <v>1.9737561509021322E-2</v>
      </c>
      <c r="BE111" s="155">
        <f t="shared" ca="1" si="32"/>
        <v>1.1165523996082274E-2</v>
      </c>
      <c r="BF111" s="139"/>
      <c r="BG111" s="55"/>
      <c r="BH111" s="13">
        <f t="shared" ca="1" si="41"/>
        <v>0.18854961832061068</v>
      </c>
      <c r="BI111" s="13">
        <f t="shared" ca="1" si="42"/>
        <v>0.27557251908396946</v>
      </c>
      <c r="BJ111" s="13" t="e">
        <f ca="1">AY111/AY$108</f>
        <v>#DIV/0!</v>
      </c>
    </row>
    <row r="112" spans="4:62" ht="2" customHeight="1" x14ac:dyDescent="0.35">
      <c r="D112"/>
      <c r="E112"/>
      <c r="F112"/>
      <c r="G112"/>
      <c r="H112"/>
      <c r="AP112" s="55"/>
      <c r="AQ112" s="136"/>
      <c r="AR112" s="145"/>
      <c r="AS112" s="151"/>
      <c r="AT112" s="150"/>
      <c r="AU112" s="152"/>
      <c r="AV112" s="153"/>
      <c r="AW112" s="154"/>
      <c r="AX112" s="187"/>
      <c r="AY112" s="153"/>
      <c r="AZ112" s="155"/>
      <c r="BA112" s="188"/>
      <c r="BB112" s="154"/>
      <c r="BC112" s="155"/>
      <c r="BD112" s="155"/>
      <c r="BE112" s="155"/>
      <c r="BF112" s="139"/>
      <c r="BG112" s="55"/>
    </row>
    <row r="113" spans="4:62" x14ac:dyDescent="0.35">
      <c r="D113"/>
      <c r="E113"/>
      <c r="F113"/>
      <c r="G113"/>
      <c r="H113"/>
      <c r="AP113" s="55"/>
      <c r="AQ113" s="136"/>
      <c r="AR113" s="143" t="str">
        <f ca="1">OFFSET(ArrangedForR!$A$1,MATCH(Tables!$AS113,ArrangedForR!$F$2:$F$281,0),4)</f>
        <v>Inferred - Nonfood Animal or Vegetable</v>
      </c>
      <c r="AS113" s="175">
        <v>310</v>
      </c>
      <c r="AT113" s="174" t="s">
        <v>355</v>
      </c>
      <c r="AU113" s="176">
        <f ca="1">OFFSET(ArrangedForR!$A$1,MATCH(Tables!$AS113,ArrangedForR!$F$2:$F$281,0),MATCH(Tables!AU$60,ArrangedForR!$G$1:$AY$1,0)+5)</f>
        <v>291</v>
      </c>
      <c r="AV113" s="177">
        <f ca="1">OFFSET(ArrangedForR!$A$1,MATCH(Tables!$AS113,ArrangedForR!$F$2:$F$281,0),MATCH(Tables!AV$60,ArrangedForR!$G$1:$AY$1,0)+5)</f>
        <v>811</v>
      </c>
      <c r="AW113" s="178"/>
      <c r="AX113" s="183"/>
      <c r="AY113" s="177">
        <f t="shared" ref="AY113:AY119" ca="1" si="44">AV113-AU113</f>
        <v>520</v>
      </c>
      <c r="AZ113" s="179">
        <f ca="1">AV113/AU113-1</f>
        <v>1.7869415807560136</v>
      </c>
      <c r="BA113" s="184"/>
      <c r="BB113" s="178"/>
      <c r="BC113" s="179">
        <f t="shared" ca="1" si="25"/>
        <v>0.36014851485148514</v>
      </c>
      <c r="BD113" s="179">
        <f t="shared" ca="1" si="25"/>
        <v>0.44341170038272282</v>
      </c>
      <c r="BE113" s="179">
        <f t="shared" ref="BE113:BE119" ca="1" si="45">AY113/AY$74</f>
        <v>0.50930460333006855</v>
      </c>
      <c r="BF113" s="139"/>
      <c r="BG113" s="55"/>
      <c r="BH113" s="13">
        <f ca="1">AU113/AU$98</f>
        <v>0.45256609642301709</v>
      </c>
      <c r="BI113" s="13">
        <f t="shared" ref="BI113" ca="1" si="46">AV113/AV$98</f>
        <v>0.67866108786610879</v>
      </c>
      <c r="BJ113" s="13">
        <f ca="1">AY113/AY$98</f>
        <v>0.94202898550724634</v>
      </c>
    </row>
    <row r="114" spans="4:62" x14ac:dyDescent="0.35">
      <c r="D114"/>
      <c r="E114"/>
      <c r="F114"/>
      <c r="G114"/>
      <c r="H114"/>
      <c r="AP114" s="55"/>
      <c r="AQ114" s="136"/>
      <c r="AR114" s="145" t="str">
        <f ca="1">OFFSET(ArrangedForR!$A$1,MATCH(Tables!$AS114,ArrangedForR!$F$2:$F$281,0),4)</f>
        <v>Cotton textiles, crude</v>
      </c>
      <c r="AS114" s="151">
        <v>42</v>
      </c>
      <c r="AT114" s="150" t="s">
        <v>374</v>
      </c>
      <c r="AU114" s="152">
        <f ca="1">OFFSET(ArrangedForR!$A$1,MATCH(Tables!$AS114,ArrangedForR!$F$2:$F$281,0),MATCH(Tables!AU$60,ArrangedForR!$G$1:$AY$1,0)+5)</f>
        <v>189.9</v>
      </c>
      <c r="AV114" s="153">
        <f ca="1">OFFSET(ArrangedForR!$A$1,MATCH(Tables!$AS114,ArrangedForR!$F$2:$F$281,0),MATCH(Tables!AV$60,ArrangedForR!$G$1:$AY$1,0)+5)</f>
        <v>530.79999999999995</v>
      </c>
      <c r="AW114" s="154"/>
      <c r="AX114" s="187"/>
      <c r="AY114" s="153">
        <f t="shared" ca="1" si="44"/>
        <v>340.9</v>
      </c>
      <c r="AZ114" s="155">
        <f t="shared" ref="AZ114" ca="1" si="47">AV114/AU114-1</f>
        <v>1.7951553449183777</v>
      </c>
      <c r="BA114" s="188"/>
      <c r="BB114" s="154"/>
      <c r="BC114" s="155">
        <f t="shared" ref="BC114" ca="1" si="48">AU114/AU$74</f>
        <v>0.23502475247524754</v>
      </c>
      <c r="BD114" s="155">
        <f t="shared" ref="BD114" ca="1" si="49">AV114/AV$74</f>
        <v>0.29021323127392012</v>
      </c>
      <c r="BE114" s="155">
        <f t="shared" ca="1" si="45"/>
        <v>0.33388834476003915</v>
      </c>
      <c r="BF114" s="139"/>
      <c r="BG114" s="55"/>
      <c r="BH114" s="13">
        <f t="shared" ref="BH114:BH115" ca="1" si="50">AU114/AU$113</f>
        <v>0.65257731958762888</v>
      </c>
      <c r="BI114" s="13">
        <f t="shared" ref="BI114:BI115" ca="1" si="51">AV114/AV$113</f>
        <v>0.65450061652281133</v>
      </c>
      <c r="BJ114" s="13">
        <f t="shared" ref="BJ114:BJ119" ca="1" si="52">AY114/AY$113</f>
        <v>0.65557692307692306</v>
      </c>
    </row>
    <row r="115" spans="4:62" x14ac:dyDescent="0.35">
      <c r="D115"/>
      <c r="E115"/>
      <c r="F115"/>
      <c r="G115"/>
      <c r="H115"/>
      <c r="AP115" s="55"/>
      <c r="AQ115" s="136"/>
      <c r="AR115" s="145" t="str">
        <f ca="1">OFFSET(ArrangedForR!$A$1,MATCH(Tables!$AS115,ArrangedForR!$F$2:$F$281,0),4)</f>
        <v>Other vegetable fibers, crude</v>
      </c>
      <c r="AS115" s="151">
        <v>51</v>
      </c>
      <c r="AT115" s="150" t="s">
        <v>367</v>
      </c>
      <c r="AU115" s="152">
        <f ca="1">OFFSET(ArrangedForR!$A$1,MATCH(Tables!$AS115,ArrangedForR!$F$2:$F$281,0),MATCH(Tables!AU$60,ArrangedForR!$G$1:$AY$1,0)+5)</f>
        <v>10.5</v>
      </c>
      <c r="AV115" s="153">
        <f ca="1">OFFSET(ArrangedForR!$A$1,MATCH(Tables!$AS115,ArrangedForR!$F$2:$F$281,0),MATCH(Tables!AV$60,ArrangedForR!$G$1:$AY$1,0)+5)</f>
        <v>25.5</v>
      </c>
      <c r="AW115" s="154"/>
      <c r="AX115" s="187"/>
      <c r="AY115" s="153">
        <f t="shared" ca="1" si="44"/>
        <v>15</v>
      </c>
      <c r="AZ115" s="155">
        <f t="shared" ref="AZ115" ca="1" si="53">AV115/AU115-1</f>
        <v>1.4285714285714284</v>
      </c>
      <c r="BA115" s="188"/>
      <c r="BB115" s="154"/>
      <c r="BC115" s="155">
        <f t="shared" ref="BC115:BC119" ca="1" si="54">AU115/AU$74</f>
        <v>1.2995049504950494E-2</v>
      </c>
      <c r="BD115" s="155">
        <f t="shared" ref="BD115:BD119" ca="1" si="55">AV115/AV$74</f>
        <v>1.3942044833242209E-2</v>
      </c>
      <c r="BE115" s="155">
        <f t="shared" ca="1" si="45"/>
        <v>1.4691478942213516E-2</v>
      </c>
      <c r="BF115" s="139"/>
      <c r="BG115" s="55"/>
      <c r="BH115" s="13">
        <f t="shared" ca="1" si="50"/>
        <v>3.608247422680412E-2</v>
      </c>
      <c r="BI115" s="13">
        <f t="shared" ca="1" si="51"/>
        <v>3.1442663378545004E-2</v>
      </c>
      <c r="BJ115" s="13">
        <f t="shared" ca="1" si="52"/>
        <v>2.8846153846153848E-2</v>
      </c>
    </row>
    <row r="116" spans="4:62" x14ac:dyDescent="0.35">
      <c r="D116"/>
      <c r="E116"/>
      <c r="F116"/>
      <c r="G116"/>
      <c r="H116"/>
      <c r="AP116" s="55"/>
      <c r="AQ116" s="136"/>
      <c r="AR116" s="145" t="str">
        <f ca="1">OFFSET(ArrangedForR!$A$1,MATCH(Tables!$AS116,ArrangedForR!$F$2:$F$281,0),4)</f>
        <v>Hides, leather, and products, semimanufactured</v>
      </c>
      <c r="AS116" s="151">
        <v>28</v>
      </c>
      <c r="AT116" s="150" t="s">
        <v>368</v>
      </c>
      <c r="AU116" s="152">
        <f ca="1">OFFSET(ArrangedForR!$A$1,MATCH(Tables!$AS116,ArrangedForR!$F$2:$F$281,0),MATCH(Tables!AU$60,ArrangedForR!$G$1:$AY$1,0)+5)</f>
        <v>16.2</v>
      </c>
      <c r="AV116" s="153">
        <f ca="1">OFFSET(ArrangedForR!$A$1,MATCH(Tables!$AS116,ArrangedForR!$F$2:$F$281,0),MATCH(Tables!AV$60,ArrangedForR!$G$1:$AY$1,0)+5)</f>
        <v>37.5</v>
      </c>
      <c r="AW116" s="154"/>
      <c r="AX116" s="187"/>
      <c r="AY116" s="153">
        <f t="shared" ca="1" si="44"/>
        <v>21.3</v>
      </c>
      <c r="AZ116" s="155">
        <f t="shared" ref="AZ116" ca="1" si="56">AV116/AU116-1</f>
        <v>1.3148148148148149</v>
      </c>
      <c r="BA116" s="188"/>
      <c r="BB116" s="154"/>
      <c r="BC116" s="155">
        <f t="shared" ca="1" si="54"/>
        <v>2.004950495049505E-2</v>
      </c>
      <c r="BD116" s="155">
        <f t="shared" ca="1" si="55"/>
        <v>2.050300710770913E-2</v>
      </c>
      <c r="BE116" s="155">
        <f t="shared" ca="1" si="45"/>
        <v>2.0861900097943194E-2</v>
      </c>
      <c r="BF116" s="139"/>
      <c r="BG116" s="55"/>
      <c r="BH116" s="13">
        <f ca="1">AU116/AU$113</f>
        <v>5.5670103092783502E-2</v>
      </c>
      <c r="BI116" s="13">
        <f ca="1">AV116/AV$113</f>
        <v>4.6239210850801481E-2</v>
      </c>
      <c r="BJ116" s="13">
        <f t="shared" ca="1" si="52"/>
        <v>4.0961538461538466E-2</v>
      </c>
    </row>
    <row r="117" spans="4:62" x14ac:dyDescent="0.35">
      <c r="D117"/>
      <c r="E117"/>
      <c r="F117"/>
      <c r="G117"/>
      <c r="H117"/>
      <c r="AP117" s="55"/>
      <c r="AQ117" s="136"/>
      <c r="AR117" s="145" t="str">
        <f ca="1">OFFSET(ArrangedForR!$A$1,MATCH(Tables!$AS117,ArrangedForR!$F$2:$F$281,0),4)</f>
        <v>Cotton textiles, manufactured</v>
      </c>
      <c r="AS117" s="151">
        <v>44</v>
      </c>
      <c r="AT117" s="150" t="s">
        <v>370</v>
      </c>
      <c r="AU117" s="152">
        <f ca="1">OFFSET(ArrangedForR!$A$1,MATCH(Tables!$AS117,ArrangedForR!$F$2:$F$281,0),MATCH(Tables!AU$60,ArrangedForR!$G$1:$AY$1,0)+5)</f>
        <v>14</v>
      </c>
      <c r="AV117" s="153">
        <f ca="1">OFFSET(ArrangedForR!$A$1,MATCH(Tables!$AS117,ArrangedForR!$F$2:$F$281,0),MATCH(Tables!AV$60,ArrangedForR!$G$1:$AY$1,0)+5)</f>
        <v>32</v>
      </c>
      <c r="AW117" s="154"/>
      <c r="AX117" s="187"/>
      <c r="AY117" s="153">
        <f t="shared" ca="1" si="44"/>
        <v>18</v>
      </c>
      <c r="AZ117" s="155">
        <f t="shared" ref="AZ117" ca="1" si="57">AV117/AU117-1</f>
        <v>1.2857142857142856</v>
      </c>
      <c r="BA117" s="188"/>
      <c r="BB117" s="154"/>
      <c r="BC117" s="155">
        <f t="shared" ca="1" si="54"/>
        <v>1.7326732673267328E-2</v>
      </c>
      <c r="BD117" s="155">
        <f t="shared" ca="1" si="55"/>
        <v>1.7495899398578457E-2</v>
      </c>
      <c r="BE117" s="155">
        <f t="shared" ca="1" si="45"/>
        <v>1.762977473065622E-2</v>
      </c>
      <c r="BF117" s="139"/>
      <c r="BG117" s="55"/>
      <c r="BH117" s="13">
        <f ca="1">AU117/AU$113</f>
        <v>4.8109965635738834E-2</v>
      </c>
      <c r="BI117" s="13">
        <f ca="1">AV117/AV$113</f>
        <v>3.9457459926017263E-2</v>
      </c>
      <c r="BJ117" s="13">
        <f t="shared" ca="1" si="52"/>
        <v>3.4615384615384617E-2</v>
      </c>
    </row>
    <row r="118" spans="4:62" x14ac:dyDescent="0.35">
      <c r="D118"/>
      <c r="E118"/>
      <c r="F118"/>
      <c r="G118"/>
      <c r="H118"/>
      <c r="AP118" s="55"/>
      <c r="AQ118" s="136"/>
      <c r="AR118" s="145" t="str">
        <f ca="1">OFFSET(ArrangedForR!$A$1,MATCH(Tables!$AS118,ArrangedForR!$F$2:$F$281,0),4)</f>
        <v>Wood and related products, semimanufactured</v>
      </c>
      <c r="AS118" s="151">
        <v>52</v>
      </c>
      <c r="AT118" s="150" t="s">
        <v>369</v>
      </c>
      <c r="AU118" s="152">
        <f ca="1">OFFSET(ArrangedForR!$A$1,MATCH(Tables!$AS118,ArrangedForR!$F$2:$F$281,0),MATCH(Tables!AU$60,ArrangedForR!$G$1:$AY$1,0)+5)</f>
        <v>19.899999999999999</v>
      </c>
      <c r="AV118" s="153">
        <f ca="1">OFFSET(ArrangedForR!$A$1,MATCH(Tables!$AS118,ArrangedForR!$F$2:$F$281,0),MATCH(Tables!AV$60,ArrangedForR!$G$1:$AY$1,0)+5)</f>
        <v>66.7</v>
      </c>
      <c r="AW118" s="154"/>
      <c r="AX118" s="187"/>
      <c r="AY118" s="153">
        <f t="shared" ca="1" si="44"/>
        <v>46.800000000000004</v>
      </c>
      <c r="AZ118" s="155">
        <f t="shared" ref="AZ118" ca="1" si="58">AV118/AU118-1</f>
        <v>2.3517587939698497</v>
      </c>
      <c r="BA118" s="188"/>
      <c r="BB118" s="154"/>
      <c r="BC118" s="155">
        <f t="shared" ca="1" si="54"/>
        <v>2.4628712871287126E-2</v>
      </c>
      <c r="BD118" s="155">
        <f t="shared" ca="1" si="55"/>
        <v>3.6468015308911972E-2</v>
      </c>
      <c r="BE118" s="155">
        <f t="shared" ca="1" si="45"/>
        <v>4.5837414299706176E-2</v>
      </c>
      <c r="BF118" s="139"/>
      <c r="BG118" s="55"/>
      <c r="BH118" s="13">
        <f t="shared" ref="BH118" ca="1" si="59">AU118/AU$113</f>
        <v>6.8384879725085904E-2</v>
      </c>
      <c r="BI118" s="13">
        <f t="shared" ref="BI118" ca="1" si="60">AV118/AV$113</f>
        <v>8.2244143033292236E-2</v>
      </c>
      <c r="BJ118" s="13">
        <f t="shared" ca="1" si="52"/>
        <v>9.0000000000000011E-2</v>
      </c>
    </row>
    <row r="119" spans="4:62" x14ac:dyDescent="0.35">
      <c r="D119"/>
      <c r="E119"/>
      <c r="F119"/>
      <c r="G119"/>
      <c r="H119"/>
      <c r="AP119" s="55"/>
      <c r="AQ119" s="136"/>
      <c r="AR119" s="145" t="str">
        <f ca="1">OFFSET(ArrangedForR!$A$1,MATCH(Tables!$AS119,ArrangedForR!$F$2:$F$281,0),4)</f>
        <v>Paper and related products, manufactured</v>
      </c>
      <c r="AS119" s="151">
        <v>55</v>
      </c>
      <c r="AT119" s="150" t="s">
        <v>371</v>
      </c>
      <c r="AU119" s="152">
        <f ca="1">OFFSET(ArrangedForR!$A$1,MATCH(Tables!$AS119,ArrangedForR!$F$2:$F$281,0),MATCH(Tables!AU$60,ArrangedForR!$G$1:$AY$1,0)+5)</f>
        <v>2.4</v>
      </c>
      <c r="AV119" s="153">
        <f ca="1">OFFSET(ArrangedForR!$A$1,MATCH(Tables!$AS119,ArrangedForR!$F$2:$F$281,0),MATCH(Tables!AV$60,ArrangedForR!$G$1:$AY$1,0)+5)</f>
        <v>9.5</v>
      </c>
      <c r="AW119" s="154"/>
      <c r="AX119" s="187"/>
      <c r="AY119" s="153">
        <f t="shared" ca="1" si="44"/>
        <v>7.1</v>
      </c>
      <c r="AZ119" s="155">
        <f t="shared" ref="AZ119" ca="1" si="61">AV119/AU119-1</f>
        <v>2.9583333333333335</v>
      </c>
      <c r="BA119" s="188"/>
      <c r="BB119" s="154"/>
      <c r="BC119" s="155">
        <f t="shared" ca="1" si="54"/>
        <v>2.9702970297029703E-3</v>
      </c>
      <c r="BD119" s="155">
        <f t="shared" ca="1" si="55"/>
        <v>5.1940951339529799E-3</v>
      </c>
      <c r="BE119" s="155">
        <f t="shared" ca="1" si="45"/>
        <v>6.953966699314397E-3</v>
      </c>
      <c r="BF119" s="139"/>
      <c r="BG119" s="55"/>
      <c r="BH119" s="13">
        <f t="shared" ref="BH119" ca="1" si="62">AU119/AU$113</f>
        <v>8.2474226804123713E-3</v>
      </c>
      <c r="BI119" s="13">
        <f t="shared" ref="BI119" ca="1" si="63">AV119/AV$113</f>
        <v>1.1713933415536375E-2</v>
      </c>
      <c r="BJ119" s="13">
        <f t="shared" ca="1" si="52"/>
        <v>1.3653846153846154E-2</v>
      </c>
    </row>
    <row r="120" spans="4:62" ht="4" customHeight="1" x14ac:dyDescent="0.35">
      <c r="D120"/>
      <c r="E120"/>
      <c r="F120"/>
      <c r="G120"/>
      <c r="H120"/>
      <c r="AP120" s="55"/>
      <c r="AQ120" s="132"/>
      <c r="AR120" s="68"/>
      <c r="AS120" s="68"/>
      <c r="AT120" s="68"/>
      <c r="AU120" s="107"/>
      <c r="AV120" s="133"/>
      <c r="AW120" s="134"/>
      <c r="AX120" s="132"/>
      <c r="AY120" s="133"/>
      <c r="AZ120" s="108"/>
      <c r="BA120" s="135"/>
      <c r="BB120" s="134"/>
      <c r="BC120" s="108"/>
      <c r="BD120" s="108"/>
      <c r="BE120" s="108"/>
      <c r="BF120" s="135"/>
      <c r="BG120" s="55"/>
    </row>
    <row r="121" spans="4:62" ht="2" customHeight="1" x14ac:dyDescent="0.35">
      <c r="D121"/>
      <c r="E121"/>
      <c r="F121"/>
      <c r="G121"/>
      <c r="H121"/>
      <c r="AP121" s="55"/>
      <c r="AQ121" s="55"/>
      <c r="AU121" s="17"/>
      <c r="AV121" s="124"/>
      <c r="AW121" s="55"/>
      <c r="AX121" s="55"/>
      <c r="AY121" s="124"/>
      <c r="AZ121" s="13"/>
      <c r="BA121" s="55"/>
      <c r="BB121" s="55"/>
      <c r="BC121" s="13"/>
      <c r="BD121" s="13"/>
      <c r="BE121" s="13"/>
      <c r="BF121" s="55"/>
      <c r="BG121" s="5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C965-92EF-4D03-985E-D8A9B32F6EC2}">
  <sheetPr>
    <tabColor theme="5"/>
  </sheetPr>
  <dimension ref="A1:AY281"/>
  <sheetViews>
    <sheetView tabSelected="1" workbookViewId="0">
      <selection activeCell="J12" sqref="J12"/>
    </sheetView>
  </sheetViews>
  <sheetFormatPr defaultRowHeight="14.5" x14ac:dyDescent="0.35"/>
  <cols>
    <col min="5" max="5" width="30.6328125" customWidth="1"/>
  </cols>
  <sheetData>
    <row r="1" spans="1:51" x14ac:dyDescent="0.35">
      <c r="A1" t="s">
        <v>191</v>
      </c>
      <c r="B1" t="s">
        <v>327</v>
      </c>
      <c r="C1" t="s">
        <v>190</v>
      </c>
      <c r="D1" t="s">
        <v>189</v>
      </c>
      <c r="E1" t="s">
        <v>192</v>
      </c>
      <c r="F1" t="s">
        <v>193</v>
      </c>
      <c r="G1" s="16">
        <v>1879</v>
      </c>
      <c r="H1">
        <v>1880</v>
      </c>
      <c r="I1">
        <v>1881</v>
      </c>
      <c r="J1">
        <v>1882</v>
      </c>
      <c r="K1">
        <v>1883</v>
      </c>
      <c r="L1">
        <v>1884</v>
      </c>
      <c r="M1">
        <v>1885</v>
      </c>
      <c r="N1">
        <v>1886</v>
      </c>
      <c r="O1">
        <v>1887</v>
      </c>
      <c r="P1">
        <v>1888</v>
      </c>
      <c r="Q1">
        <v>1889</v>
      </c>
      <c r="R1">
        <v>1890</v>
      </c>
      <c r="S1">
        <v>1891</v>
      </c>
      <c r="T1">
        <v>1892</v>
      </c>
      <c r="U1">
        <v>1893</v>
      </c>
      <c r="V1">
        <v>1894</v>
      </c>
      <c r="W1">
        <v>1895</v>
      </c>
      <c r="X1">
        <v>1896</v>
      </c>
      <c r="Y1">
        <v>1897</v>
      </c>
      <c r="Z1">
        <v>1898</v>
      </c>
      <c r="AA1">
        <v>1899</v>
      </c>
      <c r="AB1">
        <v>1900</v>
      </c>
      <c r="AC1">
        <v>1901</v>
      </c>
      <c r="AD1">
        <v>1902</v>
      </c>
      <c r="AE1">
        <v>1903</v>
      </c>
      <c r="AF1">
        <v>1904</v>
      </c>
      <c r="AG1">
        <v>1905</v>
      </c>
      <c r="AH1">
        <v>1906</v>
      </c>
      <c r="AI1">
        <v>1907</v>
      </c>
      <c r="AJ1">
        <v>1908</v>
      </c>
      <c r="AK1">
        <v>1909</v>
      </c>
      <c r="AL1">
        <v>1910</v>
      </c>
      <c r="AM1">
        <v>1911</v>
      </c>
      <c r="AN1">
        <v>1912</v>
      </c>
      <c r="AO1">
        <v>1913</v>
      </c>
      <c r="AP1">
        <v>1914</v>
      </c>
      <c r="AQ1">
        <v>1915</v>
      </c>
      <c r="AR1">
        <v>1916</v>
      </c>
      <c r="AS1">
        <v>1917</v>
      </c>
      <c r="AT1">
        <v>1918</v>
      </c>
      <c r="AU1">
        <v>1919</v>
      </c>
      <c r="AV1">
        <v>1920</v>
      </c>
      <c r="AW1">
        <v>1921</v>
      </c>
      <c r="AX1">
        <v>1922</v>
      </c>
      <c r="AY1">
        <v>1923</v>
      </c>
    </row>
    <row r="2" spans="1:51" x14ac:dyDescent="0.35">
      <c r="A2" t="s">
        <v>188</v>
      </c>
      <c r="B2">
        <f>IF(A2="Minor",4,IF(A2="Intermediate",3,IF(A2="Major",2,IF(A2="Total",1,0))))</f>
        <v>1</v>
      </c>
      <c r="C2" t="s">
        <v>140</v>
      </c>
      <c r="D2" t="s">
        <v>142</v>
      </c>
      <c r="E2" t="s">
        <v>179</v>
      </c>
      <c r="F2" s="17">
        <v>304</v>
      </c>
      <c r="G2" s="17">
        <v>681.30000000000018</v>
      </c>
      <c r="H2" s="17">
        <v>807.1</v>
      </c>
      <c r="I2" s="17">
        <v>746.7</v>
      </c>
      <c r="J2" s="17">
        <v>673.5</v>
      </c>
      <c r="K2" s="17">
        <v>702.09999999999991</v>
      </c>
      <c r="L2" s="17">
        <v>644.4</v>
      </c>
      <c r="M2" s="17">
        <v>587.10000000000025</v>
      </c>
      <c r="N2" s="17">
        <v>625.59999999999991</v>
      </c>
      <c r="O2" s="17">
        <v>629.90000000000009</v>
      </c>
      <c r="P2" s="17">
        <v>603.30000000000007</v>
      </c>
      <c r="Q2" s="17">
        <v>722.4</v>
      </c>
      <c r="R2" s="17">
        <v>754.90000000000009</v>
      </c>
      <c r="S2" s="17">
        <v>858.49999999999977</v>
      </c>
      <c r="T2" s="17">
        <v>830.50000000000023</v>
      </c>
      <c r="U2" s="17">
        <v>754.3</v>
      </c>
      <c r="V2" s="17">
        <v>716.4</v>
      </c>
      <c r="W2" s="17">
        <v>712.50000000000011</v>
      </c>
      <c r="X2" s="17">
        <v>872.6</v>
      </c>
      <c r="Y2" s="17">
        <v>964.4000000000002</v>
      </c>
      <c r="Z2" s="17">
        <v>1102.9000000000001</v>
      </c>
      <c r="AA2" s="17">
        <v>1095.4000000000003</v>
      </c>
      <c r="AB2" s="17">
        <v>1271.7</v>
      </c>
      <c r="AC2" s="17">
        <v>1263.2999999999997</v>
      </c>
      <c r="AD2" s="17">
        <v>1151.8999999999996</v>
      </c>
      <c r="AE2" s="17">
        <v>1270.2</v>
      </c>
      <c r="AF2" s="17">
        <v>1236.8000000000002</v>
      </c>
      <c r="AG2" s="17">
        <v>1396</v>
      </c>
      <c r="AH2" s="17">
        <v>1532.6</v>
      </c>
      <c r="AI2" s="17">
        <v>1647.2</v>
      </c>
      <c r="AJ2" s="17">
        <v>1507.3000000000004</v>
      </c>
      <c r="AK2" s="17">
        <v>1464.6999999999998</v>
      </c>
      <c r="AL2" s="17">
        <v>1546.3000000000004</v>
      </c>
      <c r="AM2" s="17">
        <v>1736.4</v>
      </c>
      <c r="AN2" s="17">
        <v>1998.2000000000003</v>
      </c>
      <c r="AO2" s="17">
        <v>2070.6999999999998</v>
      </c>
      <c r="AP2" s="17">
        <v>1716.3999999999999</v>
      </c>
      <c r="AQ2" s="17">
        <v>2831.4</v>
      </c>
      <c r="AR2" s="17">
        <v>4616.2</v>
      </c>
      <c r="AS2" s="17">
        <v>5414.9</v>
      </c>
      <c r="AT2" s="17">
        <v>5351</v>
      </c>
      <c r="AU2" s="17">
        <v>6447.7</v>
      </c>
      <c r="AV2" s="17">
        <v>6846.2999999999984</v>
      </c>
      <c r="AW2" s="17">
        <v>3777.1999999999989</v>
      </c>
      <c r="AX2" s="17">
        <v>3139.7000000000003</v>
      </c>
      <c r="AY2" s="17">
        <v>3453.2000000000003</v>
      </c>
    </row>
    <row r="3" spans="1:51" x14ac:dyDescent="0.35">
      <c r="A3" t="s">
        <v>187</v>
      </c>
      <c r="B3">
        <f>IF(A3="Minor",4,IF(A3="Intermediate",3,IF(A3="Major",2,IF(A3="Total",1,0))))</f>
        <v>2</v>
      </c>
      <c r="C3" t="s">
        <v>140</v>
      </c>
      <c r="D3" t="s">
        <v>142</v>
      </c>
      <c r="E3" t="s">
        <v>308</v>
      </c>
      <c r="F3">
        <v>302</v>
      </c>
      <c r="G3">
        <v>626</v>
      </c>
      <c r="H3">
        <v>745</v>
      </c>
      <c r="I3">
        <v>655</v>
      </c>
      <c r="J3">
        <v>579</v>
      </c>
      <c r="K3">
        <v>600</v>
      </c>
      <c r="L3">
        <v>554</v>
      </c>
      <c r="M3">
        <v>508</v>
      </c>
      <c r="N3">
        <v>541</v>
      </c>
      <c r="O3">
        <v>538</v>
      </c>
      <c r="P3">
        <v>500</v>
      </c>
      <c r="Q3">
        <v>609</v>
      </c>
      <c r="R3">
        <v>644</v>
      </c>
      <c r="S3">
        <v>743</v>
      </c>
      <c r="T3">
        <v>722</v>
      </c>
      <c r="U3">
        <v>630</v>
      </c>
      <c r="V3">
        <v>583</v>
      </c>
      <c r="W3">
        <v>556</v>
      </c>
      <c r="X3">
        <v>678</v>
      </c>
      <c r="Y3">
        <v>745</v>
      </c>
      <c r="Z3">
        <v>869</v>
      </c>
      <c r="AA3">
        <v>802</v>
      </c>
      <c r="AB3">
        <v>927</v>
      </c>
      <c r="AC3">
        <v>959</v>
      </c>
      <c r="AD3">
        <v>838</v>
      </c>
      <c r="AE3">
        <v>930</v>
      </c>
      <c r="AF3">
        <v>813</v>
      </c>
      <c r="AG3">
        <v>918</v>
      </c>
      <c r="AH3">
        <v>1013</v>
      </c>
      <c r="AI3">
        <v>1081</v>
      </c>
      <c r="AJ3">
        <v>1002</v>
      </c>
      <c r="AK3">
        <v>929</v>
      </c>
      <c r="AL3">
        <v>948</v>
      </c>
      <c r="AM3">
        <v>1019</v>
      </c>
      <c r="AN3">
        <v>1155</v>
      </c>
      <c r="AO3">
        <v>1156</v>
      </c>
      <c r="AP3">
        <v>1013</v>
      </c>
      <c r="AQ3">
        <v>1631</v>
      </c>
      <c r="AR3">
        <v>1772</v>
      </c>
      <c r="AS3">
        <v>2006</v>
      </c>
      <c r="AT3">
        <v>2785</v>
      </c>
      <c r="AU3">
        <v>4152</v>
      </c>
      <c r="AV3">
        <v>3510</v>
      </c>
      <c r="AW3">
        <v>2148</v>
      </c>
      <c r="AX3">
        <v>1924</v>
      </c>
      <c r="AY3">
        <v>1857</v>
      </c>
    </row>
    <row r="4" spans="1:51" x14ac:dyDescent="0.35">
      <c r="A4" t="s">
        <v>187</v>
      </c>
      <c r="B4">
        <f>IF(A4="Minor",4,IF(A4="Intermediate",3,IF(A4="Major",2,IF(A4="Total",1,0))))</f>
        <v>2</v>
      </c>
      <c r="C4" t="s">
        <v>140</v>
      </c>
      <c r="D4" t="s">
        <v>142</v>
      </c>
      <c r="E4" t="s">
        <v>307</v>
      </c>
      <c r="F4">
        <v>301</v>
      </c>
      <c r="G4">
        <v>680</v>
      </c>
      <c r="H4">
        <v>804</v>
      </c>
      <c r="I4">
        <v>721</v>
      </c>
      <c r="J4">
        <v>652</v>
      </c>
      <c r="K4">
        <v>669</v>
      </c>
      <c r="L4">
        <v>625</v>
      </c>
      <c r="M4">
        <v>571</v>
      </c>
      <c r="N4">
        <v>604</v>
      </c>
      <c r="O4">
        <v>603</v>
      </c>
      <c r="P4">
        <v>566</v>
      </c>
      <c r="Q4">
        <v>686</v>
      </c>
      <c r="R4">
        <v>717</v>
      </c>
      <c r="S4">
        <v>818</v>
      </c>
      <c r="T4">
        <v>796</v>
      </c>
      <c r="U4">
        <v>708</v>
      </c>
      <c r="V4">
        <v>666</v>
      </c>
      <c r="W4">
        <v>643</v>
      </c>
      <c r="X4">
        <v>778</v>
      </c>
      <c r="Y4">
        <v>851</v>
      </c>
      <c r="Z4">
        <v>979</v>
      </c>
      <c r="AA4">
        <v>935</v>
      </c>
      <c r="AB4">
        <v>1071</v>
      </c>
      <c r="AC4">
        <v>1104</v>
      </c>
      <c r="AD4">
        <v>998</v>
      </c>
      <c r="AE4">
        <v>1100</v>
      </c>
      <c r="AF4">
        <v>994</v>
      </c>
      <c r="AG4">
        <v>1128</v>
      </c>
      <c r="AH4">
        <v>1239</v>
      </c>
      <c r="AI4">
        <v>1296</v>
      </c>
      <c r="AJ4">
        <v>1194</v>
      </c>
      <c r="AK4">
        <v>1143</v>
      </c>
      <c r="AL4">
        <v>1195</v>
      </c>
      <c r="AM4">
        <v>1298</v>
      </c>
      <c r="AN4">
        <v>1466</v>
      </c>
      <c r="AO4">
        <v>1475</v>
      </c>
      <c r="AP4">
        <v>1287</v>
      </c>
      <c r="AQ4">
        <v>2062</v>
      </c>
      <c r="AR4">
        <v>2287</v>
      </c>
      <c r="AS4">
        <v>2521</v>
      </c>
      <c r="AT4">
        <v>3335</v>
      </c>
      <c r="AU4">
        <v>5197</v>
      </c>
      <c r="AV4">
        <v>4614</v>
      </c>
      <c r="AW4">
        <v>2541</v>
      </c>
      <c r="AX4">
        <v>2363</v>
      </c>
      <c r="AY4">
        <v>2362</v>
      </c>
    </row>
    <row r="5" spans="1:51" x14ac:dyDescent="0.35">
      <c r="A5" t="s">
        <v>187</v>
      </c>
      <c r="B5">
        <f>IF(A5="Minor",4,IF(A5="Intermediate",3,IF(A5="Major",2,IF(A5="Total",1,0))))</f>
        <v>2</v>
      </c>
      <c r="C5" t="s">
        <v>140</v>
      </c>
      <c r="D5" t="s">
        <v>142</v>
      </c>
      <c r="E5" t="s">
        <v>336</v>
      </c>
      <c r="F5">
        <v>311</v>
      </c>
      <c r="G5">
        <v>205</v>
      </c>
      <c r="H5">
        <v>254</v>
      </c>
      <c r="I5">
        <v>234</v>
      </c>
      <c r="J5">
        <v>241</v>
      </c>
      <c r="K5">
        <v>238</v>
      </c>
      <c r="L5">
        <v>228</v>
      </c>
      <c r="M5">
        <v>192</v>
      </c>
      <c r="N5">
        <v>223</v>
      </c>
      <c r="O5">
        <v>226</v>
      </c>
      <c r="P5">
        <v>235</v>
      </c>
      <c r="Q5">
        <v>278</v>
      </c>
      <c r="R5">
        <v>273</v>
      </c>
      <c r="S5">
        <v>294</v>
      </c>
      <c r="T5">
        <v>231</v>
      </c>
      <c r="U5">
        <v>224</v>
      </c>
      <c r="V5">
        <v>211</v>
      </c>
      <c r="W5">
        <v>204</v>
      </c>
      <c r="X5">
        <v>258</v>
      </c>
      <c r="Y5">
        <v>235</v>
      </c>
      <c r="Z5">
        <v>264</v>
      </c>
      <c r="AA5">
        <v>226</v>
      </c>
      <c r="AB5">
        <v>358</v>
      </c>
      <c r="AC5">
        <v>338</v>
      </c>
      <c r="AD5">
        <v>320</v>
      </c>
      <c r="AE5">
        <v>405</v>
      </c>
      <c r="AF5">
        <v>396</v>
      </c>
      <c r="AG5">
        <v>420</v>
      </c>
      <c r="AH5">
        <v>461</v>
      </c>
      <c r="AI5">
        <v>516</v>
      </c>
      <c r="AJ5">
        <v>477</v>
      </c>
      <c r="AK5">
        <v>491</v>
      </c>
      <c r="AL5">
        <v>564</v>
      </c>
      <c r="AM5">
        <v>553</v>
      </c>
      <c r="AN5">
        <v>659</v>
      </c>
      <c r="AO5">
        <v>606</v>
      </c>
      <c r="AP5">
        <v>381</v>
      </c>
      <c r="AQ5">
        <v>567</v>
      </c>
      <c r="AR5">
        <v>653</v>
      </c>
      <c r="AS5">
        <v>641</v>
      </c>
      <c r="AT5">
        <v>691</v>
      </c>
      <c r="AU5">
        <v>1228</v>
      </c>
      <c r="AV5">
        <v>1209</v>
      </c>
      <c r="AW5">
        <v>571</v>
      </c>
      <c r="AX5">
        <v>713</v>
      </c>
      <c r="AY5">
        <v>846</v>
      </c>
    </row>
    <row r="6" spans="1:51" x14ac:dyDescent="0.35">
      <c r="A6" t="s">
        <v>187</v>
      </c>
      <c r="B6">
        <f t="shared" ref="B6" si="0">IF(A6="Minor",4,IF(A6="Intermediate",3,IF(A6="Major",2,IF(A6="Total",1,0))))</f>
        <v>2</v>
      </c>
      <c r="C6" t="s">
        <v>140</v>
      </c>
      <c r="D6" t="s">
        <v>142</v>
      </c>
      <c r="E6" t="s">
        <v>337</v>
      </c>
      <c r="F6">
        <v>310</v>
      </c>
      <c r="G6">
        <v>259</v>
      </c>
      <c r="H6">
        <v>313</v>
      </c>
      <c r="I6">
        <v>300</v>
      </c>
      <c r="J6">
        <v>314</v>
      </c>
      <c r="K6">
        <v>307</v>
      </c>
      <c r="L6">
        <v>299</v>
      </c>
      <c r="M6">
        <v>255</v>
      </c>
      <c r="N6">
        <v>286</v>
      </c>
      <c r="O6">
        <v>291</v>
      </c>
      <c r="P6">
        <v>301</v>
      </c>
      <c r="Q6">
        <v>355</v>
      </c>
      <c r="R6">
        <v>346</v>
      </c>
      <c r="S6">
        <v>369</v>
      </c>
      <c r="T6">
        <v>305</v>
      </c>
      <c r="U6">
        <v>302</v>
      </c>
      <c r="V6">
        <v>294</v>
      </c>
      <c r="W6">
        <v>291</v>
      </c>
      <c r="X6">
        <v>358</v>
      </c>
      <c r="Y6">
        <v>341</v>
      </c>
      <c r="Z6">
        <v>374</v>
      </c>
      <c r="AA6">
        <v>359</v>
      </c>
      <c r="AB6">
        <v>502</v>
      </c>
      <c r="AC6">
        <v>483</v>
      </c>
      <c r="AD6">
        <v>480</v>
      </c>
      <c r="AE6">
        <v>575</v>
      </c>
      <c r="AF6">
        <v>577</v>
      </c>
      <c r="AG6">
        <v>630</v>
      </c>
      <c r="AH6">
        <v>687</v>
      </c>
      <c r="AI6">
        <v>731</v>
      </c>
      <c r="AJ6">
        <v>669</v>
      </c>
      <c r="AK6">
        <v>705</v>
      </c>
      <c r="AL6">
        <v>811</v>
      </c>
      <c r="AM6">
        <v>832</v>
      </c>
      <c r="AN6">
        <v>970</v>
      </c>
      <c r="AO6">
        <v>925</v>
      </c>
      <c r="AP6">
        <v>655</v>
      </c>
      <c r="AQ6">
        <v>998</v>
      </c>
      <c r="AR6">
        <v>1168</v>
      </c>
      <c r="AS6">
        <v>1156</v>
      </c>
      <c r="AT6">
        <v>1241</v>
      </c>
      <c r="AU6">
        <v>2273</v>
      </c>
      <c r="AV6">
        <v>2313</v>
      </c>
      <c r="AW6">
        <v>964</v>
      </c>
      <c r="AX6">
        <v>1152</v>
      </c>
      <c r="AY6">
        <v>1351</v>
      </c>
    </row>
    <row r="7" spans="1:51" x14ac:dyDescent="0.35">
      <c r="A7" t="s">
        <v>187</v>
      </c>
      <c r="B7">
        <f t="shared" ref="B7:B28" si="1">IF(A7="Minor",4,IF(A7="Intermediate",3,IF(A7="Major",2,IF(A7="Total",1,0))))</f>
        <v>2</v>
      </c>
      <c r="C7" t="s">
        <v>140</v>
      </c>
      <c r="D7" t="s">
        <v>142</v>
      </c>
      <c r="E7" t="s">
        <v>169</v>
      </c>
      <c r="F7">
        <v>222</v>
      </c>
      <c r="G7">
        <v>129</v>
      </c>
      <c r="H7">
        <v>131</v>
      </c>
      <c r="I7">
        <v>159</v>
      </c>
      <c r="J7">
        <v>171</v>
      </c>
      <c r="K7">
        <v>178</v>
      </c>
      <c r="L7">
        <v>180</v>
      </c>
      <c r="M7">
        <v>166</v>
      </c>
      <c r="N7">
        <v>159</v>
      </c>
      <c r="O7">
        <v>165</v>
      </c>
      <c r="P7">
        <v>180</v>
      </c>
      <c r="Q7">
        <v>205</v>
      </c>
      <c r="R7">
        <v>202</v>
      </c>
      <c r="S7">
        <v>214</v>
      </c>
      <c r="T7">
        <v>201</v>
      </c>
      <c r="U7">
        <v>225</v>
      </c>
      <c r="V7">
        <v>224</v>
      </c>
      <c r="W7">
        <v>252</v>
      </c>
      <c r="X7">
        <v>309</v>
      </c>
      <c r="Y7">
        <v>335</v>
      </c>
      <c r="Z7">
        <v>365</v>
      </c>
      <c r="AA7">
        <v>451</v>
      </c>
      <c r="AB7">
        <v>526</v>
      </c>
      <c r="AC7">
        <v>479</v>
      </c>
      <c r="AD7">
        <v>495</v>
      </c>
      <c r="AE7">
        <v>528</v>
      </c>
      <c r="AF7">
        <v>613</v>
      </c>
      <c r="AG7">
        <v>681</v>
      </c>
      <c r="AH7">
        <v>760</v>
      </c>
      <c r="AI7">
        <v>814</v>
      </c>
      <c r="AJ7">
        <v>727</v>
      </c>
      <c r="AK7">
        <v>772</v>
      </c>
      <c r="AL7">
        <v>881</v>
      </c>
      <c r="AM7">
        <v>1039</v>
      </c>
      <c r="AN7">
        <v>1208</v>
      </c>
      <c r="AO7">
        <v>1292</v>
      </c>
      <c r="AP7">
        <v>1058</v>
      </c>
      <c r="AQ7">
        <v>1861</v>
      </c>
      <c r="AR7">
        <v>3651</v>
      </c>
      <c r="AS7">
        <v>4164</v>
      </c>
      <c r="AT7">
        <v>3263</v>
      </c>
      <c r="AU7">
        <v>3598</v>
      </c>
      <c r="AV7">
        <v>4570</v>
      </c>
      <c r="AW7">
        <v>2231</v>
      </c>
      <c r="AX7">
        <v>1841</v>
      </c>
      <c r="AY7">
        <v>2234</v>
      </c>
    </row>
    <row r="8" spans="1:51" x14ac:dyDescent="0.35">
      <c r="A8" t="s">
        <v>187</v>
      </c>
      <c r="B8">
        <f t="shared" si="1"/>
        <v>2</v>
      </c>
      <c r="C8" t="s">
        <v>140</v>
      </c>
      <c r="D8" t="s">
        <v>142</v>
      </c>
      <c r="E8" t="s">
        <v>168</v>
      </c>
      <c r="F8">
        <v>221</v>
      </c>
      <c r="G8">
        <v>75</v>
      </c>
      <c r="H8">
        <v>72</v>
      </c>
      <c r="I8">
        <v>93</v>
      </c>
      <c r="J8">
        <v>98</v>
      </c>
      <c r="K8">
        <v>109</v>
      </c>
      <c r="L8">
        <v>109</v>
      </c>
      <c r="M8">
        <v>103</v>
      </c>
      <c r="N8">
        <v>96</v>
      </c>
      <c r="O8">
        <v>100</v>
      </c>
      <c r="P8">
        <v>114</v>
      </c>
      <c r="Q8">
        <v>128</v>
      </c>
      <c r="R8">
        <v>129</v>
      </c>
      <c r="S8">
        <v>139</v>
      </c>
      <c r="T8">
        <v>127</v>
      </c>
      <c r="U8">
        <v>147</v>
      </c>
      <c r="V8">
        <v>141</v>
      </c>
      <c r="W8">
        <v>165</v>
      </c>
      <c r="X8">
        <v>209</v>
      </c>
      <c r="Y8">
        <v>229</v>
      </c>
      <c r="Z8">
        <v>255</v>
      </c>
      <c r="AA8">
        <v>318</v>
      </c>
      <c r="AB8">
        <v>382</v>
      </c>
      <c r="AC8">
        <v>334</v>
      </c>
      <c r="AD8">
        <v>335</v>
      </c>
      <c r="AE8">
        <v>358</v>
      </c>
      <c r="AF8">
        <v>432</v>
      </c>
      <c r="AG8">
        <v>471</v>
      </c>
      <c r="AH8">
        <v>534</v>
      </c>
      <c r="AI8">
        <v>599</v>
      </c>
      <c r="AJ8">
        <v>535</v>
      </c>
      <c r="AK8">
        <v>558</v>
      </c>
      <c r="AL8">
        <v>634</v>
      </c>
      <c r="AM8">
        <v>760</v>
      </c>
      <c r="AN8">
        <v>897</v>
      </c>
      <c r="AO8">
        <v>973</v>
      </c>
      <c r="AP8">
        <v>784</v>
      </c>
      <c r="AQ8">
        <v>1430</v>
      </c>
      <c r="AR8">
        <v>3136</v>
      </c>
      <c r="AS8">
        <v>3649</v>
      </c>
      <c r="AT8">
        <v>2713</v>
      </c>
      <c r="AU8">
        <v>2553</v>
      </c>
      <c r="AV8">
        <v>3466</v>
      </c>
      <c r="AW8">
        <v>1838</v>
      </c>
      <c r="AX8">
        <v>1402</v>
      </c>
      <c r="AY8">
        <v>1729</v>
      </c>
    </row>
    <row r="9" spans="1:51" x14ac:dyDescent="0.35">
      <c r="A9" t="s">
        <v>188</v>
      </c>
      <c r="B9">
        <f t="shared" si="1"/>
        <v>1</v>
      </c>
      <c r="C9" t="s">
        <v>140</v>
      </c>
      <c r="D9" t="s">
        <v>142</v>
      </c>
      <c r="E9" t="s">
        <v>180</v>
      </c>
      <c r="F9">
        <v>220</v>
      </c>
      <c r="G9">
        <v>755</v>
      </c>
      <c r="H9">
        <v>876</v>
      </c>
      <c r="I9">
        <v>814</v>
      </c>
      <c r="J9">
        <v>750</v>
      </c>
      <c r="K9">
        <v>778</v>
      </c>
      <c r="L9">
        <v>734</v>
      </c>
      <c r="M9">
        <v>674</v>
      </c>
      <c r="N9">
        <v>700</v>
      </c>
      <c r="O9">
        <v>703</v>
      </c>
      <c r="P9">
        <v>680</v>
      </c>
      <c r="Q9">
        <v>814</v>
      </c>
      <c r="R9">
        <v>846</v>
      </c>
      <c r="S9">
        <v>957</v>
      </c>
      <c r="T9">
        <v>923</v>
      </c>
      <c r="U9">
        <v>855</v>
      </c>
      <c r="V9">
        <v>807</v>
      </c>
      <c r="W9">
        <v>808</v>
      </c>
      <c r="X9">
        <v>987</v>
      </c>
      <c r="Y9">
        <v>1080</v>
      </c>
      <c r="Z9">
        <v>1234</v>
      </c>
      <c r="AA9">
        <v>1253</v>
      </c>
      <c r="AB9">
        <v>1453</v>
      </c>
      <c r="AC9">
        <v>1438</v>
      </c>
      <c r="AD9">
        <v>1333</v>
      </c>
      <c r="AE9">
        <v>1458</v>
      </c>
      <c r="AF9">
        <v>1426</v>
      </c>
      <c r="AG9">
        <v>1599</v>
      </c>
      <c r="AH9">
        <v>1773</v>
      </c>
      <c r="AI9">
        <v>1895</v>
      </c>
      <c r="AJ9">
        <v>1729</v>
      </c>
      <c r="AK9">
        <v>1701</v>
      </c>
      <c r="AL9">
        <v>1829</v>
      </c>
      <c r="AM9">
        <v>2058</v>
      </c>
      <c r="AN9">
        <v>2363</v>
      </c>
      <c r="AO9">
        <v>2448</v>
      </c>
      <c r="AP9">
        <v>2071</v>
      </c>
      <c r="AQ9">
        <v>3492</v>
      </c>
      <c r="AR9">
        <v>5423</v>
      </c>
      <c r="AS9">
        <v>6170</v>
      </c>
      <c r="AT9">
        <v>6048</v>
      </c>
      <c r="AU9">
        <v>7750</v>
      </c>
      <c r="AV9">
        <v>8080</v>
      </c>
      <c r="AW9">
        <v>4379</v>
      </c>
      <c r="AX9">
        <v>3765</v>
      </c>
      <c r="AY9">
        <v>4091</v>
      </c>
    </row>
    <row r="10" spans="1:51" x14ac:dyDescent="0.35">
      <c r="A10" t="s">
        <v>187</v>
      </c>
      <c r="B10">
        <f t="shared" si="1"/>
        <v>2</v>
      </c>
      <c r="C10" t="s">
        <v>140</v>
      </c>
      <c r="D10" t="s">
        <v>142</v>
      </c>
      <c r="E10" t="s">
        <v>166</v>
      </c>
      <c r="F10">
        <v>219</v>
      </c>
      <c r="G10">
        <v>747</v>
      </c>
      <c r="H10">
        <v>869</v>
      </c>
      <c r="I10">
        <v>808</v>
      </c>
      <c r="J10">
        <v>744</v>
      </c>
      <c r="K10">
        <v>773</v>
      </c>
      <c r="L10">
        <v>731</v>
      </c>
      <c r="M10">
        <v>671</v>
      </c>
      <c r="N10">
        <v>697</v>
      </c>
      <c r="O10">
        <v>701</v>
      </c>
      <c r="P10">
        <v>677</v>
      </c>
      <c r="Q10">
        <v>810</v>
      </c>
      <c r="R10">
        <v>840</v>
      </c>
      <c r="S10">
        <v>953</v>
      </c>
      <c r="T10">
        <v>919</v>
      </c>
      <c r="U10">
        <v>850</v>
      </c>
      <c r="V10">
        <v>803</v>
      </c>
      <c r="W10">
        <v>804</v>
      </c>
      <c r="X10">
        <v>980</v>
      </c>
      <c r="Y10">
        <v>1073</v>
      </c>
      <c r="Z10">
        <v>1226</v>
      </c>
      <c r="AA10">
        <v>1243</v>
      </c>
      <c r="AB10">
        <v>1441</v>
      </c>
      <c r="AC10">
        <v>1428</v>
      </c>
      <c r="AD10">
        <v>1323</v>
      </c>
      <c r="AE10">
        <v>1449</v>
      </c>
      <c r="AF10">
        <v>1416</v>
      </c>
      <c r="AG10">
        <v>1587</v>
      </c>
      <c r="AH10">
        <v>1759</v>
      </c>
      <c r="AI10">
        <v>1879</v>
      </c>
      <c r="AJ10">
        <v>1712</v>
      </c>
      <c r="AK10">
        <v>1687</v>
      </c>
      <c r="AL10">
        <v>1812</v>
      </c>
      <c r="AM10">
        <v>2046</v>
      </c>
      <c r="AN10">
        <v>2351</v>
      </c>
      <c r="AO10">
        <v>2440</v>
      </c>
      <c r="AP10">
        <v>2062</v>
      </c>
      <c r="AQ10">
        <v>3475</v>
      </c>
      <c r="AR10">
        <v>5417</v>
      </c>
      <c r="AS10">
        <v>6161</v>
      </c>
      <c r="AT10">
        <v>6042</v>
      </c>
      <c r="AU10">
        <v>7795</v>
      </c>
      <c r="AV10">
        <v>8054</v>
      </c>
      <c r="AW10">
        <v>4365</v>
      </c>
      <c r="AX10">
        <v>3751</v>
      </c>
      <c r="AY10">
        <v>4078</v>
      </c>
    </row>
    <row r="11" spans="1:51" x14ac:dyDescent="0.35">
      <c r="A11" t="s">
        <v>187</v>
      </c>
      <c r="B11">
        <f t="shared" si="1"/>
        <v>2</v>
      </c>
      <c r="C11" t="s">
        <v>140</v>
      </c>
      <c r="D11" t="s">
        <v>142</v>
      </c>
      <c r="E11" t="s">
        <v>165</v>
      </c>
      <c r="F11">
        <v>218</v>
      </c>
      <c r="G11">
        <v>665</v>
      </c>
      <c r="H11">
        <v>787</v>
      </c>
      <c r="I11">
        <v>705</v>
      </c>
      <c r="J11">
        <v>637</v>
      </c>
      <c r="K11">
        <v>662</v>
      </c>
      <c r="L11">
        <v>627</v>
      </c>
      <c r="M11">
        <v>571</v>
      </c>
      <c r="N11">
        <v>598</v>
      </c>
      <c r="O11">
        <v>601</v>
      </c>
      <c r="P11">
        <v>574</v>
      </c>
      <c r="Q11">
        <v>691</v>
      </c>
      <c r="R11">
        <v>718</v>
      </c>
      <c r="S11">
        <v>830</v>
      </c>
      <c r="T11">
        <v>803</v>
      </c>
      <c r="U11">
        <v>726</v>
      </c>
      <c r="V11">
        <v>681</v>
      </c>
      <c r="W11">
        <v>657</v>
      </c>
      <c r="X11">
        <v>800</v>
      </c>
      <c r="Y11">
        <v>877</v>
      </c>
      <c r="Z11">
        <v>1008</v>
      </c>
      <c r="AA11">
        <v>973</v>
      </c>
      <c r="AB11">
        <v>1139</v>
      </c>
      <c r="AC11">
        <v>1135</v>
      </c>
      <c r="AD11">
        <v>1025</v>
      </c>
      <c r="AE11">
        <v>1139</v>
      </c>
      <c r="AF11">
        <v>1078</v>
      </c>
      <c r="AG11">
        <v>1185</v>
      </c>
      <c r="AH11">
        <v>1320</v>
      </c>
      <c r="AI11">
        <v>1413</v>
      </c>
      <c r="AJ11">
        <v>1296</v>
      </c>
      <c r="AK11">
        <v>1246</v>
      </c>
      <c r="AL11">
        <v>1303</v>
      </c>
      <c r="AM11">
        <v>1437</v>
      </c>
      <c r="AN11">
        <v>1643</v>
      </c>
      <c r="AO11">
        <v>1688</v>
      </c>
      <c r="AP11">
        <v>1454</v>
      </c>
      <c r="AQ11">
        <v>2228</v>
      </c>
      <c r="AR11">
        <v>2910</v>
      </c>
      <c r="AS11">
        <v>3578</v>
      </c>
      <c r="AT11">
        <v>4064</v>
      </c>
      <c r="AU11">
        <v>5360</v>
      </c>
      <c r="AV11">
        <v>5013</v>
      </c>
      <c r="AW11">
        <v>2798</v>
      </c>
      <c r="AX11">
        <v>2504</v>
      </c>
      <c r="AY11">
        <v>2641</v>
      </c>
    </row>
    <row r="12" spans="1:51" x14ac:dyDescent="0.35">
      <c r="A12" t="s">
        <v>187</v>
      </c>
      <c r="B12">
        <f t="shared" si="1"/>
        <v>2</v>
      </c>
      <c r="C12" t="s">
        <v>140</v>
      </c>
      <c r="D12" t="s">
        <v>142</v>
      </c>
      <c r="E12" t="s">
        <v>164</v>
      </c>
      <c r="F12">
        <v>217</v>
      </c>
      <c r="G12">
        <v>258</v>
      </c>
      <c r="H12">
        <v>315</v>
      </c>
      <c r="I12">
        <v>302</v>
      </c>
      <c r="J12">
        <v>318</v>
      </c>
      <c r="K12">
        <v>320</v>
      </c>
      <c r="L12">
        <v>321</v>
      </c>
      <c r="M12">
        <v>282</v>
      </c>
      <c r="N12">
        <v>308</v>
      </c>
      <c r="O12">
        <v>310</v>
      </c>
      <c r="P12">
        <v>328</v>
      </c>
      <c r="Q12">
        <v>381</v>
      </c>
      <c r="R12">
        <v>368</v>
      </c>
      <c r="S12">
        <v>401</v>
      </c>
      <c r="T12">
        <v>334</v>
      </c>
      <c r="U12">
        <v>344</v>
      </c>
      <c r="V12">
        <v>335</v>
      </c>
      <c r="W12">
        <v>330</v>
      </c>
      <c r="X12">
        <v>404</v>
      </c>
      <c r="Y12">
        <v>391</v>
      </c>
      <c r="Z12">
        <v>427</v>
      </c>
      <c r="AA12">
        <v>427</v>
      </c>
      <c r="AB12">
        <v>597</v>
      </c>
      <c r="AC12">
        <v>541</v>
      </c>
      <c r="AD12">
        <v>543</v>
      </c>
      <c r="AE12">
        <v>643</v>
      </c>
      <c r="AF12">
        <v>683</v>
      </c>
      <c r="AG12">
        <v>714</v>
      </c>
      <c r="AH12">
        <v>800</v>
      </c>
      <c r="AI12">
        <v>880</v>
      </c>
      <c r="AJ12">
        <v>803</v>
      </c>
      <c r="AK12">
        <v>846</v>
      </c>
      <c r="AL12">
        <v>955</v>
      </c>
      <c r="AM12">
        <v>1013</v>
      </c>
      <c r="AN12">
        <v>1195</v>
      </c>
      <c r="AO12">
        <v>1191</v>
      </c>
      <c r="AP12">
        <v>866</v>
      </c>
      <c r="AQ12">
        <v>1217</v>
      </c>
      <c r="AR12">
        <v>1854</v>
      </c>
      <c r="AS12">
        <v>2258</v>
      </c>
      <c r="AT12">
        <v>2092</v>
      </c>
      <c r="AU12">
        <v>2696</v>
      </c>
      <c r="AV12">
        <v>2958</v>
      </c>
      <c r="AW12">
        <v>1426</v>
      </c>
      <c r="AX12">
        <v>1439</v>
      </c>
      <c r="AY12">
        <v>1783</v>
      </c>
    </row>
    <row r="13" spans="1:51" x14ac:dyDescent="0.35">
      <c r="A13" t="s">
        <v>187</v>
      </c>
      <c r="B13">
        <f t="shared" si="1"/>
        <v>2</v>
      </c>
      <c r="C13" t="s">
        <v>140</v>
      </c>
      <c r="D13" t="s">
        <v>142</v>
      </c>
      <c r="E13" t="s">
        <v>163</v>
      </c>
      <c r="F13">
        <v>216</v>
      </c>
      <c r="G13">
        <v>244</v>
      </c>
      <c r="H13">
        <v>296</v>
      </c>
      <c r="I13">
        <v>284</v>
      </c>
      <c r="J13">
        <v>299</v>
      </c>
      <c r="K13">
        <v>300</v>
      </c>
      <c r="L13">
        <v>301</v>
      </c>
      <c r="M13">
        <v>255</v>
      </c>
      <c r="N13">
        <v>279</v>
      </c>
      <c r="O13">
        <v>289</v>
      </c>
      <c r="P13">
        <v>309</v>
      </c>
      <c r="Q13">
        <v>359</v>
      </c>
      <c r="R13">
        <v>347</v>
      </c>
      <c r="S13">
        <v>381</v>
      </c>
      <c r="T13">
        <v>312</v>
      </c>
      <c r="U13">
        <v>320</v>
      </c>
      <c r="V13">
        <v>309</v>
      </c>
      <c r="W13">
        <v>305</v>
      </c>
      <c r="X13">
        <v>380</v>
      </c>
      <c r="Y13">
        <v>368</v>
      </c>
      <c r="Z13">
        <v>403</v>
      </c>
      <c r="AA13">
        <v>397</v>
      </c>
      <c r="AB13">
        <v>570</v>
      </c>
      <c r="AC13">
        <v>514</v>
      </c>
      <c r="AD13">
        <v>508</v>
      </c>
      <c r="AE13">
        <v>614</v>
      </c>
      <c r="AF13">
        <v>652</v>
      </c>
      <c r="AG13">
        <v>687</v>
      </c>
      <c r="AH13">
        <v>768</v>
      </c>
      <c r="AI13">
        <v>848</v>
      </c>
      <c r="AJ13">
        <v>771</v>
      </c>
      <c r="AK13">
        <v>809</v>
      </c>
      <c r="AL13">
        <v>919</v>
      </c>
      <c r="AM13">
        <v>971</v>
      </c>
      <c r="AN13">
        <v>1148</v>
      </c>
      <c r="AO13">
        <v>1138</v>
      </c>
      <c r="AP13">
        <v>822</v>
      </c>
      <c r="AQ13">
        <v>1165</v>
      </c>
      <c r="AR13">
        <v>1791</v>
      </c>
      <c r="AS13">
        <v>2213</v>
      </c>
      <c r="AT13">
        <v>1970</v>
      </c>
      <c r="AU13">
        <v>2436</v>
      </c>
      <c r="AV13">
        <v>2712</v>
      </c>
      <c r="AW13">
        <v>1221</v>
      </c>
      <c r="AX13">
        <v>1293</v>
      </c>
      <c r="AY13">
        <v>1629</v>
      </c>
    </row>
    <row r="14" spans="1:51" x14ac:dyDescent="0.35">
      <c r="A14" t="s">
        <v>187</v>
      </c>
      <c r="B14">
        <f t="shared" si="1"/>
        <v>2</v>
      </c>
      <c r="C14" t="s">
        <v>140</v>
      </c>
      <c r="D14" t="s">
        <v>142</v>
      </c>
      <c r="E14" t="s">
        <v>162</v>
      </c>
      <c r="F14">
        <v>215</v>
      </c>
      <c r="G14">
        <v>85</v>
      </c>
      <c r="H14">
        <v>84</v>
      </c>
      <c r="I14">
        <v>105</v>
      </c>
      <c r="J14">
        <v>110</v>
      </c>
      <c r="K14">
        <v>114</v>
      </c>
      <c r="L14">
        <v>106</v>
      </c>
      <c r="M14">
        <v>103</v>
      </c>
      <c r="N14">
        <v>103</v>
      </c>
      <c r="O14">
        <v>103</v>
      </c>
      <c r="P14">
        <v>107</v>
      </c>
      <c r="Q14">
        <v>124</v>
      </c>
      <c r="R14">
        <v>127</v>
      </c>
      <c r="S14">
        <v>128</v>
      </c>
      <c r="T14">
        <v>120</v>
      </c>
      <c r="U14">
        <v>128</v>
      </c>
      <c r="V14">
        <v>126</v>
      </c>
      <c r="W14">
        <v>151</v>
      </c>
      <c r="X14">
        <v>185</v>
      </c>
      <c r="Y14">
        <v>201</v>
      </c>
      <c r="Z14">
        <v>223</v>
      </c>
      <c r="AA14">
        <v>276</v>
      </c>
      <c r="AB14">
        <v>308</v>
      </c>
      <c r="AC14">
        <v>298</v>
      </c>
      <c r="AD14">
        <v>303</v>
      </c>
      <c r="AE14">
        <v>316</v>
      </c>
      <c r="AF14">
        <v>353</v>
      </c>
      <c r="AG14">
        <v>408</v>
      </c>
      <c r="AH14">
        <v>445</v>
      </c>
      <c r="AI14">
        <v>472</v>
      </c>
      <c r="AJ14">
        <v>420</v>
      </c>
      <c r="AK14">
        <v>445</v>
      </c>
      <c r="AL14">
        <v>514</v>
      </c>
      <c r="AM14">
        <v>614</v>
      </c>
      <c r="AN14">
        <v>713</v>
      </c>
      <c r="AO14">
        <v>759</v>
      </c>
      <c r="AP14">
        <v>615</v>
      </c>
      <c r="AQ14">
        <v>1252</v>
      </c>
      <c r="AR14">
        <v>2518</v>
      </c>
      <c r="AS14">
        <v>2600</v>
      </c>
      <c r="AT14">
        <v>2008</v>
      </c>
      <c r="AU14">
        <v>2422</v>
      </c>
      <c r="AV14">
        <v>3084</v>
      </c>
      <c r="AW14">
        <v>1588</v>
      </c>
      <c r="AX14">
        <v>1274</v>
      </c>
      <c r="AY14">
        <v>1463</v>
      </c>
    </row>
    <row r="15" spans="1:51" x14ac:dyDescent="0.35">
      <c r="A15" t="s">
        <v>187</v>
      </c>
      <c r="B15">
        <f t="shared" si="1"/>
        <v>2</v>
      </c>
      <c r="C15" t="s">
        <v>140</v>
      </c>
      <c r="D15" t="s">
        <v>142</v>
      </c>
      <c r="E15" t="s">
        <v>161</v>
      </c>
      <c r="F15">
        <v>214</v>
      </c>
      <c r="G15">
        <v>82</v>
      </c>
      <c r="H15">
        <v>82</v>
      </c>
      <c r="I15">
        <v>103</v>
      </c>
      <c r="J15">
        <v>108</v>
      </c>
      <c r="K15">
        <v>111</v>
      </c>
      <c r="L15">
        <v>104</v>
      </c>
      <c r="M15">
        <v>100</v>
      </c>
      <c r="N15">
        <v>100</v>
      </c>
      <c r="O15">
        <v>100</v>
      </c>
      <c r="P15">
        <v>103</v>
      </c>
      <c r="Q15">
        <v>120</v>
      </c>
      <c r="R15">
        <v>123</v>
      </c>
      <c r="S15">
        <v>123</v>
      </c>
      <c r="T15">
        <v>116</v>
      </c>
      <c r="U15">
        <v>124</v>
      </c>
      <c r="V15">
        <v>122</v>
      </c>
      <c r="W15">
        <v>146</v>
      </c>
      <c r="X15">
        <v>180</v>
      </c>
      <c r="Y15">
        <v>196</v>
      </c>
      <c r="Z15">
        <v>218</v>
      </c>
      <c r="AA15">
        <v>271</v>
      </c>
      <c r="AB15">
        <v>302</v>
      </c>
      <c r="AC15">
        <v>293</v>
      </c>
      <c r="AD15">
        <v>297</v>
      </c>
      <c r="AE15">
        <v>310</v>
      </c>
      <c r="AF15">
        <v>348</v>
      </c>
      <c r="AG15">
        <v>403</v>
      </c>
      <c r="AH15">
        <v>440</v>
      </c>
      <c r="AI15">
        <v>466</v>
      </c>
      <c r="AJ15">
        <v>416</v>
      </c>
      <c r="AK15">
        <v>440</v>
      </c>
      <c r="AL15">
        <v>509</v>
      </c>
      <c r="AM15">
        <v>609</v>
      </c>
      <c r="AN15">
        <v>707</v>
      </c>
      <c r="AO15">
        <v>752</v>
      </c>
      <c r="AP15">
        <v>609</v>
      </c>
      <c r="AQ15">
        <v>1246</v>
      </c>
      <c r="AR15">
        <v>2507</v>
      </c>
      <c r="AS15">
        <v>2583</v>
      </c>
      <c r="AT15">
        <v>1978</v>
      </c>
      <c r="AU15">
        <v>2375</v>
      </c>
      <c r="AV15">
        <v>3041</v>
      </c>
      <c r="AW15">
        <v>1567</v>
      </c>
      <c r="AX15">
        <v>1247</v>
      </c>
      <c r="AY15">
        <v>1438</v>
      </c>
    </row>
    <row r="16" spans="1:51" x14ac:dyDescent="0.35">
      <c r="A16" t="s">
        <v>187</v>
      </c>
      <c r="B16">
        <f t="shared" si="1"/>
        <v>2</v>
      </c>
      <c r="C16" t="s">
        <v>140</v>
      </c>
      <c r="D16" t="s">
        <v>142</v>
      </c>
      <c r="E16" t="s">
        <v>160</v>
      </c>
      <c r="F16">
        <v>213</v>
      </c>
      <c r="G16">
        <v>30</v>
      </c>
      <c r="H16">
        <v>31</v>
      </c>
      <c r="I16">
        <v>36</v>
      </c>
      <c r="J16">
        <v>42</v>
      </c>
      <c r="K16">
        <v>43</v>
      </c>
      <c r="L16">
        <v>42</v>
      </c>
      <c r="M16">
        <v>40</v>
      </c>
      <c r="N16">
        <v>38</v>
      </c>
      <c r="O16">
        <v>42</v>
      </c>
      <c r="P16">
        <v>46</v>
      </c>
      <c r="Q16">
        <v>50</v>
      </c>
      <c r="R16">
        <v>51</v>
      </c>
      <c r="S16">
        <v>58</v>
      </c>
      <c r="T16">
        <v>52</v>
      </c>
      <c r="U16">
        <v>64</v>
      </c>
      <c r="V16">
        <v>67</v>
      </c>
      <c r="W16">
        <v>72</v>
      </c>
      <c r="X16">
        <v>95</v>
      </c>
      <c r="Y16">
        <v>109</v>
      </c>
      <c r="Z16">
        <v>117</v>
      </c>
      <c r="AA16">
        <v>144</v>
      </c>
      <c r="AB16">
        <v>176</v>
      </c>
      <c r="AC16">
        <v>140</v>
      </c>
      <c r="AD16">
        <v>150</v>
      </c>
      <c r="AE16">
        <v>163</v>
      </c>
      <c r="AF16">
        <v>210</v>
      </c>
      <c r="AG16">
        <v>221</v>
      </c>
      <c r="AH16">
        <v>258</v>
      </c>
      <c r="AI16">
        <v>279</v>
      </c>
      <c r="AJ16">
        <v>242</v>
      </c>
      <c r="AK16">
        <v>258</v>
      </c>
      <c r="AL16">
        <v>293</v>
      </c>
      <c r="AM16">
        <v>340</v>
      </c>
      <c r="AN16">
        <v>400</v>
      </c>
      <c r="AO16">
        <v>420</v>
      </c>
      <c r="AP16">
        <v>358</v>
      </c>
      <c r="AQ16">
        <v>531</v>
      </c>
      <c r="AR16">
        <v>1040</v>
      </c>
      <c r="AS16">
        <v>1427</v>
      </c>
      <c r="AT16">
        <v>1121</v>
      </c>
      <c r="AU16">
        <v>1077</v>
      </c>
      <c r="AV16">
        <v>1086</v>
      </c>
      <c r="AW16">
        <v>442</v>
      </c>
      <c r="AX16">
        <v>445</v>
      </c>
      <c r="AY16">
        <v>568</v>
      </c>
    </row>
    <row r="17" spans="1:51" x14ac:dyDescent="0.35">
      <c r="A17" t="s">
        <v>187</v>
      </c>
      <c r="B17">
        <f t="shared" si="1"/>
        <v>2</v>
      </c>
      <c r="C17" t="s">
        <v>140</v>
      </c>
      <c r="D17" t="s">
        <v>142</v>
      </c>
      <c r="E17" t="s">
        <v>159</v>
      </c>
      <c r="F17">
        <v>212</v>
      </c>
      <c r="G17">
        <v>229</v>
      </c>
      <c r="H17">
        <v>284</v>
      </c>
      <c r="I17">
        <v>266</v>
      </c>
      <c r="J17">
        <v>275</v>
      </c>
      <c r="K17">
        <v>277</v>
      </c>
      <c r="L17">
        <v>279</v>
      </c>
      <c r="M17">
        <v>241</v>
      </c>
      <c r="N17">
        <v>270</v>
      </c>
      <c r="O17">
        <v>268</v>
      </c>
      <c r="P17">
        <v>282</v>
      </c>
      <c r="Q17">
        <v>331</v>
      </c>
      <c r="R17">
        <v>317</v>
      </c>
      <c r="S17">
        <v>343</v>
      </c>
      <c r="T17">
        <v>282</v>
      </c>
      <c r="U17">
        <v>280</v>
      </c>
      <c r="V17">
        <v>268</v>
      </c>
      <c r="W17">
        <v>258</v>
      </c>
      <c r="X17">
        <v>309</v>
      </c>
      <c r="Y17">
        <v>282</v>
      </c>
      <c r="Z17">
        <v>310</v>
      </c>
      <c r="AA17">
        <v>283</v>
      </c>
      <c r="AB17">
        <v>420</v>
      </c>
      <c r="AC17">
        <v>401</v>
      </c>
      <c r="AD17">
        <v>392</v>
      </c>
      <c r="AE17">
        <v>481</v>
      </c>
      <c r="AF17">
        <v>474</v>
      </c>
      <c r="AG17">
        <v>492</v>
      </c>
      <c r="AH17">
        <v>542</v>
      </c>
      <c r="AI17">
        <v>601</v>
      </c>
      <c r="AJ17">
        <v>561</v>
      </c>
      <c r="AK17">
        <v>588</v>
      </c>
      <c r="AL17">
        <v>663</v>
      </c>
      <c r="AM17">
        <v>673</v>
      </c>
      <c r="AN17">
        <v>795</v>
      </c>
      <c r="AO17">
        <v>771</v>
      </c>
      <c r="AP17">
        <v>507</v>
      </c>
      <c r="AQ17">
        <v>686</v>
      </c>
      <c r="AR17">
        <v>813</v>
      </c>
      <c r="AS17">
        <v>831</v>
      </c>
      <c r="AT17">
        <v>971</v>
      </c>
      <c r="AU17">
        <v>1619</v>
      </c>
      <c r="AV17">
        <v>1872</v>
      </c>
      <c r="AW17">
        <v>984</v>
      </c>
      <c r="AX17">
        <v>994</v>
      </c>
      <c r="AY17">
        <v>1214</v>
      </c>
    </row>
    <row r="18" spans="1:51" x14ac:dyDescent="0.35">
      <c r="A18" t="s">
        <v>187</v>
      </c>
      <c r="B18">
        <f t="shared" si="1"/>
        <v>2</v>
      </c>
      <c r="C18" t="s">
        <v>140</v>
      </c>
      <c r="D18" t="s">
        <v>142</v>
      </c>
      <c r="E18" t="s">
        <v>158</v>
      </c>
      <c r="F18">
        <v>211</v>
      </c>
      <c r="G18">
        <v>214</v>
      </c>
      <c r="H18">
        <v>265</v>
      </c>
      <c r="I18">
        <v>248</v>
      </c>
      <c r="J18">
        <v>256</v>
      </c>
      <c r="K18">
        <v>257</v>
      </c>
      <c r="L18">
        <v>259</v>
      </c>
      <c r="M18">
        <v>215</v>
      </c>
      <c r="N18">
        <v>241</v>
      </c>
      <c r="O18">
        <v>247</v>
      </c>
      <c r="P18">
        <v>263</v>
      </c>
      <c r="Q18">
        <v>309</v>
      </c>
      <c r="R18">
        <v>296</v>
      </c>
      <c r="S18">
        <v>323</v>
      </c>
      <c r="T18">
        <v>260</v>
      </c>
      <c r="U18">
        <v>256</v>
      </c>
      <c r="V18">
        <v>242</v>
      </c>
      <c r="W18">
        <v>233</v>
      </c>
      <c r="X18">
        <v>285</v>
      </c>
      <c r="Y18">
        <v>259</v>
      </c>
      <c r="Z18">
        <v>286</v>
      </c>
      <c r="AA18">
        <v>253</v>
      </c>
      <c r="AB18">
        <v>394</v>
      </c>
      <c r="AC18">
        <v>375</v>
      </c>
      <c r="AD18">
        <v>358</v>
      </c>
      <c r="AE18">
        <v>451</v>
      </c>
      <c r="AF18">
        <v>442</v>
      </c>
      <c r="AG18">
        <v>465</v>
      </c>
      <c r="AH18">
        <v>510</v>
      </c>
      <c r="AI18">
        <v>568</v>
      </c>
      <c r="AJ18">
        <v>529</v>
      </c>
      <c r="AK18">
        <v>551</v>
      </c>
      <c r="AL18">
        <v>627</v>
      </c>
      <c r="AM18">
        <v>631</v>
      </c>
      <c r="AN18">
        <v>748</v>
      </c>
      <c r="AO18">
        <v>718</v>
      </c>
      <c r="AP18">
        <v>464</v>
      </c>
      <c r="AQ18">
        <v>633</v>
      </c>
      <c r="AR18">
        <v>751</v>
      </c>
      <c r="AS18">
        <v>786</v>
      </c>
      <c r="AT18">
        <v>848</v>
      </c>
      <c r="AU18">
        <v>1359</v>
      </c>
      <c r="AV18">
        <v>1627</v>
      </c>
      <c r="AW18">
        <v>779</v>
      </c>
      <c r="AX18">
        <v>848</v>
      </c>
      <c r="AY18">
        <v>1061</v>
      </c>
    </row>
    <row r="19" spans="1:51" x14ac:dyDescent="0.35">
      <c r="A19" t="s">
        <v>187</v>
      </c>
      <c r="B19">
        <f t="shared" si="1"/>
        <v>2</v>
      </c>
      <c r="C19" t="s">
        <v>140</v>
      </c>
      <c r="D19" t="s">
        <v>142</v>
      </c>
      <c r="E19" t="s">
        <v>157</v>
      </c>
      <c r="F19">
        <v>210</v>
      </c>
      <c r="G19">
        <v>653</v>
      </c>
      <c r="H19">
        <v>776</v>
      </c>
      <c r="I19">
        <v>691</v>
      </c>
      <c r="J19">
        <v>621</v>
      </c>
      <c r="K19">
        <v>640</v>
      </c>
      <c r="L19">
        <v>601</v>
      </c>
      <c r="M19">
        <v>546</v>
      </c>
      <c r="N19">
        <v>576</v>
      </c>
      <c r="O19">
        <v>577</v>
      </c>
      <c r="P19">
        <v>541</v>
      </c>
      <c r="Q19">
        <v>661</v>
      </c>
      <c r="R19">
        <v>689</v>
      </c>
      <c r="S19">
        <v>789</v>
      </c>
      <c r="T19">
        <v>768</v>
      </c>
      <c r="U19">
        <v>678</v>
      </c>
      <c r="V19">
        <v>634</v>
      </c>
      <c r="W19">
        <v>610</v>
      </c>
      <c r="X19">
        <v>735</v>
      </c>
      <c r="Y19">
        <v>805</v>
      </c>
      <c r="Z19">
        <v>929</v>
      </c>
      <c r="AA19">
        <v>874</v>
      </c>
      <c r="AB19">
        <v>1009</v>
      </c>
      <c r="AC19">
        <v>1037</v>
      </c>
      <c r="AD19">
        <v>921</v>
      </c>
      <c r="AE19">
        <v>1028</v>
      </c>
      <c r="AF19">
        <v>914</v>
      </c>
      <c r="AG19">
        <v>1018</v>
      </c>
      <c r="AH19">
        <v>1138</v>
      </c>
      <c r="AI19">
        <v>1208</v>
      </c>
      <c r="AJ19">
        <v>1111</v>
      </c>
      <c r="AK19">
        <v>1051</v>
      </c>
      <c r="AL19">
        <v>1094</v>
      </c>
      <c r="AM19">
        <v>1185</v>
      </c>
      <c r="AN19">
        <v>1336</v>
      </c>
      <c r="AO19">
        <v>1344</v>
      </c>
      <c r="AP19">
        <v>1158</v>
      </c>
      <c r="AQ19">
        <v>1787</v>
      </c>
      <c r="AR19">
        <v>1983</v>
      </c>
      <c r="AS19">
        <v>2208</v>
      </c>
      <c r="AT19">
        <v>2978</v>
      </c>
      <c r="AU19">
        <v>4619</v>
      </c>
      <c r="AV19">
        <v>3899</v>
      </c>
      <c r="AW19">
        <v>2293</v>
      </c>
      <c r="AX19">
        <v>2113</v>
      </c>
      <c r="AY19">
        <v>2098</v>
      </c>
    </row>
    <row r="20" spans="1:51" x14ac:dyDescent="0.35">
      <c r="A20" t="s">
        <v>187</v>
      </c>
      <c r="B20">
        <f t="shared" si="1"/>
        <v>2</v>
      </c>
      <c r="C20" t="s">
        <v>140</v>
      </c>
      <c r="D20" t="s">
        <v>142</v>
      </c>
      <c r="E20" t="s">
        <v>156</v>
      </c>
      <c r="F20">
        <v>209</v>
      </c>
      <c r="G20">
        <v>617</v>
      </c>
      <c r="H20">
        <v>735</v>
      </c>
      <c r="I20">
        <v>647</v>
      </c>
      <c r="J20">
        <v>570</v>
      </c>
      <c r="K20">
        <v>593</v>
      </c>
      <c r="L20">
        <v>548</v>
      </c>
      <c r="M20">
        <v>502</v>
      </c>
      <c r="N20">
        <v>535</v>
      </c>
      <c r="O20">
        <v>532</v>
      </c>
      <c r="P20">
        <v>494</v>
      </c>
      <c r="Q20">
        <v>602</v>
      </c>
      <c r="R20">
        <v>634</v>
      </c>
      <c r="S20">
        <v>735</v>
      </c>
      <c r="T20">
        <v>715</v>
      </c>
      <c r="U20">
        <v>621</v>
      </c>
      <c r="V20">
        <v>575</v>
      </c>
      <c r="W20">
        <v>547</v>
      </c>
      <c r="X20">
        <v>667</v>
      </c>
      <c r="Y20">
        <v>733</v>
      </c>
      <c r="Z20">
        <v>856</v>
      </c>
      <c r="AA20">
        <v>788</v>
      </c>
      <c r="AB20">
        <v>910</v>
      </c>
      <c r="AC20">
        <v>943</v>
      </c>
      <c r="AD20">
        <v>822</v>
      </c>
      <c r="AE20">
        <v>917</v>
      </c>
      <c r="AF20">
        <v>798</v>
      </c>
      <c r="AG20">
        <v>901</v>
      </c>
      <c r="AH20">
        <v>994</v>
      </c>
      <c r="AI20">
        <v>1060</v>
      </c>
      <c r="AJ20">
        <v>980</v>
      </c>
      <c r="AK20">
        <v>910</v>
      </c>
      <c r="AL20">
        <v>926</v>
      </c>
      <c r="AM20">
        <v>1003</v>
      </c>
      <c r="AN20">
        <v>1137</v>
      </c>
      <c r="AO20">
        <v>1141</v>
      </c>
      <c r="AP20">
        <v>997</v>
      </c>
      <c r="AQ20">
        <v>1608</v>
      </c>
      <c r="AR20">
        <v>1756</v>
      </c>
      <c r="AS20">
        <v>1980</v>
      </c>
      <c r="AT20">
        <v>2749</v>
      </c>
      <c r="AU20">
        <v>4091</v>
      </c>
      <c r="AV20">
        <v>3441</v>
      </c>
      <c r="AW20">
        <v>2113</v>
      </c>
      <c r="AX20">
        <v>1883</v>
      </c>
      <c r="AY20">
        <v>1819</v>
      </c>
    </row>
    <row r="21" spans="1:51" x14ac:dyDescent="0.35">
      <c r="A21" t="s">
        <v>187</v>
      </c>
      <c r="B21">
        <f t="shared" si="1"/>
        <v>2</v>
      </c>
      <c r="C21" t="s">
        <v>140</v>
      </c>
      <c r="D21" t="s">
        <v>142</v>
      </c>
      <c r="E21" t="s">
        <v>155</v>
      </c>
      <c r="F21">
        <v>208</v>
      </c>
      <c r="G21">
        <v>421</v>
      </c>
      <c r="H21">
        <v>491</v>
      </c>
      <c r="I21">
        <v>421</v>
      </c>
      <c r="J21">
        <v>338</v>
      </c>
      <c r="K21">
        <v>362</v>
      </c>
      <c r="L21">
        <v>326</v>
      </c>
      <c r="M21">
        <v>316</v>
      </c>
      <c r="N21">
        <v>318</v>
      </c>
      <c r="O21">
        <v>312</v>
      </c>
      <c r="P21">
        <v>265</v>
      </c>
      <c r="Q21">
        <v>331</v>
      </c>
      <c r="R21">
        <v>371</v>
      </c>
      <c r="S21">
        <v>449</v>
      </c>
      <c r="T21">
        <v>491</v>
      </c>
      <c r="U21">
        <v>406</v>
      </c>
      <c r="V21">
        <v>372</v>
      </c>
      <c r="W21">
        <v>352</v>
      </c>
      <c r="X21">
        <v>420</v>
      </c>
      <c r="Y21">
        <v>510</v>
      </c>
      <c r="Z21">
        <v>605</v>
      </c>
      <c r="AA21">
        <v>576</v>
      </c>
      <c r="AB21">
        <v>569</v>
      </c>
      <c r="AC21">
        <v>621</v>
      </c>
      <c r="AD21">
        <v>518</v>
      </c>
      <c r="AE21">
        <v>525</v>
      </c>
      <c r="AF21">
        <v>417</v>
      </c>
      <c r="AG21">
        <v>498</v>
      </c>
      <c r="AH21">
        <v>552</v>
      </c>
      <c r="AI21">
        <v>565</v>
      </c>
      <c r="AJ21">
        <v>525</v>
      </c>
      <c r="AK21">
        <v>438</v>
      </c>
      <c r="AL21">
        <v>384</v>
      </c>
      <c r="AM21">
        <v>466</v>
      </c>
      <c r="AN21">
        <v>496</v>
      </c>
      <c r="AO21">
        <v>550</v>
      </c>
      <c r="AP21">
        <v>632</v>
      </c>
      <c r="AQ21">
        <v>1064</v>
      </c>
      <c r="AR21">
        <v>1119</v>
      </c>
      <c r="AS21">
        <v>1365</v>
      </c>
      <c r="AT21">
        <v>2094</v>
      </c>
      <c r="AU21">
        <v>2924</v>
      </c>
      <c r="AV21">
        <v>2301</v>
      </c>
      <c r="AW21">
        <v>1577</v>
      </c>
      <c r="AX21">
        <v>1211</v>
      </c>
      <c r="AY21">
        <v>1011</v>
      </c>
    </row>
    <row r="22" spans="1:51" x14ac:dyDescent="0.35">
      <c r="A22" t="s">
        <v>187</v>
      </c>
      <c r="B22">
        <f t="shared" si="1"/>
        <v>2</v>
      </c>
      <c r="C22" t="s">
        <v>140</v>
      </c>
      <c r="D22" t="s">
        <v>142</v>
      </c>
      <c r="E22" t="s">
        <v>154</v>
      </c>
      <c r="F22">
        <v>207</v>
      </c>
      <c r="G22">
        <v>405</v>
      </c>
      <c r="H22">
        <v>470</v>
      </c>
      <c r="I22">
        <v>401</v>
      </c>
      <c r="J22">
        <v>316</v>
      </c>
      <c r="K22">
        <v>340</v>
      </c>
      <c r="L22">
        <v>303</v>
      </c>
      <c r="M22">
        <v>286</v>
      </c>
      <c r="N22">
        <v>287</v>
      </c>
      <c r="O22">
        <v>288</v>
      </c>
      <c r="P22">
        <v>243</v>
      </c>
      <c r="Q22">
        <v>306</v>
      </c>
      <c r="R22">
        <v>346</v>
      </c>
      <c r="S22">
        <v>424</v>
      </c>
      <c r="T22">
        <v>465</v>
      </c>
      <c r="U22">
        <v>378</v>
      </c>
      <c r="V22">
        <v>342</v>
      </c>
      <c r="W22">
        <v>324</v>
      </c>
      <c r="X22">
        <v>392</v>
      </c>
      <c r="Y22">
        <v>482</v>
      </c>
      <c r="Z22">
        <v>576</v>
      </c>
      <c r="AA22">
        <v>541</v>
      </c>
      <c r="AB22">
        <v>536</v>
      </c>
      <c r="AC22">
        <v>588</v>
      </c>
      <c r="AD22">
        <v>477</v>
      </c>
      <c r="AE22">
        <v>490</v>
      </c>
      <c r="AF22">
        <v>380</v>
      </c>
      <c r="AG22">
        <v>465</v>
      </c>
      <c r="AH22">
        <v>514</v>
      </c>
      <c r="AI22">
        <v>527</v>
      </c>
      <c r="AJ22">
        <v>488</v>
      </c>
      <c r="AK22">
        <v>396</v>
      </c>
      <c r="AL22">
        <v>343</v>
      </c>
      <c r="AM22">
        <v>420</v>
      </c>
      <c r="AN22">
        <v>443</v>
      </c>
      <c r="AO22">
        <v>490</v>
      </c>
      <c r="AP22">
        <v>581</v>
      </c>
      <c r="AQ22">
        <v>1005</v>
      </c>
      <c r="AR22">
        <v>1046</v>
      </c>
      <c r="AS22">
        <v>1303</v>
      </c>
      <c r="AT22">
        <v>1941</v>
      </c>
      <c r="AU22">
        <v>2617</v>
      </c>
      <c r="AV22">
        <v>2012</v>
      </c>
      <c r="AW22">
        <v>1351</v>
      </c>
      <c r="AX22">
        <v>1038</v>
      </c>
      <c r="AY22">
        <v>832</v>
      </c>
    </row>
    <row r="23" spans="1:51" x14ac:dyDescent="0.35">
      <c r="A23" t="s">
        <v>187</v>
      </c>
      <c r="B23">
        <f t="shared" si="1"/>
        <v>2</v>
      </c>
      <c r="C23" t="s">
        <v>140</v>
      </c>
      <c r="D23" t="s">
        <v>142</v>
      </c>
      <c r="E23" t="s">
        <v>153</v>
      </c>
      <c r="F23">
        <v>206</v>
      </c>
      <c r="G23">
        <v>412</v>
      </c>
      <c r="H23">
        <v>481</v>
      </c>
      <c r="I23">
        <v>412</v>
      </c>
      <c r="J23">
        <v>328</v>
      </c>
      <c r="K23">
        <v>352</v>
      </c>
      <c r="L23">
        <v>311</v>
      </c>
      <c r="M23">
        <v>305</v>
      </c>
      <c r="N23">
        <v>309</v>
      </c>
      <c r="O23">
        <v>304</v>
      </c>
      <c r="P23">
        <v>254</v>
      </c>
      <c r="Q23">
        <v>319</v>
      </c>
      <c r="R23">
        <v>360</v>
      </c>
      <c r="S23">
        <v>438</v>
      </c>
      <c r="T23">
        <v>480</v>
      </c>
      <c r="U23">
        <v>393</v>
      </c>
      <c r="V23">
        <v>358</v>
      </c>
      <c r="W23">
        <v>341</v>
      </c>
      <c r="X23">
        <v>408</v>
      </c>
      <c r="Y23">
        <v>498</v>
      </c>
      <c r="Z23">
        <v>593</v>
      </c>
      <c r="AA23">
        <v>564</v>
      </c>
      <c r="AB23">
        <v>553</v>
      </c>
      <c r="AC23">
        <v>606</v>
      </c>
      <c r="AD23">
        <v>502</v>
      </c>
      <c r="AE23">
        <v>512</v>
      </c>
      <c r="AF23">
        <v>401</v>
      </c>
      <c r="AG23">
        <v>484</v>
      </c>
      <c r="AH23">
        <v>537</v>
      </c>
      <c r="AI23">
        <v>551</v>
      </c>
      <c r="AJ23">
        <v>512</v>
      </c>
      <c r="AK23">
        <v>422</v>
      </c>
      <c r="AL23">
        <v>368</v>
      </c>
      <c r="AM23">
        <v>451</v>
      </c>
      <c r="AN23">
        <v>478</v>
      </c>
      <c r="AO23">
        <v>528</v>
      </c>
      <c r="AP23">
        <v>610</v>
      </c>
      <c r="AQ23">
        <v>1035</v>
      </c>
      <c r="AR23">
        <v>1083</v>
      </c>
      <c r="AS23">
        <v>1321</v>
      </c>
      <c r="AT23">
        <v>2030</v>
      </c>
      <c r="AU23">
        <v>2811</v>
      </c>
      <c r="AV23">
        <v>2206</v>
      </c>
      <c r="AW23">
        <v>1536</v>
      </c>
      <c r="AX23">
        <v>1164</v>
      </c>
      <c r="AY23">
        <v>964</v>
      </c>
    </row>
    <row r="24" spans="1:51" x14ac:dyDescent="0.35">
      <c r="A24" t="s">
        <v>187</v>
      </c>
      <c r="B24">
        <f t="shared" si="1"/>
        <v>2</v>
      </c>
      <c r="C24" t="s">
        <v>140</v>
      </c>
      <c r="D24" t="s">
        <v>142</v>
      </c>
      <c r="E24" t="s">
        <v>152</v>
      </c>
      <c r="F24">
        <v>205</v>
      </c>
      <c r="G24">
        <v>398</v>
      </c>
      <c r="H24">
        <v>463</v>
      </c>
      <c r="I24">
        <v>393</v>
      </c>
      <c r="J24">
        <v>309</v>
      </c>
      <c r="K24">
        <v>333</v>
      </c>
      <c r="L24">
        <v>291</v>
      </c>
      <c r="M24">
        <v>279</v>
      </c>
      <c r="N24">
        <v>281</v>
      </c>
      <c r="O24">
        <v>283</v>
      </c>
      <c r="P24">
        <v>236</v>
      </c>
      <c r="Q24">
        <v>297</v>
      </c>
      <c r="R24">
        <v>339</v>
      </c>
      <c r="S24">
        <v>417</v>
      </c>
      <c r="T24">
        <v>458</v>
      </c>
      <c r="U24">
        <v>370</v>
      </c>
      <c r="V24">
        <v>332</v>
      </c>
      <c r="W24">
        <v>316</v>
      </c>
      <c r="X24">
        <v>384</v>
      </c>
      <c r="Y24">
        <v>475</v>
      </c>
      <c r="Z24">
        <v>569</v>
      </c>
      <c r="AA24">
        <v>534</v>
      </c>
      <c r="AB24">
        <v>526</v>
      </c>
      <c r="AC24">
        <v>579</v>
      </c>
      <c r="AD24">
        <v>467</v>
      </c>
      <c r="AE24">
        <v>482</v>
      </c>
      <c r="AF24">
        <v>370</v>
      </c>
      <c r="AG24">
        <v>457</v>
      </c>
      <c r="AH24">
        <v>505</v>
      </c>
      <c r="AI24">
        <v>519</v>
      </c>
      <c r="AJ24">
        <v>479</v>
      </c>
      <c r="AK24">
        <v>385</v>
      </c>
      <c r="AL24">
        <v>332</v>
      </c>
      <c r="AM24">
        <v>409</v>
      </c>
      <c r="AN24">
        <v>431</v>
      </c>
      <c r="AO24">
        <v>475</v>
      </c>
      <c r="AP24">
        <v>566</v>
      </c>
      <c r="AQ24">
        <v>983</v>
      </c>
      <c r="AR24">
        <v>1020</v>
      </c>
      <c r="AS24">
        <v>1276</v>
      </c>
      <c r="AT24">
        <v>1907</v>
      </c>
      <c r="AU24">
        <v>2551</v>
      </c>
      <c r="AV24">
        <v>1960</v>
      </c>
      <c r="AW24">
        <v>1330</v>
      </c>
      <c r="AX24">
        <v>1018</v>
      </c>
      <c r="AY24">
        <v>811</v>
      </c>
    </row>
    <row r="25" spans="1:51" x14ac:dyDescent="0.35">
      <c r="A25" t="s">
        <v>187</v>
      </c>
      <c r="B25">
        <f t="shared" si="1"/>
        <v>2</v>
      </c>
      <c r="C25" t="s">
        <v>140</v>
      </c>
      <c r="D25" t="s">
        <v>142</v>
      </c>
      <c r="E25" t="s">
        <v>151</v>
      </c>
      <c r="F25">
        <v>204</v>
      </c>
      <c r="G25">
        <v>177</v>
      </c>
      <c r="H25">
        <v>214</v>
      </c>
      <c r="I25">
        <v>203</v>
      </c>
      <c r="J25">
        <v>172</v>
      </c>
      <c r="K25">
        <v>200</v>
      </c>
      <c r="L25">
        <v>188</v>
      </c>
      <c r="M25">
        <v>189</v>
      </c>
      <c r="N25">
        <v>171</v>
      </c>
      <c r="O25">
        <v>175</v>
      </c>
      <c r="P25">
        <v>165</v>
      </c>
      <c r="Q25">
        <v>202</v>
      </c>
      <c r="R25">
        <v>226</v>
      </c>
      <c r="S25">
        <v>230</v>
      </c>
      <c r="T25">
        <v>266</v>
      </c>
      <c r="U25">
        <v>243</v>
      </c>
      <c r="V25">
        <v>236</v>
      </c>
      <c r="W25">
        <v>221</v>
      </c>
      <c r="X25">
        <v>231</v>
      </c>
      <c r="Y25">
        <v>252</v>
      </c>
      <c r="Z25">
        <v>302</v>
      </c>
      <c r="AA25">
        <v>316</v>
      </c>
      <c r="AB25">
        <v>325</v>
      </c>
      <c r="AC25">
        <v>347</v>
      </c>
      <c r="AD25">
        <v>323</v>
      </c>
      <c r="AE25">
        <v>321</v>
      </c>
      <c r="AF25">
        <v>283</v>
      </c>
      <c r="AG25">
        <v>314</v>
      </c>
      <c r="AH25">
        <v>340</v>
      </c>
      <c r="AI25">
        <v>337</v>
      </c>
      <c r="AJ25">
        <v>322</v>
      </c>
      <c r="AK25">
        <v>282</v>
      </c>
      <c r="AL25">
        <v>253</v>
      </c>
      <c r="AM25">
        <v>307</v>
      </c>
      <c r="AN25">
        <v>304</v>
      </c>
      <c r="AO25">
        <v>325</v>
      </c>
      <c r="AP25">
        <v>313</v>
      </c>
      <c r="AQ25">
        <v>550</v>
      </c>
      <c r="AR25">
        <v>639</v>
      </c>
      <c r="AS25">
        <v>823</v>
      </c>
      <c r="AT25">
        <v>1436</v>
      </c>
      <c r="AU25">
        <v>2015</v>
      </c>
      <c r="AV25">
        <v>1170</v>
      </c>
      <c r="AW25">
        <v>696</v>
      </c>
      <c r="AX25">
        <v>604</v>
      </c>
      <c r="AY25">
        <v>599</v>
      </c>
    </row>
    <row r="26" spans="1:51" x14ac:dyDescent="0.35">
      <c r="A26" t="s">
        <v>187</v>
      </c>
      <c r="B26">
        <f t="shared" si="1"/>
        <v>2</v>
      </c>
      <c r="C26" t="s">
        <v>140</v>
      </c>
      <c r="D26" t="s">
        <v>142</v>
      </c>
      <c r="E26" t="s">
        <v>150</v>
      </c>
      <c r="F26">
        <v>203</v>
      </c>
      <c r="G26">
        <v>175</v>
      </c>
      <c r="H26">
        <v>212</v>
      </c>
      <c r="I26">
        <v>201</v>
      </c>
      <c r="J26">
        <v>170</v>
      </c>
      <c r="K26">
        <v>197</v>
      </c>
      <c r="L26">
        <v>186</v>
      </c>
      <c r="M26">
        <v>186</v>
      </c>
      <c r="N26">
        <v>167</v>
      </c>
      <c r="O26">
        <v>172</v>
      </c>
      <c r="P26">
        <v>161</v>
      </c>
      <c r="Q26">
        <v>198</v>
      </c>
      <c r="R26">
        <v>222</v>
      </c>
      <c r="S26">
        <v>225</v>
      </c>
      <c r="T26">
        <v>262</v>
      </c>
      <c r="U26">
        <v>239</v>
      </c>
      <c r="V26">
        <v>233</v>
      </c>
      <c r="W26">
        <v>217</v>
      </c>
      <c r="X26">
        <v>226</v>
      </c>
      <c r="Y26">
        <v>247</v>
      </c>
      <c r="Z26">
        <v>297</v>
      </c>
      <c r="AA26">
        <v>311</v>
      </c>
      <c r="AB26">
        <v>319</v>
      </c>
      <c r="AC26">
        <v>342</v>
      </c>
      <c r="AD26">
        <v>317</v>
      </c>
      <c r="AE26">
        <v>315</v>
      </c>
      <c r="AF26">
        <v>277</v>
      </c>
      <c r="AG26">
        <v>309</v>
      </c>
      <c r="AH26">
        <v>334</v>
      </c>
      <c r="AI26">
        <v>331</v>
      </c>
      <c r="AJ26">
        <v>317</v>
      </c>
      <c r="AK26">
        <v>278</v>
      </c>
      <c r="AL26">
        <v>248</v>
      </c>
      <c r="AM26">
        <v>303</v>
      </c>
      <c r="AN26">
        <v>299</v>
      </c>
      <c r="AO26">
        <v>318</v>
      </c>
      <c r="AP26">
        <v>306</v>
      </c>
      <c r="AQ26">
        <v>544</v>
      </c>
      <c r="AR26">
        <v>628</v>
      </c>
      <c r="AS26">
        <v>807</v>
      </c>
      <c r="AT26">
        <v>1406</v>
      </c>
      <c r="AU26">
        <v>1968</v>
      </c>
      <c r="AV26">
        <v>1127</v>
      </c>
      <c r="AW26">
        <v>675</v>
      </c>
      <c r="AX26">
        <v>577</v>
      </c>
      <c r="AY26">
        <v>573</v>
      </c>
    </row>
    <row r="27" spans="1:51" x14ac:dyDescent="0.35">
      <c r="A27" t="s">
        <v>187</v>
      </c>
      <c r="B27">
        <f t="shared" si="1"/>
        <v>2</v>
      </c>
      <c r="C27" t="s">
        <v>140</v>
      </c>
      <c r="D27" t="s">
        <v>142</v>
      </c>
      <c r="E27" t="s">
        <v>149</v>
      </c>
      <c r="F27">
        <v>202</v>
      </c>
      <c r="G27">
        <v>244</v>
      </c>
      <c r="H27">
        <v>276</v>
      </c>
      <c r="I27">
        <v>219</v>
      </c>
      <c r="J27">
        <v>166</v>
      </c>
      <c r="K27">
        <v>162</v>
      </c>
      <c r="L27">
        <v>137</v>
      </c>
      <c r="M27">
        <v>127</v>
      </c>
      <c r="N27">
        <v>148</v>
      </c>
      <c r="O27">
        <v>137</v>
      </c>
      <c r="P27">
        <v>100</v>
      </c>
      <c r="Q27">
        <v>130</v>
      </c>
      <c r="R27">
        <v>144</v>
      </c>
      <c r="S27">
        <v>219</v>
      </c>
      <c r="T27">
        <v>225</v>
      </c>
      <c r="U27">
        <v>163</v>
      </c>
      <c r="V27">
        <v>135</v>
      </c>
      <c r="W27">
        <v>131</v>
      </c>
      <c r="X27">
        <v>190</v>
      </c>
      <c r="Y27">
        <v>258</v>
      </c>
      <c r="Z27">
        <v>303</v>
      </c>
      <c r="AA27">
        <v>260</v>
      </c>
      <c r="AB27">
        <v>244</v>
      </c>
      <c r="AC27">
        <v>274</v>
      </c>
      <c r="AD27">
        <v>195</v>
      </c>
      <c r="AE27">
        <v>205</v>
      </c>
      <c r="AF27">
        <v>134</v>
      </c>
      <c r="AG27">
        <v>183</v>
      </c>
      <c r="AH27">
        <v>212</v>
      </c>
      <c r="AI27">
        <v>229</v>
      </c>
      <c r="AJ27">
        <v>204</v>
      </c>
      <c r="AK27">
        <v>155</v>
      </c>
      <c r="AL27">
        <v>131</v>
      </c>
      <c r="AM27">
        <v>159</v>
      </c>
      <c r="AN27">
        <v>192</v>
      </c>
      <c r="AO27">
        <v>225</v>
      </c>
      <c r="AP27">
        <v>319</v>
      </c>
      <c r="AQ27">
        <v>514</v>
      </c>
      <c r="AR27">
        <v>480</v>
      </c>
      <c r="AS27">
        <v>542</v>
      </c>
      <c r="AT27">
        <v>658</v>
      </c>
      <c r="AU27">
        <v>909</v>
      </c>
      <c r="AV27">
        <v>1131</v>
      </c>
      <c r="AW27">
        <v>881</v>
      </c>
      <c r="AX27">
        <v>607</v>
      </c>
      <c r="AY27">
        <v>413</v>
      </c>
    </row>
    <row r="28" spans="1:51" x14ac:dyDescent="0.35">
      <c r="A28" t="s">
        <v>187</v>
      </c>
      <c r="B28">
        <f t="shared" si="1"/>
        <v>2</v>
      </c>
      <c r="C28" t="s">
        <v>140</v>
      </c>
      <c r="D28" t="s">
        <v>142</v>
      </c>
      <c r="E28" t="s">
        <v>148</v>
      </c>
      <c r="F28">
        <v>201</v>
      </c>
      <c r="G28">
        <v>230</v>
      </c>
      <c r="H28">
        <v>258</v>
      </c>
      <c r="I28">
        <v>200</v>
      </c>
      <c r="J28">
        <v>147</v>
      </c>
      <c r="K28">
        <v>142</v>
      </c>
      <c r="L28">
        <v>118</v>
      </c>
      <c r="M28">
        <v>101</v>
      </c>
      <c r="N28">
        <v>119</v>
      </c>
      <c r="O28">
        <v>116</v>
      </c>
      <c r="P28">
        <v>81</v>
      </c>
      <c r="Q28">
        <v>108</v>
      </c>
      <c r="R28">
        <v>123</v>
      </c>
      <c r="S28">
        <v>199</v>
      </c>
      <c r="T28">
        <v>203</v>
      </c>
      <c r="U28">
        <v>140</v>
      </c>
      <c r="V28">
        <v>110</v>
      </c>
      <c r="W28">
        <v>106</v>
      </c>
      <c r="X28">
        <v>166</v>
      </c>
      <c r="Y28">
        <v>235</v>
      </c>
      <c r="Z28">
        <v>279</v>
      </c>
      <c r="AA28">
        <v>230</v>
      </c>
      <c r="AB28">
        <v>217</v>
      </c>
      <c r="AC28">
        <v>247</v>
      </c>
      <c r="AD28">
        <v>160</v>
      </c>
      <c r="AE28">
        <v>175</v>
      </c>
      <c r="AF28">
        <v>103</v>
      </c>
      <c r="AG28">
        <v>157</v>
      </c>
      <c r="AH28">
        <v>180</v>
      </c>
      <c r="AI28">
        <v>196</v>
      </c>
      <c r="AJ28">
        <v>171</v>
      </c>
      <c r="AK28">
        <v>118</v>
      </c>
      <c r="AL28">
        <v>95</v>
      </c>
      <c r="AM28">
        <v>117</v>
      </c>
      <c r="AN28">
        <v>145</v>
      </c>
      <c r="AO28">
        <v>172</v>
      </c>
      <c r="AP28">
        <v>275</v>
      </c>
      <c r="AQ28">
        <v>461</v>
      </c>
      <c r="AR28">
        <v>417</v>
      </c>
      <c r="AS28">
        <v>496</v>
      </c>
      <c r="AT28">
        <v>535</v>
      </c>
      <c r="AU28">
        <v>649</v>
      </c>
      <c r="AV28">
        <v>885</v>
      </c>
      <c r="AW28">
        <v>676</v>
      </c>
      <c r="AX28">
        <v>461</v>
      </c>
      <c r="AY28">
        <v>259</v>
      </c>
    </row>
    <row r="29" spans="1:51" x14ac:dyDescent="0.35">
      <c r="A29" t="s">
        <v>187</v>
      </c>
      <c r="B29">
        <f t="shared" ref="B29:B30" si="2">IF(A29="Minor",4,IF(A29="Intermediate",3,IF(A29="Major",2,IF(A29="Total",1,0))))</f>
        <v>2</v>
      </c>
      <c r="C29" t="s">
        <v>140</v>
      </c>
      <c r="D29" t="s">
        <v>142</v>
      </c>
      <c r="E29" t="s">
        <v>372</v>
      </c>
      <c r="F29">
        <v>312</v>
      </c>
      <c r="G29">
        <v>143.79999999999995</v>
      </c>
      <c r="H29">
        <v>158.79999999999995</v>
      </c>
      <c r="I29">
        <v>150.80000000000007</v>
      </c>
      <c r="J29">
        <v>161.10000000000002</v>
      </c>
      <c r="K29">
        <v>177</v>
      </c>
      <c r="L29">
        <v>179.39999999999998</v>
      </c>
      <c r="M29">
        <v>174.89999999999998</v>
      </c>
      <c r="N29">
        <v>161.89999999999998</v>
      </c>
      <c r="O29">
        <v>167.7</v>
      </c>
      <c r="P29">
        <v>164.20000000000005</v>
      </c>
      <c r="Q29">
        <v>196</v>
      </c>
      <c r="R29">
        <v>212.89999999999998</v>
      </c>
      <c r="S29">
        <v>223.20000000000005</v>
      </c>
      <c r="T29">
        <v>245.30000000000007</v>
      </c>
      <c r="U29">
        <v>230.60000000000002</v>
      </c>
      <c r="V29">
        <v>230.5</v>
      </c>
      <c r="W29">
        <v>219.5</v>
      </c>
      <c r="X29">
        <v>263.5</v>
      </c>
      <c r="Y29">
        <v>281.19999999999993</v>
      </c>
      <c r="Z29">
        <v>311.39999999999998</v>
      </c>
      <c r="AA29">
        <v>342.4</v>
      </c>
      <c r="AB29">
        <v>367.90000000000009</v>
      </c>
      <c r="AC29">
        <v>370</v>
      </c>
      <c r="AD29">
        <v>364.9</v>
      </c>
      <c r="AE29">
        <v>391.20000000000005</v>
      </c>
      <c r="AF29">
        <v>381.79999999999995</v>
      </c>
      <c r="AG29">
        <v>422</v>
      </c>
      <c r="AH29">
        <v>467</v>
      </c>
      <c r="AI29">
        <v>459.59999999999991</v>
      </c>
      <c r="AJ29">
        <v>415.29999999999995</v>
      </c>
      <c r="AK29">
        <v>407.79999999999995</v>
      </c>
      <c r="AL29">
        <v>436</v>
      </c>
      <c r="AM29">
        <v>504.79999999999995</v>
      </c>
      <c r="AN29">
        <v>542.9</v>
      </c>
      <c r="AO29">
        <v>546.6</v>
      </c>
      <c r="AP29">
        <v>511.6</v>
      </c>
      <c r="AQ29">
        <v>885.09999999999991</v>
      </c>
      <c r="AR29">
        <v>983.40000000000009</v>
      </c>
      <c r="AS29">
        <v>1002.7</v>
      </c>
      <c r="AT29">
        <v>1096.6999999999998</v>
      </c>
      <c r="AU29">
        <v>2067.6999999999998</v>
      </c>
      <c r="AV29">
        <v>1880.3999999999996</v>
      </c>
      <c r="AW29">
        <v>857.8</v>
      </c>
      <c r="AX29">
        <v>856.90000000000009</v>
      </c>
      <c r="AY29">
        <v>863.90000000000009</v>
      </c>
    </row>
    <row r="30" spans="1:51" x14ac:dyDescent="0.35">
      <c r="A30" t="s">
        <v>187</v>
      </c>
      <c r="B30">
        <f t="shared" si="2"/>
        <v>2</v>
      </c>
      <c r="C30" t="s">
        <v>140</v>
      </c>
      <c r="D30" t="s">
        <v>142</v>
      </c>
      <c r="E30" t="s">
        <v>373</v>
      </c>
      <c r="F30">
        <v>313</v>
      </c>
      <c r="G30">
        <v>9.7999999999999972</v>
      </c>
      <c r="H30">
        <v>10.200000000000003</v>
      </c>
      <c r="I30">
        <v>10.5</v>
      </c>
      <c r="J30">
        <v>12.799999999999997</v>
      </c>
      <c r="K30">
        <v>13.700000000000003</v>
      </c>
      <c r="L30">
        <v>13.599999999999994</v>
      </c>
      <c r="M30">
        <v>13.399999999999999</v>
      </c>
      <c r="N30">
        <v>11.899999999999999</v>
      </c>
      <c r="O30">
        <v>11.200000000000003</v>
      </c>
      <c r="P30">
        <v>12.400000000000006</v>
      </c>
      <c r="Q30">
        <v>15.799999999999997</v>
      </c>
      <c r="R30">
        <v>17.299999999999997</v>
      </c>
      <c r="S30">
        <v>17.200000000000003</v>
      </c>
      <c r="T30">
        <v>17</v>
      </c>
      <c r="U30">
        <v>17.099999999999994</v>
      </c>
      <c r="V30">
        <v>17.400000000000006</v>
      </c>
      <c r="W30">
        <v>19.200000000000003</v>
      </c>
      <c r="X30">
        <v>21.400000000000006</v>
      </c>
      <c r="Y30">
        <v>21</v>
      </c>
      <c r="Z30">
        <v>21.599999999999994</v>
      </c>
      <c r="AA30">
        <v>26.900000000000006</v>
      </c>
      <c r="AB30">
        <v>29.800000000000011</v>
      </c>
      <c r="AC30">
        <v>32.300000000000011</v>
      </c>
      <c r="AD30">
        <v>33.699999999999989</v>
      </c>
      <c r="AE30">
        <v>37.199999999999989</v>
      </c>
      <c r="AF30">
        <v>38.699999999999989</v>
      </c>
      <c r="AG30">
        <v>43.399999999999977</v>
      </c>
      <c r="AH30">
        <v>49</v>
      </c>
      <c r="AI30">
        <v>53</v>
      </c>
      <c r="AJ30">
        <v>47.699999999999989</v>
      </c>
      <c r="AK30">
        <v>60.199999999999989</v>
      </c>
      <c r="AL30">
        <v>73.300000000000011</v>
      </c>
      <c r="AM30">
        <v>90.199999999999989</v>
      </c>
      <c r="AN30">
        <v>105.60000000000002</v>
      </c>
      <c r="AO30">
        <v>111</v>
      </c>
      <c r="AP30">
        <v>101.39999999999998</v>
      </c>
      <c r="AQ30">
        <v>318</v>
      </c>
      <c r="AR30">
        <v>925.09999999999991</v>
      </c>
      <c r="AS30">
        <v>922</v>
      </c>
      <c r="AT30">
        <v>479.79999999999995</v>
      </c>
      <c r="AU30">
        <v>343.29999999999995</v>
      </c>
      <c r="AV30">
        <v>438.59999999999991</v>
      </c>
      <c r="AW30">
        <v>207.09999999999991</v>
      </c>
      <c r="AX30">
        <v>194.20000000000005</v>
      </c>
      <c r="AY30">
        <v>212.79999999999995</v>
      </c>
    </row>
    <row r="31" spans="1:51" x14ac:dyDescent="0.35">
      <c r="A31" t="s">
        <v>274</v>
      </c>
      <c r="B31">
        <f t="shared" ref="B31:B94" si="3">IF(A31="Minor",4,IF(A31="Intermediate",3,IF(A31="Major",2,IF(A31="Total",1,0))))</f>
        <v>3</v>
      </c>
      <c r="C31" t="s">
        <v>140</v>
      </c>
      <c r="D31" t="s">
        <v>142</v>
      </c>
      <c r="E31" t="s">
        <v>273</v>
      </c>
      <c r="F31">
        <v>147</v>
      </c>
      <c r="G31">
        <v>62</v>
      </c>
      <c r="H31">
        <v>61</v>
      </c>
      <c r="I31">
        <v>79</v>
      </c>
      <c r="J31">
        <v>82</v>
      </c>
      <c r="K31">
        <v>87</v>
      </c>
      <c r="L31">
        <v>82</v>
      </c>
      <c r="M31">
        <v>77</v>
      </c>
      <c r="N31">
        <v>74</v>
      </c>
      <c r="O31">
        <v>75</v>
      </c>
      <c r="P31">
        <v>81</v>
      </c>
      <c r="Q31">
        <v>97</v>
      </c>
      <c r="R31">
        <v>100</v>
      </c>
      <c r="S31">
        <v>98</v>
      </c>
      <c r="T31">
        <v>91</v>
      </c>
      <c r="U31">
        <v>97</v>
      </c>
      <c r="V31">
        <v>94</v>
      </c>
      <c r="W31">
        <v>117</v>
      </c>
      <c r="X31">
        <v>142</v>
      </c>
      <c r="Y31">
        <v>155</v>
      </c>
      <c r="Z31">
        <v>174</v>
      </c>
      <c r="AA31">
        <v>217</v>
      </c>
      <c r="AB31">
        <v>250</v>
      </c>
      <c r="AC31">
        <v>235</v>
      </c>
      <c r="AD31">
        <v>230</v>
      </c>
      <c r="AE31">
        <v>245</v>
      </c>
      <c r="AF31">
        <v>275</v>
      </c>
      <c r="AG31">
        <v>302</v>
      </c>
      <c r="AH31">
        <v>350</v>
      </c>
      <c r="AI31">
        <v>391</v>
      </c>
      <c r="AJ31">
        <v>348</v>
      </c>
      <c r="AK31">
        <v>361</v>
      </c>
      <c r="AL31">
        <v>422</v>
      </c>
      <c r="AM31">
        <v>504</v>
      </c>
      <c r="AN31">
        <v>587</v>
      </c>
      <c r="AO31">
        <v>625</v>
      </c>
      <c r="AP31">
        <v>486</v>
      </c>
      <c r="AQ31">
        <v>983</v>
      </c>
      <c r="AR31">
        <v>2203</v>
      </c>
      <c r="AS31">
        <v>2273</v>
      </c>
      <c r="AT31">
        <v>1624</v>
      </c>
      <c r="AU31">
        <v>1795</v>
      </c>
      <c r="AV31">
        <v>2340</v>
      </c>
      <c r="AW31">
        <v>1327</v>
      </c>
      <c r="AX31">
        <v>1001</v>
      </c>
      <c r="AY31">
        <v>1179</v>
      </c>
    </row>
    <row r="32" spans="1:51" x14ac:dyDescent="0.35">
      <c r="A32" t="s">
        <v>274</v>
      </c>
      <c r="B32">
        <f t="shared" si="3"/>
        <v>3</v>
      </c>
      <c r="C32" t="s">
        <v>140</v>
      </c>
      <c r="D32" t="s">
        <v>142</v>
      </c>
      <c r="E32" t="s">
        <v>240</v>
      </c>
      <c r="F32">
        <v>146</v>
      </c>
      <c r="G32">
        <v>17</v>
      </c>
      <c r="H32">
        <v>19</v>
      </c>
      <c r="I32">
        <v>23</v>
      </c>
      <c r="J32">
        <v>28</v>
      </c>
      <c r="K32">
        <v>30</v>
      </c>
      <c r="L32">
        <v>25</v>
      </c>
      <c r="M32">
        <v>20</v>
      </c>
      <c r="N32">
        <v>19</v>
      </c>
      <c r="O32">
        <v>22</v>
      </c>
      <c r="P32">
        <v>26</v>
      </c>
      <c r="Q32">
        <v>34</v>
      </c>
      <c r="R32">
        <v>37</v>
      </c>
      <c r="S32">
        <v>40</v>
      </c>
      <c r="T32">
        <v>36</v>
      </c>
      <c r="U32">
        <v>42</v>
      </c>
      <c r="V32">
        <v>40</v>
      </c>
      <c r="W32">
        <v>47</v>
      </c>
      <c r="X32">
        <v>63</v>
      </c>
      <c r="Y32">
        <v>79</v>
      </c>
      <c r="Z32">
        <v>104</v>
      </c>
      <c r="AA32">
        <v>130</v>
      </c>
      <c r="AB32">
        <v>153</v>
      </c>
      <c r="AC32">
        <v>136</v>
      </c>
      <c r="AD32">
        <v>134</v>
      </c>
      <c r="AE32">
        <v>142</v>
      </c>
      <c r="AF32">
        <v>162</v>
      </c>
      <c r="AG32">
        <v>185</v>
      </c>
      <c r="AH32">
        <v>223</v>
      </c>
      <c r="AI32">
        <v>253</v>
      </c>
      <c r="AJ32">
        <v>198</v>
      </c>
      <c r="AK32">
        <v>203</v>
      </c>
      <c r="AL32">
        <v>260</v>
      </c>
      <c r="AM32">
        <v>314</v>
      </c>
      <c r="AN32">
        <v>364</v>
      </c>
      <c r="AO32">
        <v>380</v>
      </c>
      <c r="AP32">
        <v>265</v>
      </c>
      <c r="AQ32">
        <v>544</v>
      </c>
      <c r="AR32">
        <v>1105</v>
      </c>
      <c r="AS32">
        <v>1147</v>
      </c>
      <c r="AT32">
        <v>874</v>
      </c>
      <c r="AU32">
        <v>1145</v>
      </c>
      <c r="AV32">
        <v>1425</v>
      </c>
      <c r="AW32">
        <v>796</v>
      </c>
      <c r="AX32">
        <v>515</v>
      </c>
      <c r="AY32">
        <v>670</v>
      </c>
    </row>
    <row r="33" spans="1:51" x14ac:dyDescent="0.35">
      <c r="A33" t="s">
        <v>274</v>
      </c>
      <c r="B33">
        <f t="shared" si="3"/>
        <v>3</v>
      </c>
      <c r="C33" t="s">
        <v>140</v>
      </c>
      <c r="D33" t="s">
        <v>142</v>
      </c>
      <c r="E33" t="s">
        <v>263</v>
      </c>
      <c r="F33">
        <v>145</v>
      </c>
      <c r="G33">
        <v>7</v>
      </c>
      <c r="H33">
        <v>6</v>
      </c>
      <c r="I33">
        <v>7</v>
      </c>
      <c r="J33">
        <v>8</v>
      </c>
      <c r="K33">
        <v>9</v>
      </c>
      <c r="L33">
        <v>10</v>
      </c>
      <c r="M33">
        <v>10</v>
      </c>
      <c r="N33">
        <v>9</v>
      </c>
      <c r="O33">
        <v>9</v>
      </c>
      <c r="P33">
        <v>13</v>
      </c>
      <c r="Q33">
        <v>8</v>
      </c>
      <c r="R33">
        <v>9</v>
      </c>
      <c r="S33">
        <v>18</v>
      </c>
      <c r="T33">
        <v>13</v>
      </c>
      <c r="U33">
        <v>25</v>
      </c>
      <c r="V33">
        <v>25</v>
      </c>
      <c r="W33">
        <v>25</v>
      </c>
      <c r="X33">
        <v>43</v>
      </c>
      <c r="Y33">
        <v>52</v>
      </c>
      <c r="Z33">
        <v>57</v>
      </c>
      <c r="AA33">
        <v>72</v>
      </c>
      <c r="AB33">
        <v>96</v>
      </c>
      <c r="AC33">
        <v>62</v>
      </c>
      <c r="AD33">
        <v>72</v>
      </c>
      <c r="AE33">
        <v>71</v>
      </c>
      <c r="AF33">
        <v>113</v>
      </c>
      <c r="AG33">
        <v>123</v>
      </c>
      <c r="AH33">
        <v>134</v>
      </c>
      <c r="AI33">
        <v>147</v>
      </c>
      <c r="AJ33">
        <v>130</v>
      </c>
      <c r="AK33">
        <v>140</v>
      </c>
      <c r="AL33">
        <v>152</v>
      </c>
      <c r="AM33">
        <v>181</v>
      </c>
      <c r="AN33">
        <v>229</v>
      </c>
      <c r="AO33">
        <v>251</v>
      </c>
      <c r="AP33">
        <v>225</v>
      </c>
      <c r="AQ33">
        <v>375</v>
      </c>
      <c r="AR33">
        <v>847</v>
      </c>
      <c r="AS33">
        <v>1243</v>
      </c>
      <c r="AT33">
        <v>954</v>
      </c>
      <c r="AU33">
        <v>605</v>
      </c>
      <c r="AV33">
        <v>715</v>
      </c>
      <c r="AW33">
        <v>307</v>
      </c>
      <c r="AX33">
        <v>271</v>
      </c>
      <c r="AY33">
        <v>346</v>
      </c>
    </row>
    <row r="34" spans="1:51" x14ac:dyDescent="0.35">
      <c r="A34" t="s">
        <v>274</v>
      </c>
      <c r="B34">
        <f t="shared" si="3"/>
        <v>3</v>
      </c>
      <c r="C34" t="s">
        <v>140</v>
      </c>
      <c r="D34" t="s">
        <v>142</v>
      </c>
      <c r="E34" t="s">
        <v>224</v>
      </c>
      <c r="F34">
        <v>144</v>
      </c>
      <c r="G34">
        <v>5</v>
      </c>
      <c r="H34">
        <v>6</v>
      </c>
      <c r="I34">
        <v>7</v>
      </c>
      <c r="J34">
        <v>9</v>
      </c>
      <c r="K34">
        <v>13</v>
      </c>
      <c r="L34">
        <v>17</v>
      </c>
      <c r="M34">
        <v>15</v>
      </c>
      <c r="N34">
        <v>13</v>
      </c>
      <c r="O34">
        <v>15</v>
      </c>
      <c r="P34">
        <v>20</v>
      </c>
      <c r="Q34">
        <v>22</v>
      </c>
      <c r="R34">
        <v>20</v>
      </c>
      <c r="S34">
        <v>23</v>
      </c>
      <c r="T34">
        <v>24</v>
      </c>
      <c r="U34">
        <v>25</v>
      </c>
      <c r="V34">
        <v>22</v>
      </c>
      <c r="W34">
        <v>24</v>
      </c>
      <c r="X34">
        <v>24</v>
      </c>
      <c r="Y34">
        <v>23</v>
      </c>
      <c r="Z34">
        <v>24</v>
      </c>
      <c r="AA34">
        <v>30</v>
      </c>
      <c r="AB34">
        <v>37</v>
      </c>
      <c r="AC34">
        <v>38</v>
      </c>
      <c r="AD34">
        <v>34</v>
      </c>
      <c r="AE34">
        <v>42</v>
      </c>
      <c r="AF34">
        <v>44</v>
      </c>
      <c r="AG34">
        <v>45</v>
      </c>
      <c r="AH34">
        <v>50</v>
      </c>
      <c r="AI34">
        <v>60</v>
      </c>
      <c r="AJ34">
        <v>57</v>
      </c>
      <c r="AK34">
        <v>56</v>
      </c>
      <c r="AL34">
        <v>60</v>
      </c>
      <c r="AM34">
        <v>75</v>
      </c>
      <c r="AN34">
        <v>82</v>
      </c>
      <c r="AO34">
        <v>97</v>
      </c>
      <c r="AP34">
        <v>73</v>
      </c>
      <c r="AQ34">
        <v>73</v>
      </c>
      <c r="AR34">
        <v>86</v>
      </c>
      <c r="AS34">
        <v>134</v>
      </c>
      <c r="AT34">
        <v>136</v>
      </c>
      <c r="AU34">
        <v>154</v>
      </c>
      <c r="AV34">
        <v>410</v>
      </c>
      <c r="AW34">
        <v>205</v>
      </c>
      <c r="AX34">
        <v>129</v>
      </c>
      <c r="AY34">
        <v>203</v>
      </c>
    </row>
    <row r="35" spans="1:51" x14ac:dyDescent="0.35">
      <c r="A35" t="s">
        <v>274</v>
      </c>
      <c r="B35">
        <f t="shared" si="3"/>
        <v>3</v>
      </c>
      <c r="C35" t="s">
        <v>140</v>
      </c>
      <c r="D35" t="s">
        <v>142</v>
      </c>
      <c r="E35" t="s">
        <v>272</v>
      </c>
      <c r="F35">
        <v>143</v>
      </c>
      <c r="G35">
        <v>16</v>
      </c>
      <c r="H35">
        <v>18</v>
      </c>
      <c r="I35">
        <v>22</v>
      </c>
      <c r="J35">
        <v>27</v>
      </c>
      <c r="K35">
        <v>29</v>
      </c>
      <c r="L35">
        <v>24</v>
      </c>
      <c r="M35">
        <v>19</v>
      </c>
      <c r="N35">
        <v>18</v>
      </c>
      <c r="O35">
        <v>20</v>
      </c>
      <c r="P35">
        <v>25</v>
      </c>
      <c r="Q35">
        <v>32</v>
      </c>
      <c r="R35">
        <v>36</v>
      </c>
      <c r="S35">
        <v>38</v>
      </c>
      <c r="T35">
        <v>35</v>
      </c>
      <c r="U35">
        <v>39</v>
      </c>
      <c r="V35">
        <v>37</v>
      </c>
      <c r="W35">
        <v>44</v>
      </c>
      <c r="X35">
        <v>60</v>
      </c>
      <c r="Y35">
        <v>75</v>
      </c>
      <c r="Z35">
        <v>100</v>
      </c>
      <c r="AA35">
        <v>125</v>
      </c>
      <c r="AB35">
        <v>147</v>
      </c>
      <c r="AC35">
        <v>130</v>
      </c>
      <c r="AD35">
        <v>127</v>
      </c>
      <c r="AE35">
        <v>136</v>
      </c>
      <c r="AF35">
        <v>153</v>
      </c>
      <c r="AG35">
        <v>174</v>
      </c>
      <c r="AH35">
        <v>211</v>
      </c>
      <c r="AI35">
        <v>239</v>
      </c>
      <c r="AJ35">
        <v>189</v>
      </c>
      <c r="AK35">
        <v>193</v>
      </c>
      <c r="AL35">
        <v>246</v>
      </c>
      <c r="AM35">
        <v>298</v>
      </c>
      <c r="AN35">
        <v>347</v>
      </c>
      <c r="AO35">
        <v>370</v>
      </c>
      <c r="AP35">
        <v>257</v>
      </c>
      <c r="AQ35">
        <v>489</v>
      </c>
      <c r="AR35">
        <v>829</v>
      </c>
      <c r="AS35">
        <v>980</v>
      </c>
      <c r="AT35">
        <v>833</v>
      </c>
      <c r="AU35">
        <v>1108</v>
      </c>
      <c r="AV35">
        <v>1382</v>
      </c>
      <c r="AW35">
        <v>774</v>
      </c>
      <c r="AX35">
        <v>500</v>
      </c>
      <c r="AY35">
        <v>650</v>
      </c>
    </row>
    <row r="36" spans="1:51" x14ac:dyDescent="0.35">
      <c r="A36" t="s">
        <v>274</v>
      </c>
      <c r="B36">
        <f t="shared" si="3"/>
        <v>3</v>
      </c>
      <c r="C36" t="s">
        <v>140</v>
      </c>
      <c r="D36" t="s">
        <v>142</v>
      </c>
      <c r="E36" t="s">
        <v>271</v>
      </c>
      <c r="F36">
        <v>142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78</v>
      </c>
      <c r="AB36">
        <v>89</v>
      </c>
      <c r="AC36">
        <v>80</v>
      </c>
      <c r="AD36">
        <v>85</v>
      </c>
      <c r="AE36">
        <v>94</v>
      </c>
      <c r="AF36">
        <v>99</v>
      </c>
      <c r="AG36">
        <v>115</v>
      </c>
      <c r="AH36">
        <v>140</v>
      </c>
      <c r="AI36">
        <v>157</v>
      </c>
      <c r="AJ36">
        <v>127</v>
      </c>
      <c r="AK36">
        <v>125</v>
      </c>
      <c r="AL36">
        <v>163</v>
      </c>
      <c r="AM36">
        <v>199</v>
      </c>
      <c r="AN36">
        <v>237</v>
      </c>
      <c r="AO36">
        <v>251</v>
      </c>
      <c r="AP36">
        <v>180</v>
      </c>
      <c r="AQ36">
        <v>319</v>
      </c>
      <c r="AR36">
        <v>456</v>
      </c>
      <c r="AS36">
        <v>549</v>
      </c>
      <c r="AT36">
        <v>531</v>
      </c>
      <c r="AU36">
        <v>770</v>
      </c>
      <c r="AV36">
        <v>995</v>
      </c>
      <c r="AW36">
        <v>547</v>
      </c>
      <c r="AX36">
        <v>371</v>
      </c>
      <c r="AY36">
        <v>490</v>
      </c>
    </row>
    <row r="37" spans="1:51" x14ac:dyDescent="0.35">
      <c r="A37" t="s">
        <v>274</v>
      </c>
      <c r="B37">
        <f t="shared" si="3"/>
        <v>3</v>
      </c>
      <c r="C37" t="s">
        <v>140</v>
      </c>
      <c r="D37" t="s">
        <v>142</v>
      </c>
      <c r="E37" t="s">
        <v>239</v>
      </c>
      <c r="F37">
        <v>141</v>
      </c>
      <c r="G37">
        <v>4</v>
      </c>
      <c r="H37">
        <v>2</v>
      </c>
      <c r="I37">
        <v>3</v>
      </c>
      <c r="J37">
        <v>2</v>
      </c>
      <c r="K37">
        <v>4</v>
      </c>
      <c r="L37">
        <v>4</v>
      </c>
      <c r="M37">
        <v>4</v>
      </c>
      <c r="N37">
        <v>3</v>
      </c>
      <c r="O37">
        <v>2</v>
      </c>
      <c r="P37">
        <v>6</v>
      </c>
      <c r="Q37">
        <v>2</v>
      </c>
      <c r="R37">
        <v>2</v>
      </c>
      <c r="S37">
        <v>10</v>
      </c>
      <c r="T37">
        <v>5</v>
      </c>
      <c r="U37">
        <v>16</v>
      </c>
      <c r="V37">
        <v>17</v>
      </c>
      <c r="W37">
        <v>14</v>
      </c>
      <c r="X37">
        <v>32</v>
      </c>
      <c r="Y37">
        <v>39</v>
      </c>
      <c r="Z37">
        <v>42</v>
      </c>
      <c r="AA37">
        <v>53</v>
      </c>
      <c r="AB37">
        <v>74</v>
      </c>
      <c r="AC37">
        <v>40</v>
      </c>
      <c r="AD37">
        <v>49</v>
      </c>
      <c r="AE37">
        <v>47</v>
      </c>
      <c r="AF37">
        <v>89</v>
      </c>
      <c r="AG37">
        <v>98</v>
      </c>
      <c r="AH37">
        <v>106</v>
      </c>
      <c r="AI37">
        <v>115</v>
      </c>
      <c r="AJ37">
        <v>105</v>
      </c>
      <c r="AK37">
        <v>112</v>
      </c>
      <c r="AL37">
        <v>121</v>
      </c>
      <c r="AM37">
        <v>145</v>
      </c>
      <c r="AN37">
        <v>189</v>
      </c>
      <c r="AO37">
        <v>203</v>
      </c>
      <c r="AP37">
        <v>172</v>
      </c>
      <c r="AQ37">
        <v>260</v>
      </c>
      <c r="AR37">
        <v>617</v>
      </c>
      <c r="AS37">
        <v>963</v>
      </c>
      <c r="AT37">
        <v>681</v>
      </c>
      <c r="AU37">
        <v>395</v>
      </c>
      <c r="AV37">
        <v>421</v>
      </c>
      <c r="AW37">
        <v>185</v>
      </c>
      <c r="AX37">
        <v>172</v>
      </c>
      <c r="AY37">
        <v>242</v>
      </c>
    </row>
    <row r="38" spans="1:51" x14ac:dyDescent="0.35">
      <c r="A38" t="s">
        <v>274</v>
      </c>
      <c r="B38">
        <f t="shared" si="3"/>
        <v>3</v>
      </c>
      <c r="C38" t="s">
        <v>140</v>
      </c>
      <c r="D38" t="s">
        <v>142</v>
      </c>
      <c r="E38" t="s">
        <v>270</v>
      </c>
      <c r="F38">
        <v>140</v>
      </c>
      <c r="G38">
        <v>39</v>
      </c>
      <c r="H38">
        <v>37</v>
      </c>
      <c r="I38">
        <v>52</v>
      </c>
      <c r="J38">
        <v>49</v>
      </c>
      <c r="K38">
        <v>54</v>
      </c>
      <c r="L38">
        <v>56</v>
      </c>
      <c r="M38">
        <v>56</v>
      </c>
      <c r="N38">
        <v>54</v>
      </c>
      <c r="O38">
        <v>54</v>
      </c>
      <c r="P38">
        <v>57</v>
      </c>
      <c r="Q38">
        <v>62</v>
      </c>
      <c r="R38">
        <v>62</v>
      </c>
      <c r="S38">
        <v>59</v>
      </c>
      <c r="T38">
        <v>56</v>
      </c>
      <c r="U38">
        <v>59</v>
      </c>
      <c r="V38">
        <v>56</v>
      </c>
      <c r="W38">
        <v>73</v>
      </c>
      <c r="X38">
        <v>80</v>
      </c>
      <c r="Y38">
        <v>77</v>
      </c>
      <c r="Z38">
        <v>73</v>
      </c>
      <c r="AA38">
        <v>90</v>
      </c>
      <c r="AB38">
        <v>106</v>
      </c>
      <c r="AC38">
        <v>104</v>
      </c>
      <c r="AD38">
        <v>97</v>
      </c>
      <c r="AE38">
        <v>112</v>
      </c>
      <c r="AF38">
        <v>119</v>
      </c>
      <c r="AG38">
        <v>119</v>
      </c>
      <c r="AH38">
        <v>128</v>
      </c>
      <c r="AI38">
        <v>145</v>
      </c>
      <c r="AJ38">
        <v>155</v>
      </c>
      <c r="AK38">
        <v>153</v>
      </c>
      <c r="AL38">
        <v>146</v>
      </c>
      <c r="AM38">
        <v>169</v>
      </c>
      <c r="AN38">
        <v>193</v>
      </c>
      <c r="AO38">
        <v>231</v>
      </c>
      <c r="AP38">
        <v>206</v>
      </c>
      <c r="AQ38">
        <v>224</v>
      </c>
      <c r="AR38">
        <v>294</v>
      </c>
      <c r="AS38">
        <v>394</v>
      </c>
      <c r="AT38">
        <v>491</v>
      </c>
      <c r="AU38">
        <v>503</v>
      </c>
      <c r="AV38">
        <v>953</v>
      </c>
      <c r="AW38">
        <v>572</v>
      </c>
      <c r="AX38">
        <v>441</v>
      </c>
      <c r="AY38">
        <v>532</v>
      </c>
    </row>
    <row r="39" spans="1:51" x14ac:dyDescent="0.35">
      <c r="A39" t="s">
        <v>274</v>
      </c>
      <c r="B39">
        <f t="shared" si="3"/>
        <v>3</v>
      </c>
      <c r="C39" t="s">
        <v>140</v>
      </c>
      <c r="D39" t="s">
        <v>142</v>
      </c>
      <c r="E39" t="s">
        <v>269</v>
      </c>
      <c r="F39">
        <v>139</v>
      </c>
      <c r="G39">
        <v>37</v>
      </c>
      <c r="H39">
        <v>35</v>
      </c>
      <c r="I39">
        <v>49</v>
      </c>
      <c r="J39">
        <v>45</v>
      </c>
      <c r="K39">
        <v>49</v>
      </c>
      <c r="L39">
        <v>51</v>
      </c>
      <c r="M39">
        <v>52</v>
      </c>
      <c r="N39">
        <v>50</v>
      </c>
      <c r="O39">
        <v>49</v>
      </c>
      <c r="P39">
        <v>50</v>
      </c>
      <c r="Q39">
        <v>56</v>
      </c>
      <c r="R39">
        <v>55</v>
      </c>
      <c r="S39">
        <v>50</v>
      </c>
      <c r="T39">
        <v>47</v>
      </c>
      <c r="U39">
        <v>46</v>
      </c>
      <c r="V39">
        <v>45</v>
      </c>
      <c r="W39">
        <v>62</v>
      </c>
      <c r="X39">
        <v>68</v>
      </c>
      <c r="Y39">
        <v>65</v>
      </c>
      <c r="Z39">
        <v>60</v>
      </c>
      <c r="AA39">
        <v>74</v>
      </c>
      <c r="AB39">
        <v>83</v>
      </c>
      <c r="AC39">
        <v>81</v>
      </c>
      <c r="AD39">
        <v>77</v>
      </c>
      <c r="AE39">
        <v>82</v>
      </c>
      <c r="AF39">
        <v>89</v>
      </c>
      <c r="AG39">
        <v>88</v>
      </c>
      <c r="AH39">
        <v>94</v>
      </c>
      <c r="AI39">
        <v>102</v>
      </c>
      <c r="AJ39">
        <v>116</v>
      </c>
      <c r="AK39">
        <v>111</v>
      </c>
      <c r="AL39">
        <v>101</v>
      </c>
      <c r="AM39">
        <v>113</v>
      </c>
      <c r="AN39">
        <v>134</v>
      </c>
      <c r="AO39">
        <v>161</v>
      </c>
      <c r="AP39">
        <v>149</v>
      </c>
      <c r="AQ39">
        <v>160</v>
      </c>
      <c r="AR39">
        <v>221</v>
      </c>
      <c r="AS39">
        <v>275</v>
      </c>
      <c r="AT39">
        <v>371</v>
      </c>
      <c r="AU39">
        <v>377</v>
      </c>
      <c r="AV39">
        <v>593</v>
      </c>
      <c r="AW39">
        <v>401</v>
      </c>
      <c r="AX39">
        <v>346</v>
      </c>
      <c r="AY39">
        <v>366</v>
      </c>
    </row>
    <row r="40" spans="1:51" x14ac:dyDescent="0.35">
      <c r="A40" t="s">
        <v>274</v>
      </c>
      <c r="B40">
        <f t="shared" si="3"/>
        <v>3</v>
      </c>
      <c r="C40" t="s">
        <v>140</v>
      </c>
      <c r="D40" t="s">
        <v>142</v>
      </c>
      <c r="E40" t="s">
        <v>267</v>
      </c>
      <c r="F40">
        <v>136</v>
      </c>
      <c r="G40">
        <v>246</v>
      </c>
      <c r="H40">
        <v>303</v>
      </c>
      <c r="I40">
        <v>288</v>
      </c>
      <c r="J40">
        <v>301</v>
      </c>
      <c r="K40">
        <v>298</v>
      </c>
      <c r="L40">
        <v>294</v>
      </c>
      <c r="M40">
        <v>256</v>
      </c>
      <c r="N40">
        <v>285</v>
      </c>
      <c r="O40">
        <v>286</v>
      </c>
      <c r="P40">
        <v>294</v>
      </c>
      <c r="Q40">
        <v>351</v>
      </c>
      <c r="R40">
        <v>338</v>
      </c>
      <c r="S40">
        <v>360</v>
      </c>
      <c r="T40">
        <v>297</v>
      </c>
      <c r="U40">
        <v>294</v>
      </c>
      <c r="V40">
        <v>288</v>
      </c>
      <c r="W40">
        <v>281</v>
      </c>
      <c r="X40">
        <v>337</v>
      </c>
      <c r="Y40">
        <v>316</v>
      </c>
      <c r="Z40">
        <v>346</v>
      </c>
      <c r="AA40">
        <v>325</v>
      </c>
      <c r="AB40">
        <v>464</v>
      </c>
      <c r="AC40">
        <v>441</v>
      </c>
      <c r="AD40">
        <v>437</v>
      </c>
      <c r="AE40">
        <v>530</v>
      </c>
      <c r="AF40">
        <v>527</v>
      </c>
      <c r="AG40">
        <v>545</v>
      </c>
      <c r="AH40">
        <v>616</v>
      </c>
      <c r="AI40">
        <v>673</v>
      </c>
      <c r="AJ40">
        <v>617</v>
      </c>
      <c r="AK40">
        <v>649</v>
      </c>
      <c r="AL40">
        <v>743</v>
      </c>
      <c r="AM40">
        <v>757</v>
      </c>
      <c r="AN40">
        <v>884</v>
      </c>
      <c r="AO40">
        <v>844</v>
      </c>
      <c r="AP40">
        <v>568</v>
      </c>
      <c r="AQ40">
        <v>770</v>
      </c>
      <c r="AR40">
        <v>920</v>
      </c>
      <c r="AS40">
        <v>882</v>
      </c>
      <c r="AT40">
        <v>1003</v>
      </c>
      <c r="AU40">
        <v>1937</v>
      </c>
      <c r="AV40">
        <v>1833</v>
      </c>
      <c r="AW40">
        <v>915</v>
      </c>
      <c r="AX40">
        <v>1039</v>
      </c>
      <c r="AY40">
        <v>1233</v>
      </c>
    </row>
    <row r="41" spans="1:51" x14ac:dyDescent="0.35">
      <c r="A41" t="s">
        <v>274</v>
      </c>
      <c r="B41">
        <f t="shared" si="3"/>
        <v>3</v>
      </c>
      <c r="C41" t="s">
        <v>140</v>
      </c>
      <c r="D41" t="s">
        <v>142</v>
      </c>
      <c r="E41" t="s">
        <v>204</v>
      </c>
      <c r="F41">
        <v>133</v>
      </c>
      <c r="G41">
        <v>218</v>
      </c>
      <c r="H41">
        <v>272</v>
      </c>
      <c r="I41">
        <v>253</v>
      </c>
      <c r="J41">
        <v>261</v>
      </c>
      <c r="K41">
        <v>260</v>
      </c>
      <c r="L41">
        <v>256</v>
      </c>
      <c r="M41">
        <v>223</v>
      </c>
      <c r="N41">
        <v>253</v>
      </c>
      <c r="O41">
        <v>248</v>
      </c>
      <c r="P41">
        <v>257</v>
      </c>
      <c r="Q41">
        <v>304</v>
      </c>
      <c r="R41">
        <v>294</v>
      </c>
      <c r="S41">
        <v>317</v>
      </c>
      <c r="T41">
        <v>255</v>
      </c>
      <c r="U41">
        <v>251</v>
      </c>
      <c r="V41">
        <v>242</v>
      </c>
      <c r="W41">
        <v>230</v>
      </c>
      <c r="X41">
        <v>281</v>
      </c>
      <c r="Y41">
        <v>256</v>
      </c>
      <c r="Z41">
        <v>285</v>
      </c>
      <c r="AA41">
        <v>251</v>
      </c>
      <c r="AB41">
        <v>381</v>
      </c>
      <c r="AC41">
        <v>363</v>
      </c>
      <c r="AD41">
        <v>354</v>
      </c>
      <c r="AE41">
        <v>433</v>
      </c>
      <c r="AF41">
        <v>426</v>
      </c>
      <c r="AG41">
        <v>442</v>
      </c>
      <c r="AH41">
        <v>487</v>
      </c>
      <c r="AI41">
        <v>540</v>
      </c>
      <c r="AJ41">
        <v>500</v>
      </c>
      <c r="AK41">
        <v>524</v>
      </c>
      <c r="AL41">
        <v>592</v>
      </c>
      <c r="AM41">
        <v>591</v>
      </c>
      <c r="AN41">
        <v>703</v>
      </c>
      <c r="AO41">
        <v>663</v>
      </c>
      <c r="AP41">
        <v>429</v>
      </c>
      <c r="AQ41">
        <v>619</v>
      </c>
      <c r="AR41">
        <v>729</v>
      </c>
      <c r="AS41">
        <v>698</v>
      </c>
      <c r="AT41">
        <v>838</v>
      </c>
      <c r="AU41">
        <v>1522</v>
      </c>
      <c r="AV41">
        <v>1470</v>
      </c>
      <c r="AW41">
        <v>775</v>
      </c>
      <c r="AX41">
        <v>856</v>
      </c>
      <c r="AY41">
        <v>1001</v>
      </c>
    </row>
    <row r="42" spans="1:51" x14ac:dyDescent="0.35">
      <c r="A42" t="s">
        <v>274</v>
      </c>
      <c r="B42">
        <f t="shared" si="3"/>
        <v>3</v>
      </c>
      <c r="C42" t="s">
        <v>140</v>
      </c>
      <c r="D42" t="s">
        <v>142</v>
      </c>
      <c r="E42" t="s">
        <v>263</v>
      </c>
      <c r="F42">
        <v>128</v>
      </c>
      <c r="G42">
        <v>21</v>
      </c>
      <c r="H42">
        <v>25</v>
      </c>
      <c r="I42">
        <v>28</v>
      </c>
      <c r="J42">
        <v>34</v>
      </c>
      <c r="K42">
        <v>33</v>
      </c>
      <c r="L42">
        <v>31</v>
      </c>
      <c r="M42">
        <v>28</v>
      </c>
      <c r="N42">
        <v>27</v>
      </c>
      <c r="O42">
        <v>30</v>
      </c>
      <c r="P42">
        <v>31</v>
      </c>
      <c r="Q42">
        <v>39</v>
      </c>
      <c r="R42">
        <v>39</v>
      </c>
      <c r="S42">
        <v>37</v>
      </c>
      <c r="T42">
        <v>37</v>
      </c>
      <c r="U42">
        <v>37</v>
      </c>
      <c r="V42">
        <v>40</v>
      </c>
      <c r="W42">
        <v>45</v>
      </c>
      <c r="X42">
        <v>49</v>
      </c>
      <c r="Y42">
        <v>54</v>
      </c>
      <c r="Z42">
        <v>55</v>
      </c>
      <c r="AA42">
        <v>67</v>
      </c>
      <c r="AB42">
        <v>74</v>
      </c>
      <c r="AC42">
        <v>71</v>
      </c>
      <c r="AD42">
        <v>74</v>
      </c>
      <c r="AE42">
        <v>86</v>
      </c>
      <c r="AF42">
        <v>92</v>
      </c>
      <c r="AG42">
        <v>92</v>
      </c>
      <c r="AH42">
        <v>118</v>
      </c>
      <c r="AI42">
        <v>123</v>
      </c>
      <c r="AJ42">
        <v>105</v>
      </c>
      <c r="AK42">
        <v>110</v>
      </c>
      <c r="AL42">
        <v>134</v>
      </c>
      <c r="AM42">
        <v>150</v>
      </c>
      <c r="AN42">
        <v>161</v>
      </c>
      <c r="AO42">
        <v>160</v>
      </c>
      <c r="AP42">
        <v>126</v>
      </c>
      <c r="AQ42">
        <v>146</v>
      </c>
      <c r="AR42">
        <v>182</v>
      </c>
      <c r="AS42">
        <v>172</v>
      </c>
      <c r="AT42">
        <v>155</v>
      </c>
      <c r="AU42">
        <v>397</v>
      </c>
      <c r="AV42">
        <v>334</v>
      </c>
      <c r="AW42">
        <v>123</v>
      </c>
      <c r="AX42">
        <v>161</v>
      </c>
      <c r="AY42">
        <v>208</v>
      </c>
    </row>
    <row r="43" spans="1:51" x14ac:dyDescent="0.35">
      <c r="A43" t="s">
        <v>274</v>
      </c>
      <c r="B43">
        <f t="shared" si="3"/>
        <v>3</v>
      </c>
      <c r="C43" t="s">
        <v>140</v>
      </c>
      <c r="D43" t="s">
        <v>142</v>
      </c>
      <c r="E43" t="s">
        <v>225</v>
      </c>
      <c r="F43">
        <v>125</v>
      </c>
      <c r="G43">
        <v>216</v>
      </c>
      <c r="H43">
        <v>271</v>
      </c>
      <c r="I43">
        <v>253</v>
      </c>
      <c r="J43">
        <v>260</v>
      </c>
      <c r="K43">
        <v>259</v>
      </c>
      <c r="L43">
        <v>255</v>
      </c>
      <c r="M43">
        <v>221</v>
      </c>
      <c r="N43">
        <v>251</v>
      </c>
      <c r="O43">
        <v>246</v>
      </c>
      <c r="P43">
        <v>256</v>
      </c>
      <c r="Q43">
        <v>302</v>
      </c>
      <c r="R43">
        <v>291</v>
      </c>
      <c r="S43">
        <v>314</v>
      </c>
      <c r="T43">
        <v>253</v>
      </c>
      <c r="U43">
        <v>249</v>
      </c>
      <c r="V43">
        <v>240</v>
      </c>
      <c r="W43">
        <v>228</v>
      </c>
      <c r="X43">
        <v>278</v>
      </c>
      <c r="Y43">
        <v>252</v>
      </c>
      <c r="Z43">
        <v>280</v>
      </c>
      <c r="AA43">
        <v>246</v>
      </c>
      <c r="AB43">
        <v>375</v>
      </c>
      <c r="AC43">
        <v>356</v>
      </c>
      <c r="AD43">
        <v>349</v>
      </c>
      <c r="AE43">
        <v>427</v>
      </c>
      <c r="AF43">
        <v>421</v>
      </c>
      <c r="AG43">
        <v>436</v>
      </c>
      <c r="AH43">
        <v>480</v>
      </c>
      <c r="AI43">
        <v>531</v>
      </c>
      <c r="AJ43">
        <v>492</v>
      </c>
      <c r="AK43">
        <v>516</v>
      </c>
      <c r="AL43">
        <v>585</v>
      </c>
      <c r="AM43">
        <v>582</v>
      </c>
      <c r="AN43">
        <v>693</v>
      </c>
      <c r="AO43">
        <v>654</v>
      </c>
      <c r="AP43">
        <v>421</v>
      </c>
      <c r="AQ43">
        <v>608</v>
      </c>
      <c r="AR43">
        <v>718</v>
      </c>
      <c r="AS43">
        <v>686</v>
      </c>
      <c r="AT43">
        <v>825</v>
      </c>
      <c r="AU43">
        <v>1448</v>
      </c>
      <c r="AV43">
        <v>1433</v>
      </c>
      <c r="AW43">
        <v>763</v>
      </c>
      <c r="AX43">
        <v>843</v>
      </c>
      <c r="AY43">
        <v>987</v>
      </c>
    </row>
    <row r="44" spans="1:51" x14ac:dyDescent="0.35">
      <c r="A44" t="s">
        <v>274</v>
      </c>
      <c r="B44">
        <f t="shared" si="3"/>
        <v>3</v>
      </c>
      <c r="C44" t="s">
        <v>140</v>
      </c>
      <c r="D44" t="s">
        <v>142</v>
      </c>
      <c r="E44" t="s">
        <v>260</v>
      </c>
      <c r="F44">
        <v>122</v>
      </c>
      <c r="G44">
        <v>15</v>
      </c>
      <c r="H44">
        <v>17</v>
      </c>
      <c r="I44">
        <v>21</v>
      </c>
      <c r="J44">
        <v>27</v>
      </c>
      <c r="K44">
        <v>25</v>
      </c>
      <c r="L44">
        <v>23</v>
      </c>
      <c r="M44">
        <v>21</v>
      </c>
      <c r="N44">
        <v>19</v>
      </c>
      <c r="O44">
        <v>21</v>
      </c>
      <c r="P44">
        <v>25</v>
      </c>
      <c r="Q44">
        <v>29</v>
      </c>
      <c r="R44">
        <v>28</v>
      </c>
      <c r="S44">
        <v>25</v>
      </c>
      <c r="T44">
        <v>26</v>
      </c>
      <c r="U44">
        <v>27</v>
      </c>
      <c r="V44">
        <v>28</v>
      </c>
      <c r="W44">
        <v>29</v>
      </c>
      <c r="X44">
        <v>35</v>
      </c>
      <c r="Y44">
        <v>40</v>
      </c>
      <c r="Z44">
        <v>38</v>
      </c>
      <c r="AA44">
        <v>45</v>
      </c>
      <c r="AB44">
        <v>52</v>
      </c>
      <c r="AC44">
        <v>48</v>
      </c>
      <c r="AD44">
        <v>51</v>
      </c>
      <c r="AE44">
        <v>63</v>
      </c>
      <c r="AF44">
        <v>61</v>
      </c>
      <c r="AG44">
        <v>59</v>
      </c>
      <c r="AH44">
        <v>77</v>
      </c>
      <c r="AI44">
        <v>86</v>
      </c>
      <c r="AJ44">
        <v>71</v>
      </c>
      <c r="AK44">
        <v>72</v>
      </c>
      <c r="AL44">
        <v>85</v>
      </c>
      <c r="AM44">
        <v>96</v>
      </c>
      <c r="AN44">
        <v>105</v>
      </c>
      <c r="AO44">
        <v>114</v>
      </c>
      <c r="AP44">
        <v>74</v>
      </c>
      <c r="AQ44">
        <v>54</v>
      </c>
      <c r="AR44">
        <v>58</v>
      </c>
      <c r="AS44">
        <v>68</v>
      </c>
      <c r="AT44">
        <v>86</v>
      </c>
      <c r="AU44">
        <v>135</v>
      </c>
      <c r="AV44">
        <v>185</v>
      </c>
      <c r="AW44">
        <v>89</v>
      </c>
      <c r="AX44">
        <v>99</v>
      </c>
      <c r="AY44">
        <v>147</v>
      </c>
    </row>
    <row r="45" spans="1:51" x14ac:dyDescent="0.35">
      <c r="A45" t="s">
        <v>274</v>
      </c>
      <c r="B45">
        <f t="shared" si="3"/>
        <v>3</v>
      </c>
      <c r="C45" t="s">
        <v>140</v>
      </c>
      <c r="D45" t="s">
        <v>142</v>
      </c>
      <c r="E45" t="s">
        <v>259</v>
      </c>
      <c r="F45">
        <v>121</v>
      </c>
      <c r="G45">
        <v>13</v>
      </c>
      <c r="H45">
        <v>14</v>
      </c>
      <c r="I45">
        <v>16</v>
      </c>
      <c r="J45">
        <v>16</v>
      </c>
      <c r="K45">
        <v>15</v>
      </c>
      <c r="L45">
        <v>13</v>
      </c>
      <c r="M45">
        <v>15</v>
      </c>
      <c r="N45">
        <v>18</v>
      </c>
      <c r="O45">
        <v>16</v>
      </c>
      <c r="P45">
        <v>13</v>
      </c>
      <c r="Q45">
        <v>13</v>
      </c>
      <c r="R45">
        <v>13</v>
      </c>
      <c r="S45">
        <v>16</v>
      </c>
      <c r="T45">
        <v>15</v>
      </c>
      <c r="U45">
        <v>16</v>
      </c>
      <c r="V45">
        <v>17</v>
      </c>
      <c r="W45">
        <v>17</v>
      </c>
      <c r="X45">
        <v>23</v>
      </c>
      <c r="Y45">
        <v>22</v>
      </c>
      <c r="Z45">
        <v>24</v>
      </c>
      <c r="AA45">
        <v>31</v>
      </c>
      <c r="AB45">
        <v>26</v>
      </c>
      <c r="AC45">
        <v>32</v>
      </c>
      <c r="AD45">
        <v>40</v>
      </c>
      <c r="AE45">
        <v>34</v>
      </c>
      <c r="AF45">
        <v>42</v>
      </c>
      <c r="AG45">
        <v>66</v>
      </c>
      <c r="AH45">
        <v>52</v>
      </c>
      <c r="AI45">
        <v>36</v>
      </c>
      <c r="AJ45">
        <v>35</v>
      </c>
      <c r="AK45">
        <v>43</v>
      </c>
      <c r="AL45">
        <v>44</v>
      </c>
      <c r="AM45">
        <v>58</v>
      </c>
      <c r="AN45">
        <v>67</v>
      </c>
      <c r="AO45">
        <v>69</v>
      </c>
      <c r="AP45">
        <v>71</v>
      </c>
      <c r="AQ45">
        <v>152</v>
      </c>
      <c r="AR45">
        <v>191</v>
      </c>
      <c r="AS45">
        <v>206</v>
      </c>
      <c r="AT45">
        <v>247</v>
      </c>
      <c r="AU45">
        <v>368</v>
      </c>
      <c r="AV45">
        <v>496</v>
      </c>
      <c r="AW45">
        <v>153</v>
      </c>
      <c r="AX45">
        <v>175</v>
      </c>
      <c r="AY45">
        <v>177</v>
      </c>
    </row>
    <row r="46" spans="1:51" x14ac:dyDescent="0.35">
      <c r="A46" t="s">
        <v>274</v>
      </c>
      <c r="B46">
        <f t="shared" si="3"/>
        <v>3</v>
      </c>
      <c r="C46" t="s">
        <v>140</v>
      </c>
      <c r="D46" t="s">
        <v>142</v>
      </c>
      <c r="E46" t="s">
        <v>258</v>
      </c>
      <c r="F46">
        <v>120</v>
      </c>
      <c r="G46">
        <v>197</v>
      </c>
      <c r="H46">
        <v>251</v>
      </c>
      <c r="I46">
        <v>236</v>
      </c>
      <c r="J46">
        <v>238</v>
      </c>
      <c r="K46">
        <v>237</v>
      </c>
      <c r="L46">
        <v>232</v>
      </c>
      <c r="M46">
        <v>197</v>
      </c>
      <c r="N46">
        <v>230</v>
      </c>
      <c r="O46">
        <v>230</v>
      </c>
      <c r="P46">
        <v>236</v>
      </c>
      <c r="Q46">
        <v>277</v>
      </c>
      <c r="R46">
        <v>265</v>
      </c>
      <c r="S46">
        <v>291</v>
      </c>
      <c r="T46">
        <v>230</v>
      </c>
      <c r="U46">
        <v>217</v>
      </c>
      <c r="V46">
        <v>215</v>
      </c>
      <c r="W46">
        <v>204</v>
      </c>
      <c r="X46">
        <v>253</v>
      </c>
      <c r="Y46">
        <v>231</v>
      </c>
      <c r="Z46">
        <v>253</v>
      </c>
      <c r="AA46">
        <v>217</v>
      </c>
      <c r="AB46">
        <v>337</v>
      </c>
      <c r="AC46">
        <v>328</v>
      </c>
      <c r="AD46">
        <v>325</v>
      </c>
      <c r="AE46">
        <v>407</v>
      </c>
      <c r="AF46">
        <v>404</v>
      </c>
      <c r="AG46">
        <v>450</v>
      </c>
      <c r="AH46">
        <v>456</v>
      </c>
      <c r="AI46">
        <v>496</v>
      </c>
      <c r="AJ46">
        <v>466</v>
      </c>
      <c r="AK46">
        <v>496</v>
      </c>
      <c r="AL46">
        <v>566</v>
      </c>
      <c r="AM46">
        <v>563</v>
      </c>
      <c r="AN46">
        <v>676</v>
      </c>
      <c r="AO46">
        <v>631</v>
      </c>
      <c r="AP46">
        <v>394</v>
      </c>
      <c r="AQ46">
        <v>513</v>
      </c>
      <c r="AR46">
        <v>675</v>
      </c>
      <c r="AS46">
        <v>734</v>
      </c>
      <c r="AT46">
        <v>855</v>
      </c>
      <c r="AU46">
        <v>1410</v>
      </c>
      <c r="AV46">
        <v>1538</v>
      </c>
      <c r="AW46">
        <v>651</v>
      </c>
      <c r="AX46">
        <v>812</v>
      </c>
      <c r="AY46">
        <v>945</v>
      </c>
    </row>
    <row r="47" spans="1:51" x14ac:dyDescent="0.35">
      <c r="A47" t="s">
        <v>274</v>
      </c>
      <c r="B47">
        <f t="shared" si="3"/>
        <v>3</v>
      </c>
      <c r="C47" t="s">
        <v>140</v>
      </c>
      <c r="D47" t="s">
        <v>142</v>
      </c>
      <c r="E47" t="s">
        <v>252</v>
      </c>
      <c r="F47">
        <v>114</v>
      </c>
      <c r="G47">
        <v>8</v>
      </c>
      <c r="H47">
        <v>9</v>
      </c>
      <c r="I47">
        <v>9</v>
      </c>
      <c r="J47">
        <v>10</v>
      </c>
      <c r="K47">
        <v>10</v>
      </c>
      <c r="L47">
        <v>11</v>
      </c>
      <c r="M47">
        <v>11</v>
      </c>
      <c r="N47">
        <v>10</v>
      </c>
      <c r="O47">
        <v>11</v>
      </c>
      <c r="P47">
        <v>10</v>
      </c>
      <c r="Q47">
        <v>14</v>
      </c>
      <c r="R47">
        <v>14</v>
      </c>
      <c r="S47">
        <v>15</v>
      </c>
      <c r="T47">
        <v>13</v>
      </c>
      <c r="U47">
        <v>17</v>
      </c>
      <c r="V47">
        <v>18</v>
      </c>
      <c r="W47">
        <v>21</v>
      </c>
      <c r="X47">
        <v>22</v>
      </c>
      <c r="Y47">
        <v>21</v>
      </c>
      <c r="Z47">
        <v>23</v>
      </c>
      <c r="AA47">
        <v>28</v>
      </c>
      <c r="AB47">
        <v>28</v>
      </c>
      <c r="AC47">
        <v>30</v>
      </c>
      <c r="AD47">
        <v>32</v>
      </c>
      <c r="AE47">
        <v>35</v>
      </c>
      <c r="AF47">
        <v>38</v>
      </c>
      <c r="AG47">
        <v>40</v>
      </c>
      <c r="AH47">
        <v>47</v>
      </c>
      <c r="AI47">
        <v>44</v>
      </c>
      <c r="AJ47">
        <v>42</v>
      </c>
      <c r="AK47">
        <v>48</v>
      </c>
      <c r="AL47">
        <v>57</v>
      </c>
      <c r="AM47">
        <v>61</v>
      </c>
      <c r="AN47">
        <v>68</v>
      </c>
      <c r="AO47">
        <v>63</v>
      </c>
      <c r="AP47">
        <v>71</v>
      </c>
      <c r="AQ47">
        <v>161</v>
      </c>
      <c r="AR47">
        <v>163</v>
      </c>
      <c r="AS47">
        <v>126</v>
      </c>
      <c r="AT47">
        <v>93</v>
      </c>
      <c r="AU47">
        <v>314</v>
      </c>
      <c r="AV47">
        <v>197</v>
      </c>
      <c r="AW47">
        <v>65</v>
      </c>
      <c r="AX47">
        <v>66</v>
      </c>
      <c r="AY47">
        <v>70</v>
      </c>
    </row>
    <row r="48" spans="1:51" x14ac:dyDescent="0.35">
      <c r="A48" t="s">
        <v>274</v>
      </c>
      <c r="B48">
        <f t="shared" si="3"/>
        <v>3</v>
      </c>
      <c r="C48" t="s">
        <v>140</v>
      </c>
      <c r="D48" t="s">
        <v>142</v>
      </c>
      <c r="E48" t="s">
        <v>251</v>
      </c>
      <c r="F48">
        <v>113</v>
      </c>
      <c r="G48">
        <v>168</v>
      </c>
      <c r="H48">
        <v>204</v>
      </c>
      <c r="I48">
        <v>193</v>
      </c>
      <c r="J48">
        <v>163</v>
      </c>
      <c r="K48">
        <v>190</v>
      </c>
      <c r="L48">
        <v>174</v>
      </c>
      <c r="M48">
        <v>178</v>
      </c>
      <c r="N48">
        <v>162</v>
      </c>
      <c r="O48">
        <v>167</v>
      </c>
      <c r="P48">
        <v>155</v>
      </c>
      <c r="Q48">
        <v>189</v>
      </c>
      <c r="R48">
        <v>216</v>
      </c>
      <c r="S48">
        <v>219</v>
      </c>
      <c r="T48">
        <v>255</v>
      </c>
      <c r="U48">
        <v>230</v>
      </c>
      <c r="V48">
        <v>223</v>
      </c>
      <c r="W48">
        <v>210</v>
      </c>
      <c r="X48">
        <v>219</v>
      </c>
      <c r="Y48">
        <v>240</v>
      </c>
      <c r="Z48">
        <v>290</v>
      </c>
      <c r="AA48">
        <v>304</v>
      </c>
      <c r="AB48">
        <v>310</v>
      </c>
      <c r="AC48">
        <v>333</v>
      </c>
      <c r="AD48">
        <v>308</v>
      </c>
      <c r="AE48">
        <v>308</v>
      </c>
      <c r="AF48">
        <v>269</v>
      </c>
      <c r="AG48">
        <v>302</v>
      </c>
      <c r="AH48">
        <v>328</v>
      </c>
      <c r="AI48">
        <v>325</v>
      </c>
      <c r="AJ48">
        <v>309</v>
      </c>
      <c r="AK48">
        <v>268</v>
      </c>
      <c r="AL48">
        <v>239</v>
      </c>
      <c r="AM48">
        <v>293</v>
      </c>
      <c r="AN48">
        <v>288</v>
      </c>
      <c r="AO48">
        <v>305</v>
      </c>
      <c r="AP48">
        <v>293</v>
      </c>
      <c r="AQ48">
        <v>523</v>
      </c>
      <c r="AR48">
        <v>604</v>
      </c>
      <c r="AS48">
        <v>781</v>
      </c>
      <c r="AT48">
        <v>1373</v>
      </c>
      <c r="AU48">
        <v>1904</v>
      </c>
      <c r="AV48">
        <v>1077</v>
      </c>
      <c r="AW48">
        <v>657</v>
      </c>
      <c r="AX48">
        <v>559</v>
      </c>
      <c r="AY48">
        <v>553</v>
      </c>
    </row>
    <row r="49" spans="1:51" x14ac:dyDescent="0.35">
      <c r="A49" t="s">
        <v>274</v>
      </c>
      <c r="B49">
        <f t="shared" si="3"/>
        <v>3</v>
      </c>
      <c r="C49" t="s">
        <v>140</v>
      </c>
      <c r="D49" t="s">
        <v>142</v>
      </c>
      <c r="E49" t="s">
        <v>249</v>
      </c>
      <c r="F49">
        <v>108</v>
      </c>
      <c r="G49">
        <v>118</v>
      </c>
      <c r="H49">
        <v>151</v>
      </c>
      <c r="I49">
        <v>144</v>
      </c>
      <c r="J49">
        <v>109</v>
      </c>
      <c r="K49">
        <v>125</v>
      </c>
      <c r="L49">
        <v>104</v>
      </c>
      <c r="M49">
        <v>102</v>
      </c>
      <c r="N49">
        <v>94</v>
      </c>
      <c r="O49">
        <v>95</v>
      </c>
      <c r="P49">
        <v>94</v>
      </c>
      <c r="Q49">
        <v>125</v>
      </c>
      <c r="R49">
        <v>143</v>
      </c>
      <c r="S49">
        <v>133</v>
      </c>
      <c r="T49">
        <v>150</v>
      </c>
      <c r="U49">
        <v>137</v>
      </c>
      <c r="V49">
        <v>146</v>
      </c>
      <c r="W49">
        <v>138</v>
      </c>
      <c r="X49">
        <v>137</v>
      </c>
      <c r="Y49">
        <v>149</v>
      </c>
      <c r="Z49">
        <v>175</v>
      </c>
      <c r="AA49">
        <v>182</v>
      </c>
      <c r="AB49">
        <v>188</v>
      </c>
      <c r="AC49">
        <v>210</v>
      </c>
      <c r="AD49">
        <v>188</v>
      </c>
      <c r="AE49">
        <v>183</v>
      </c>
      <c r="AF49">
        <v>169</v>
      </c>
      <c r="AG49">
        <v>191</v>
      </c>
      <c r="AH49">
        <v>207</v>
      </c>
      <c r="AI49">
        <v>195</v>
      </c>
      <c r="AJ49">
        <v>182</v>
      </c>
      <c r="AK49">
        <v>156</v>
      </c>
      <c r="AL49">
        <v>135</v>
      </c>
      <c r="AM49">
        <v>164</v>
      </c>
      <c r="AN49">
        <v>153</v>
      </c>
      <c r="AO49">
        <v>167</v>
      </c>
      <c r="AP49">
        <v>150</v>
      </c>
      <c r="AQ49">
        <v>292</v>
      </c>
      <c r="AR49">
        <v>330</v>
      </c>
      <c r="AS49">
        <v>455</v>
      </c>
      <c r="AT49">
        <v>967</v>
      </c>
      <c r="AU49">
        <v>1194</v>
      </c>
      <c r="AV49">
        <v>566</v>
      </c>
      <c r="AW49">
        <v>351</v>
      </c>
      <c r="AX49">
        <v>290</v>
      </c>
      <c r="AY49">
        <v>345</v>
      </c>
    </row>
    <row r="50" spans="1:51" x14ac:dyDescent="0.35">
      <c r="A50" t="s">
        <v>274</v>
      </c>
      <c r="B50">
        <f t="shared" si="3"/>
        <v>3</v>
      </c>
      <c r="C50" t="s">
        <v>140</v>
      </c>
      <c r="D50" t="s">
        <v>142</v>
      </c>
      <c r="E50" t="s">
        <v>248</v>
      </c>
      <c r="F50">
        <v>107</v>
      </c>
      <c r="G50">
        <v>114</v>
      </c>
      <c r="H50">
        <v>147</v>
      </c>
      <c r="I50">
        <v>139</v>
      </c>
      <c r="J50">
        <v>103</v>
      </c>
      <c r="K50">
        <v>120</v>
      </c>
      <c r="L50">
        <v>99</v>
      </c>
      <c r="M50">
        <v>98</v>
      </c>
      <c r="N50">
        <v>90</v>
      </c>
      <c r="O50">
        <v>91</v>
      </c>
      <c r="P50">
        <v>88</v>
      </c>
      <c r="Q50">
        <v>119</v>
      </c>
      <c r="R50">
        <v>138</v>
      </c>
      <c r="S50">
        <v>128</v>
      </c>
      <c r="T50">
        <v>146</v>
      </c>
      <c r="U50">
        <v>133</v>
      </c>
      <c r="V50">
        <v>141</v>
      </c>
      <c r="W50">
        <v>133</v>
      </c>
      <c r="X50">
        <v>132</v>
      </c>
      <c r="Y50">
        <v>145</v>
      </c>
      <c r="Z50">
        <v>171</v>
      </c>
      <c r="AA50">
        <v>178</v>
      </c>
      <c r="AB50">
        <v>182</v>
      </c>
      <c r="AC50">
        <v>204</v>
      </c>
      <c r="AD50">
        <v>181</v>
      </c>
      <c r="AE50">
        <v>178</v>
      </c>
      <c r="AF50">
        <v>163</v>
      </c>
      <c r="AG50">
        <v>187</v>
      </c>
      <c r="AH50">
        <v>203</v>
      </c>
      <c r="AI50">
        <v>191</v>
      </c>
      <c r="AJ50">
        <v>178</v>
      </c>
      <c r="AK50">
        <v>149</v>
      </c>
      <c r="AL50">
        <v>128</v>
      </c>
      <c r="AM50">
        <v>157</v>
      </c>
      <c r="AN50">
        <v>146</v>
      </c>
      <c r="AO50">
        <v>158</v>
      </c>
      <c r="AP50">
        <v>140</v>
      </c>
      <c r="AQ50">
        <v>276</v>
      </c>
      <c r="AR50">
        <v>312</v>
      </c>
      <c r="AS50">
        <v>435</v>
      </c>
      <c r="AT50">
        <v>938</v>
      </c>
      <c r="AU50">
        <v>1149</v>
      </c>
      <c r="AV50">
        <v>538</v>
      </c>
      <c r="AW50">
        <v>338</v>
      </c>
      <c r="AX50">
        <v>276</v>
      </c>
      <c r="AY50">
        <v>330</v>
      </c>
    </row>
    <row r="51" spans="1:51" x14ac:dyDescent="0.35">
      <c r="A51" t="s">
        <v>274</v>
      </c>
      <c r="B51">
        <f t="shared" si="3"/>
        <v>3</v>
      </c>
      <c r="C51" t="s">
        <v>140</v>
      </c>
      <c r="D51" t="s">
        <v>142</v>
      </c>
      <c r="E51" t="s">
        <v>247</v>
      </c>
      <c r="F51">
        <v>106</v>
      </c>
      <c r="G51">
        <v>71</v>
      </c>
      <c r="H51">
        <v>86</v>
      </c>
      <c r="I51">
        <v>82</v>
      </c>
      <c r="J51">
        <v>59</v>
      </c>
      <c r="K51">
        <v>71</v>
      </c>
      <c r="L51">
        <v>60</v>
      </c>
      <c r="M51">
        <v>60</v>
      </c>
      <c r="N51">
        <v>53</v>
      </c>
      <c r="O51">
        <v>53</v>
      </c>
      <c r="P51">
        <v>53</v>
      </c>
      <c r="Q51">
        <v>72</v>
      </c>
      <c r="R51">
        <v>81</v>
      </c>
      <c r="S51">
        <v>79</v>
      </c>
      <c r="T51">
        <v>89</v>
      </c>
      <c r="U51">
        <v>77</v>
      </c>
      <c r="V51">
        <v>82</v>
      </c>
      <c r="W51">
        <v>82</v>
      </c>
      <c r="X51">
        <v>86</v>
      </c>
      <c r="Y51">
        <v>94</v>
      </c>
      <c r="Z51">
        <v>111</v>
      </c>
      <c r="AA51">
        <v>116</v>
      </c>
      <c r="AB51">
        <v>117</v>
      </c>
      <c r="AC51">
        <v>128</v>
      </c>
      <c r="AD51">
        <v>112</v>
      </c>
      <c r="AE51">
        <v>105</v>
      </c>
      <c r="AF51">
        <v>97</v>
      </c>
      <c r="AG51">
        <v>107</v>
      </c>
      <c r="AH51">
        <v>113</v>
      </c>
      <c r="AI51">
        <v>105</v>
      </c>
      <c r="AJ51">
        <v>93</v>
      </c>
      <c r="AK51">
        <v>74</v>
      </c>
      <c r="AL51">
        <v>60</v>
      </c>
      <c r="AM51">
        <v>71</v>
      </c>
      <c r="AN51">
        <v>66</v>
      </c>
      <c r="AO51">
        <v>73</v>
      </c>
      <c r="AP51">
        <v>71</v>
      </c>
      <c r="AQ51">
        <v>184</v>
      </c>
      <c r="AR51">
        <v>198</v>
      </c>
      <c r="AS51">
        <v>274</v>
      </c>
      <c r="AT51">
        <v>668</v>
      </c>
      <c r="AU51">
        <v>698</v>
      </c>
      <c r="AV51">
        <v>279</v>
      </c>
      <c r="AW51">
        <v>157</v>
      </c>
      <c r="AX51">
        <v>141</v>
      </c>
      <c r="AY51">
        <v>154</v>
      </c>
    </row>
    <row r="52" spans="1:51" x14ac:dyDescent="0.35">
      <c r="A52" t="s">
        <v>274</v>
      </c>
      <c r="B52">
        <f t="shared" si="3"/>
        <v>3</v>
      </c>
      <c r="C52" t="s">
        <v>140</v>
      </c>
      <c r="D52" t="s">
        <v>142</v>
      </c>
      <c r="E52" t="s">
        <v>245</v>
      </c>
      <c r="F52">
        <v>104</v>
      </c>
      <c r="G52">
        <v>230</v>
      </c>
      <c r="H52">
        <v>258</v>
      </c>
      <c r="I52">
        <v>200</v>
      </c>
      <c r="J52">
        <v>147</v>
      </c>
      <c r="K52">
        <v>142</v>
      </c>
      <c r="L52">
        <v>117</v>
      </c>
      <c r="M52">
        <v>101</v>
      </c>
      <c r="N52">
        <v>119</v>
      </c>
      <c r="O52">
        <v>116</v>
      </c>
      <c r="P52">
        <v>81</v>
      </c>
      <c r="Q52">
        <v>108</v>
      </c>
      <c r="R52">
        <v>123</v>
      </c>
      <c r="S52">
        <v>198</v>
      </c>
      <c r="T52">
        <v>203</v>
      </c>
      <c r="U52">
        <v>139</v>
      </c>
      <c r="V52">
        <v>109</v>
      </c>
      <c r="W52">
        <v>106</v>
      </c>
      <c r="X52">
        <v>165</v>
      </c>
      <c r="Y52">
        <v>235</v>
      </c>
      <c r="Z52">
        <v>279</v>
      </c>
      <c r="AA52">
        <v>229</v>
      </c>
      <c r="AB52">
        <v>217</v>
      </c>
      <c r="AC52">
        <v>246</v>
      </c>
      <c r="AD52">
        <v>159</v>
      </c>
      <c r="AE52">
        <v>174</v>
      </c>
      <c r="AF52">
        <v>101</v>
      </c>
      <c r="AG52">
        <v>154</v>
      </c>
      <c r="AH52">
        <v>178</v>
      </c>
      <c r="AI52">
        <v>194</v>
      </c>
      <c r="AJ52">
        <v>170</v>
      </c>
      <c r="AK52">
        <v>117</v>
      </c>
      <c r="AL52">
        <v>93</v>
      </c>
      <c r="AM52">
        <v>115</v>
      </c>
      <c r="AN52">
        <v>142</v>
      </c>
      <c r="AO52">
        <v>169</v>
      </c>
      <c r="AP52">
        <v>274</v>
      </c>
      <c r="AQ52">
        <v>459</v>
      </c>
      <c r="AR52">
        <v>416</v>
      </c>
      <c r="AS52">
        <v>495</v>
      </c>
      <c r="AT52">
        <v>534</v>
      </c>
      <c r="AU52">
        <v>646</v>
      </c>
      <c r="AV52">
        <v>883</v>
      </c>
      <c r="AW52">
        <v>673</v>
      </c>
      <c r="AX52">
        <v>459</v>
      </c>
      <c r="AY52">
        <v>257</v>
      </c>
    </row>
    <row r="53" spans="1:51" x14ac:dyDescent="0.35">
      <c r="A53" t="s">
        <v>186</v>
      </c>
      <c r="B53">
        <f t="shared" si="3"/>
        <v>4</v>
      </c>
      <c r="C53" t="s">
        <v>140</v>
      </c>
      <c r="D53" t="s">
        <v>142</v>
      </c>
      <c r="E53" t="s">
        <v>74</v>
      </c>
      <c r="F53">
        <v>75</v>
      </c>
      <c r="G53">
        <v>1.6</v>
      </c>
      <c r="H53">
        <v>1.8</v>
      </c>
      <c r="I53">
        <v>2</v>
      </c>
      <c r="J53">
        <v>2.2999999999999998</v>
      </c>
      <c r="K53">
        <v>2.4</v>
      </c>
      <c r="L53">
        <v>2</v>
      </c>
      <c r="M53">
        <v>1.8</v>
      </c>
      <c r="N53">
        <v>2</v>
      </c>
      <c r="O53">
        <v>2.1</v>
      </c>
      <c r="P53">
        <v>2.2000000000000002</v>
      </c>
      <c r="Q53">
        <v>4.2</v>
      </c>
      <c r="R53">
        <v>4.7</v>
      </c>
      <c r="S53">
        <v>4.5</v>
      </c>
      <c r="T53">
        <v>4.5</v>
      </c>
      <c r="U53">
        <v>4.5</v>
      </c>
      <c r="V53">
        <v>4.7</v>
      </c>
      <c r="W53">
        <v>5.6</v>
      </c>
      <c r="X53">
        <v>5.8</v>
      </c>
      <c r="Y53">
        <v>6.2</v>
      </c>
      <c r="Z53">
        <v>6.4</v>
      </c>
      <c r="AA53">
        <v>7.9</v>
      </c>
      <c r="AB53">
        <v>8.4</v>
      </c>
      <c r="AC53">
        <v>8.1</v>
      </c>
      <c r="AD53">
        <v>8.6</v>
      </c>
      <c r="AE53">
        <v>9.9</v>
      </c>
      <c r="AF53">
        <v>10.5</v>
      </c>
      <c r="AG53">
        <v>12.1</v>
      </c>
      <c r="AH53">
        <v>13.1</v>
      </c>
      <c r="AI53">
        <v>14.8</v>
      </c>
      <c r="AJ53">
        <v>15</v>
      </c>
      <c r="AK53">
        <v>15.6</v>
      </c>
      <c r="AL53">
        <v>17.8</v>
      </c>
      <c r="AM53">
        <v>19.7</v>
      </c>
      <c r="AN53">
        <v>21.5</v>
      </c>
      <c r="AO53">
        <v>21.2</v>
      </c>
      <c r="AP53">
        <v>20.7</v>
      </c>
      <c r="AQ53">
        <v>185</v>
      </c>
      <c r="AR53">
        <v>686.4</v>
      </c>
      <c r="AS53">
        <v>628.4</v>
      </c>
      <c r="AT53">
        <v>272.60000000000002</v>
      </c>
      <c r="AU53">
        <v>83.8</v>
      </c>
      <c r="AV53">
        <v>121.7</v>
      </c>
      <c r="AW53">
        <v>40</v>
      </c>
      <c r="AX53">
        <v>43</v>
      </c>
      <c r="AY53">
        <v>47.8</v>
      </c>
    </row>
    <row r="54" spans="1:51" x14ac:dyDescent="0.35">
      <c r="A54" t="s">
        <v>186</v>
      </c>
      <c r="B54">
        <f t="shared" si="3"/>
        <v>4</v>
      </c>
      <c r="C54" t="s">
        <v>140</v>
      </c>
      <c r="D54" t="s">
        <v>142</v>
      </c>
      <c r="E54" t="s">
        <v>73</v>
      </c>
      <c r="F54">
        <v>74</v>
      </c>
      <c r="G54">
        <v>3.4</v>
      </c>
      <c r="H54">
        <v>3.8</v>
      </c>
      <c r="I54">
        <v>4.0999999999999996</v>
      </c>
      <c r="J54">
        <v>4.7</v>
      </c>
      <c r="K54">
        <v>4.0999999999999996</v>
      </c>
      <c r="L54">
        <v>4.0999999999999996</v>
      </c>
      <c r="M54">
        <v>4</v>
      </c>
      <c r="N54">
        <v>4.5999999999999996</v>
      </c>
      <c r="O54">
        <v>5</v>
      </c>
      <c r="P54">
        <v>4.8</v>
      </c>
      <c r="Q54">
        <v>3.3</v>
      </c>
      <c r="R54">
        <v>4.0999999999999996</v>
      </c>
      <c r="S54">
        <v>3.8</v>
      </c>
      <c r="T54">
        <v>4.2</v>
      </c>
      <c r="U54">
        <v>4.4000000000000004</v>
      </c>
      <c r="V54">
        <v>5</v>
      </c>
      <c r="W54">
        <v>5.7</v>
      </c>
      <c r="X54">
        <v>6</v>
      </c>
      <c r="Y54">
        <v>6.5</v>
      </c>
      <c r="Z54">
        <v>7.6</v>
      </c>
      <c r="AA54">
        <v>10.3</v>
      </c>
      <c r="AB54">
        <v>11.5</v>
      </c>
      <c r="AC54">
        <v>11.6</v>
      </c>
      <c r="AD54">
        <v>11.1</v>
      </c>
      <c r="AE54">
        <v>11.5</v>
      </c>
      <c r="AF54">
        <v>12</v>
      </c>
      <c r="AG54">
        <v>13.9</v>
      </c>
      <c r="AH54">
        <v>15.5</v>
      </c>
      <c r="AI54">
        <v>16.600000000000001</v>
      </c>
      <c r="AJ54">
        <v>13.8</v>
      </c>
      <c r="AK54">
        <v>15.4</v>
      </c>
      <c r="AL54">
        <v>16.899999999999999</v>
      </c>
      <c r="AM54">
        <v>20.3</v>
      </c>
      <c r="AN54">
        <v>20.7</v>
      </c>
      <c r="AO54">
        <v>20.9</v>
      </c>
      <c r="AP54">
        <v>22.7</v>
      </c>
      <c r="AQ54">
        <v>73</v>
      </c>
      <c r="AR54">
        <v>179.4</v>
      </c>
      <c r="AS54">
        <v>201.7</v>
      </c>
      <c r="AT54">
        <v>164.3</v>
      </c>
      <c r="AU54">
        <v>140.19999999999999</v>
      </c>
      <c r="AV54">
        <v>184.6</v>
      </c>
      <c r="AW54">
        <v>56.7</v>
      </c>
      <c r="AX54">
        <v>54.9</v>
      </c>
      <c r="AY54">
        <v>66.400000000000006</v>
      </c>
    </row>
    <row r="55" spans="1:51" x14ac:dyDescent="0.35">
      <c r="A55" t="s">
        <v>186</v>
      </c>
      <c r="B55">
        <f t="shared" si="3"/>
        <v>4</v>
      </c>
      <c r="C55" t="s">
        <v>140</v>
      </c>
      <c r="D55" t="s">
        <v>142</v>
      </c>
      <c r="E55" t="s">
        <v>71</v>
      </c>
      <c r="F55">
        <v>72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0.2</v>
      </c>
      <c r="AB55">
        <v>0.4</v>
      </c>
      <c r="AC55">
        <v>0.7</v>
      </c>
      <c r="AD55">
        <v>1.1000000000000001</v>
      </c>
      <c r="AE55">
        <v>1.6</v>
      </c>
      <c r="AF55">
        <v>1.9</v>
      </c>
      <c r="AG55">
        <v>2.7</v>
      </c>
      <c r="AH55">
        <v>4.4000000000000004</v>
      </c>
      <c r="AI55">
        <v>5.8</v>
      </c>
      <c r="AJ55">
        <v>4.9000000000000004</v>
      </c>
      <c r="AK55">
        <v>7.8</v>
      </c>
      <c r="AL55">
        <v>13.2</v>
      </c>
      <c r="AM55">
        <v>19.2</v>
      </c>
      <c r="AN55">
        <v>28.3</v>
      </c>
      <c r="AO55">
        <v>33.299999999999997</v>
      </c>
      <c r="AP55">
        <v>34.200000000000003</v>
      </c>
      <c r="AQ55">
        <v>111.6</v>
      </c>
      <c r="AR55">
        <v>120.7</v>
      </c>
      <c r="AS55">
        <v>120.3</v>
      </c>
      <c r="AT55">
        <v>96.7</v>
      </c>
      <c r="AU55">
        <v>151.69999999999999</v>
      </c>
      <c r="AV55">
        <v>298.2</v>
      </c>
      <c r="AW55">
        <v>81.900000000000006</v>
      </c>
      <c r="AX55">
        <v>98.1</v>
      </c>
      <c r="AY55">
        <v>166.3</v>
      </c>
    </row>
    <row r="56" spans="1:51" x14ac:dyDescent="0.35">
      <c r="A56" t="s">
        <v>186</v>
      </c>
      <c r="B56">
        <f t="shared" si="3"/>
        <v>4</v>
      </c>
      <c r="C56" t="s">
        <v>140</v>
      </c>
      <c r="D56" t="s">
        <v>142</v>
      </c>
      <c r="E56" t="s">
        <v>70</v>
      </c>
      <c r="F56">
        <v>71</v>
      </c>
      <c r="G56">
        <v>10</v>
      </c>
      <c r="H56">
        <v>10.7</v>
      </c>
      <c r="I56">
        <v>13.4</v>
      </c>
      <c r="J56">
        <v>17.600000000000001</v>
      </c>
      <c r="K56">
        <v>20.2</v>
      </c>
      <c r="L56">
        <v>16.5</v>
      </c>
      <c r="M56">
        <v>12.5</v>
      </c>
      <c r="N56">
        <v>11.8</v>
      </c>
      <c r="O56">
        <v>13.2</v>
      </c>
      <c r="P56">
        <v>16.2</v>
      </c>
      <c r="Q56">
        <v>22.9</v>
      </c>
      <c r="R56">
        <v>24.6</v>
      </c>
      <c r="S56">
        <v>26.7</v>
      </c>
      <c r="T56">
        <v>23.3</v>
      </c>
      <c r="U56">
        <v>26.3</v>
      </c>
      <c r="V56">
        <v>24</v>
      </c>
      <c r="W56">
        <v>28.2</v>
      </c>
      <c r="X56">
        <v>39.700000000000003</v>
      </c>
      <c r="Y56">
        <v>48.6</v>
      </c>
      <c r="Z56">
        <v>63.9</v>
      </c>
      <c r="AA56">
        <v>77.900000000000006</v>
      </c>
      <c r="AB56">
        <v>89</v>
      </c>
      <c r="AC56">
        <v>79</v>
      </c>
      <c r="AD56">
        <v>84.4</v>
      </c>
      <c r="AE56">
        <v>92</v>
      </c>
      <c r="AF56">
        <v>96.9</v>
      </c>
      <c r="AG56">
        <v>112.3</v>
      </c>
      <c r="AH56">
        <v>135.80000000000001</v>
      </c>
      <c r="AI56">
        <v>151.4</v>
      </c>
      <c r="AJ56">
        <v>121.9</v>
      </c>
      <c r="AK56">
        <v>117.6</v>
      </c>
      <c r="AL56">
        <v>149.5</v>
      </c>
      <c r="AM56">
        <v>179.7</v>
      </c>
      <c r="AN56">
        <v>208.2</v>
      </c>
      <c r="AO56">
        <v>217.6</v>
      </c>
      <c r="AP56">
        <v>146.30000000000001</v>
      </c>
      <c r="AQ56">
        <v>207.8</v>
      </c>
      <c r="AR56">
        <v>335.6</v>
      </c>
      <c r="AS56">
        <v>429.7</v>
      </c>
      <c r="AT56">
        <v>434.1</v>
      </c>
      <c r="AU56">
        <v>618.79999999999995</v>
      </c>
      <c r="AV56">
        <v>696.4</v>
      </c>
      <c r="AW56">
        <v>465.2</v>
      </c>
      <c r="AX56">
        <v>273.2</v>
      </c>
      <c r="AY56">
        <v>323.60000000000002</v>
      </c>
    </row>
    <row r="57" spans="1:51" x14ac:dyDescent="0.35">
      <c r="A57" t="s">
        <v>186</v>
      </c>
      <c r="B57">
        <f t="shared" si="3"/>
        <v>4</v>
      </c>
      <c r="C57" t="s">
        <v>140</v>
      </c>
      <c r="D57" t="s">
        <v>142</v>
      </c>
      <c r="E57" t="s">
        <v>69</v>
      </c>
      <c r="F57">
        <v>70</v>
      </c>
      <c r="G57">
        <v>5.9</v>
      </c>
      <c r="H57">
        <v>7.2</v>
      </c>
      <c r="I57">
        <v>8.6999999999999993</v>
      </c>
      <c r="J57">
        <v>9.6999999999999993</v>
      </c>
      <c r="K57">
        <v>8.4</v>
      </c>
      <c r="L57">
        <v>7.5</v>
      </c>
      <c r="M57">
        <v>6.6</v>
      </c>
      <c r="N57">
        <v>6.6</v>
      </c>
      <c r="O57">
        <v>7.3</v>
      </c>
      <c r="P57">
        <v>8.5</v>
      </c>
      <c r="Q57">
        <v>9.1999999999999993</v>
      </c>
      <c r="R57">
        <v>11.2</v>
      </c>
      <c r="S57">
        <v>11.6</v>
      </c>
      <c r="T57">
        <v>11.4</v>
      </c>
      <c r="U57">
        <v>12.8</v>
      </c>
      <c r="V57">
        <v>13.3</v>
      </c>
      <c r="W57">
        <v>15.7</v>
      </c>
      <c r="X57">
        <v>20.6</v>
      </c>
      <c r="Y57">
        <v>26.6</v>
      </c>
      <c r="Z57">
        <v>36.200000000000003</v>
      </c>
      <c r="AA57">
        <v>47.4</v>
      </c>
      <c r="AB57">
        <v>57.5</v>
      </c>
      <c r="AC57">
        <v>50.4</v>
      </c>
      <c r="AD57">
        <v>42</v>
      </c>
      <c r="AE57">
        <v>42</v>
      </c>
      <c r="AF57">
        <v>54.4</v>
      </c>
      <c r="AG57">
        <v>59.4</v>
      </c>
      <c r="AH57">
        <v>70.599999999999994</v>
      </c>
      <c r="AI57">
        <v>82.2</v>
      </c>
      <c r="AJ57">
        <v>61.7</v>
      </c>
      <c r="AK57">
        <v>67.599999999999994</v>
      </c>
      <c r="AL57">
        <v>83.7</v>
      </c>
      <c r="AM57">
        <v>99.2</v>
      </c>
      <c r="AN57">
        <v>110.8</v>
      </c>
      <c r="AO57">
        <v>119.1</v>
      </c>
      <c r="AP57">
        <v>76.599999999999994</v>
      </c>
      <c r="AQ57">
        <v>169.6</v>
      </c>
      <c r="AR57">
        <v>372.2</v>
      </c>
      <c r="AS57">
        <v>490.8</v>
      </c>
      <c r="AT57">
        <v>302.5</v>
      </c>
      <c r="AU57">
        <v>337.8</v>
      </c>
      <c r="AV57">
        <v>386.9</v>
      </c>
      <c r="AW57">
        <v>227</v>
      </c>
      <c r="AX57">
        <v>128.6</v>
      </c>
      <c r="AY57">
        <v>160.1</v>
      </c>
    </row>
    <row r="58" spans="1:51" x14ac:dyDescent="0.35">
      <c r="A58" t="s">
        <v>186</v>
      </c>
      <c r="B58">
        <f t="shared" si="3"/>
        <v>4</v>
      </c>
      <c r="C58" t="s">
        <v>140</v>
      </c>
      <c r="D58" t="s">
        <v>142</v>
      </c>
      <c r="E58" t="s">
        <v>68</v>
      </c>
      <c r="F58">
        <v>69</v>
      </c>
      <c r="G58">
        <v>0.1</v>
      </c>
      <c r="H58">
        <v>0.2</v>
      </c>
      <c r="I58">
        <v>0.3</v>
      </c>
      <c r="J58">
        <v>0.3</v>
      </c>
      <c r="K58">
        <v>0.3</v>
      </c>
      <c r="L58">
        <v>0.2</v>
      </c>
      <c r="M58">
        <v>0.2</v>
      </c>
      <c r="N58">
        <v>0.3</v>
      </c>
      <c r="O58">
        <v>0.2</v>
      </c>
      <c r="P58">
        <v>0.5</v>
      </c>
      <c r="Q58">
        <v>0.3</v>
      </c>
      <c r="R58">
        <v>0.4</v>
      </c>
      <c r="S58">
        <v>0.4</v>
      </c>
      <c r="T58">
        <v>0.4</v>
      </c>
      <c r="U58">
        <v>0.6</v>
      </c>
      <c r="V58">
        <v>0.7</v>
      </c>
      <c r="W58">
        <v>0.7</v>
      </c>
      <c r="X58">
        <v>1.6</v>
      </c>
      <c r="Y58">
        <v>5.6</v>
      </c>
      <c r="Z58">
        <v>5.8</v>
      </c>
      <c r="AA58">
        <v>8.9</v>
      </c>
      <c r="AB58">
        <v>14.7</v>
      </c>
      <c r="AC58">
        <v>5.8</v>
      </c>
      <c r="AD58">
        <v>4.0999999999999996</v>
      </c>
      <c r="AE58">
        <v>4</v>
      </c>
      <c r="AF58">
        <v>13.3</v>
      </c>
      <c r="AG58">
        <v>12.4</v>
      </c>
      <c r="AH58">
        <v>16.5</v>
      </c>
      <c r="AI58">
        <v>17.100000000000001</v>
      </c>
      <c r="AJ58">
        <v>13.9</v>
      </c>
      <c r="AK58">
        <v>17.899999999999999</v>
      </c>
      <c r="AL58">
        <v>24.2</v>
      </c>
      <c r="AM58">
        <v>36.799999999999997</v>
      </c>
      <c r="AN58">
        <v>54.9</v>
      </c>
      <c r="AO58">
        <v>44</v>
      </c>
      <c r="AP58">
        <v>27</v>
      </c>
      <c r="AQ58">
        <v>72.900000000000006</v>
      </c>
      <c r="AR58">
        <v>228</v>
      </c>
      <c r="AS58">
        <v>423.4</v>
      </c>
      <c r="AT58">
        <v>418.6</v>
      </c>
      <c r="AU58">
        <v>236.6</v>
      </c>
      <c r="AV58">
        <v>258.5</v>
      </c>
      <c r="AW58">
        <v>89.2</v>
      </c>
      <c r="AX58">
        <v>56.4</v>
      </c>
      <c r="AY58">
        <v>69.5</v>
      </c>
    </row>
    <row r="59" spans="1:51" x14ac:dyDescent="0.35">
      <c r="A59" t="s">
        <v>186</v>
      </c>
      <c r="B59">
        <f t="shared" si="3"/>
        <v>4</v>
      </c>
      <c r="C59" t="s">
        <v>140</v>
      </c>
      <c r="D59" t="s">
        <v>142</v>
      </c>
      <c r="E59" t="s">
        <v>66</v>
      </c>
      <c r="F59">
        <v>67</v>
      </c>
      <c r="G59">
        <v>0.7</v>
      </c>
      <c r="H59">
        <v>0.8</v>
      </c>
      <c r="I59">
        <v>1.1000000000000001</v>
      </c>
      <c r="J59">
        <v>1.1000000000000001</v>
      </c>
      <c r="K59">
        <v>1.1000000000000001</v>
      </c>
      <c r="L59">
        <v>1.3</v>
      </c>
      <c r="M59">
        <v>1.2</v>
      </c>
      <c r="N59">
        <v>1</v>
      </c>
      <c r="O59">
        <v>1.3</v>
      </c>
      <c r="P59">
        <v>1.5</v>
      </c>
      <c r="Q59">
        <v>1.4</v>
      </c>
      <c r="R59">
        <v>1.4</v>
      </c>
      <c r="S59">
        <v>1.6</v>
      </c>
      <c r="T59">
        <v>1.5</v>
      </c>
      <c r="U59">
        <v>2.5</v>
      </c>
      <c r="V59">
        <v>2.4</v>
      </c>
      <c r="W59">
        <v>2.7</v>
      </c>
      <c r="X59">
        <v>3.2</v>
      </c>
      <c r="Y59">
        <v>3.6</v>
      </c>
      <c r="Z59">
        <v>3.5</v>
      </c>
      <c r="AA59">
        <v>5</v>
      </c>
      <c r="AB59">
        <v>6.1</v>
      </c>
      <c r="AC59">
        <v>5.8</v>
      </c>
      <c r="AD59">
        <v>6.3</v>
      </c>
      <c r="AE59">
        <v>6.8</v>
      </c>
      <c r="AF59">
        <v>8.9</v>
      </c>
      <c r="AG59">
        <v>10.3</v>
      </c>
      <c r="AH59">
        <v>12.1</v>
      </c>
      <c r="AI59">
        <v>13.7</v>
      </c>
      <c r="AJ59">
        <v>9.4</v>
      </c>
      <c r="AK59">
        <v>10</v>
      </c>
      <c r="AL59">
        <v>13.2</v>
      </c>
      <c r="AM59">
        <v>16</v>
      </c>
      <c r="AN59">
        <v>16.899999999999999</v>
      </c>
      <c r="AO59">
        <v>9.5</v>
      </c>
      <c r="AP59">
        <v>7.7</v>
      </c>
      <c r="AQ59">
        <v>54.9</v>
      </c>
      <c r="AR59">
        <v>276.8</v>
      </c>
      <c r="AS59">
        <v>166.8</v>
      </c>
      <c r="AT59">
        <v>41.1</v>
      </c>
      <c r="AU59">
        <v>37.1</v>
      </c>
      <c r="AV59">
        <v>43.9</v>
      </c>
      <c r="AW59">
        <v>22.2</v>
      </c>
      <c r="AX59">
        <v>15.3</v>
      </c>
      <c r="AY59">
        <v>19.8</v>
      </c>
    </row>
    <row r="60" spans="1:51" x14ac:dyDescent="0.35">
      <c r="A60" t="s">
        <v>186</v>
      </c>
      <c r="B60">
        <f t="shared" si="3"/>
        <v>4</v>
      </c>
      <c r="C60" t="s">
        <v>140</v>
      </c>
      <c r="D60" t="s">
        <v>142</v>
      </c>
      <c r="E60" t="s">
        <v>65</v>
      </c>
      <c r="F60">
        <v>66</v>
      </c>
      <c r="G60">
        <v>3.7</v>
      </c>
      <c r="H60">
        <v>1.4</v>
      </c>
      <c r="I60">
        <v>2.2999999999999998</v>
      </c>
      <c r="J60">
        <v>1.6</v>
      </c>
      <c r="K60">
        <v>3.7</v>
      </c>
      <c r="L60">
        <v>4.0999999999999996</v>
      </c>
      <c r="M60">
        <v>4.0999999999999996</v>
      </c>
      <c r="N60">
        <v>2.2999999999999998</v>
      </c>
      <c r="O60">
        <v>1.7</v>
      </c>
      <c r="P60">
        <v>5.3</v>
      </c>
      <c r="Q60">
        <v>2.2000000000000002</v>
      </c>
      <c r="R60">
        <v>1.6</v>
      </c>
      <c r="S60">
        <v>9.3000000000000007</v>
      </c>
      <c r="T60">
        <v>4.2</v>
      </c>
      <c r="U60">
        <v>15.2</v>
      </c>
      <c r="V60">
        <v>15.9</v>
      </c>
      <c r="W60">
        <v>13.1</v>
      </c>
      <c r="X60">
        <v>30.1</v>
      </c>
      <c r="Y60">
        <v>33.4</v>
      </c>
      <c r="Z60">
        <v>36.4</v>
      </c>
      <c r="AA60">
        <v>44</v>
      </c>
      <c r="AB60">
        <v>59.6</v>
      </c>
      <c r="AC60">
        <v>34.200000000000003</v>
      </c>
      <c r="AD60">
        <v>45.3</v>
      </c>
      <c r="AE60">
        <v>42.9</v>
      </c>
      <c r="AF60">
        <v>75.7</v>
      </c>
      <c r="AG60">
        <v>85.1</v>
      </c>
      <c r="AH60">
        <v>89.4</v>
      </c>
      <c r="AI60">
        <v>98.3</v>
      </c>
      <c r="AJ60">
        <v>91.4</v>
      </c>
      <c r="AK60">
        <v>94.6</v>
      </c>
      <c r="AL60">
        <v>96.5</v>
      </c>
      <c r="AM60">
        <v>108.4</v>
      </c>
      <c r="AN60">
        <v>133.69999999999999</v>
      </c>
      <c r="AO60">
        <v>159.4</v>
      </c>
      <c r="AP60">
        <v>144.80000000000001</v>
      </c>
      <c r="AQ60">
        <v>187.5</v>
      </c>
      <c r="AR60">
        <v>389.3</v>
      </c>
      <c r="AS60">
        <v>539.1</v>
      </c>
      <c r="AT60">
        <v>262.7</v>
      </c>
      <c r="AU60">
        <v>158.4</v>
      </c>
      <c r="AV60">
        <v>162.9</v>
      </c>
      <c r="AW60">
        <v>95.6</v>
      </c>
      <c r="AX60">
        <v>115.4</v>
      </c>
      <c r="AY60">
        <v>145.1</v>
      </c>
    </row>
    <row r="61" spans="1:51" x14ac:dyDescent="0.35">
      <c r="A61" t="s">
        <v>186</v>
      </c>
      <c r="B61">
        <f t="shared" si="3"/>
        <v>4</v>
      </c>
      <c r="C61" t="s">
        <v>140</v>
      </c>
      <c r="D61" t="s">
        <v>142</v>
      </c>
      <c r="E61" t="s">
        <v>60</v>
      </c>
      <c r="F61">
        <v>61</v>
      </c>
      <c r="G61">
        <v>35.200000000000003</v>
      </c>
      <c r="H61">
        <v>31.8</v>
      </c>
      <c r="I61">
        <v>45.5</v>
      </c>
      <c r="J61">
        <v>41.2</v>
      </c>
      <c r="K61">
        <v>43.3</v>
      </c>
      <c r="L61">
        <v>43.4</v>
      </c>
      <c r="M61">
        <v>43.6</v>
      </c>
      <c r="N61">
        <v>43.1</v>
      </c>
      <c r="O61">
        <v>41.8</v>
      </c>
      <c r="P61">
        <v>42.6</v>
      </c>
      <c r="Q61">
        <v>47.2</v>
      </c>
      <c r="R61">
        <v>45.7</v>
      </c>
      <c r="S61">
        <v>40.799999999999997</v>
      </c>
      <c r="T61">
        <v>38</v>
      </c>
      <c r="U61">
        <v>37.9</v>
      </c>
      <c r="V61">
        <v>36.6</v>
      </c>
      <c r="W61">
        <v>50.8</v>
      </c>
      <c r="X61">
        <v>57.6</v>
      </c>
      <c r="Y61">
        <v>55</v>
      </c>
      <c r="Z61">
        <v>48.4</v>
      </c>
      <c r="AA61">
        <v>60.1</v>
      </c>
      <c r="AB61">
        <v>67.2</v>
      </c>
      <c r="AC61">
        <v>66.7</v>
      </c>
      <c r="AD61">
        <v>62.3</v>
      </c>
      <c r="AE61">
        <v>65.8</v>
      </c>
      <c r="AF61">
        <v>74.3</v>
      </c>
      <c r="AG61">
        <v>73.599999999999994</v>
      </c>
      <c r="AH61">
        <v>78</v>
      </c>
      <c r="AI61">
        <v>85</v>
      </c>
      <c r="AJ61">
        <v>102.3</v>
      </c>
      <c r="AK61">
        <v>97.8</v>
      </c>
      <c r="AL61">
        <v>88.7</v>
      </c>
      <c r="AM61">
        <v>99.8</v>
      </c>
      <c r="AN61">
        <v>117.4</v>
      </c>
      <c r="AO61">
        <v>134</v>
      </c>
      <c r="AP61">
        <v>119.6</v>
      </c>
      <c r="AQ61">
        <v>121</v>
      </c>
      <c r="AR61">
        <v>172.9</v>
      </c>
      <c r="AS61">
        <v>204</v>
      </c>
      <c r="AT61">
        <v>270.2</v>
      </c>
      <c r="AU61">
        <v>306.7</v>
      </c>
      <c r="AV61">
        <v>476.4</v>
      </c>
      <c r="AW61">
        <v>323.89999999999998</v>
      </c>
      <c r="AX61">
        <v>291.8</v>
      </c>
      <c r="AY61">
        <v>296.2</v>
      </c>
    </row>
    <row r="62" spans="1:51" x14ac:dyDescent="0.35">
      <c r="A62" t="s">
        <v>186</v>
      </c>
      <c r="B62">
        <f t="shared" si="3"/>
        <v>4</v>
      </c>
      <c r="C62" t="s">
        <v>140</v>
      </c>
      <c r="D62" t="s">
        <v>142</v>
      </c>
      <c r="E62" t="s">
        <v>59</v>
      </c>
      <c r="F62">
        <v>60</v>
      </c>
      <c r="G62">
        <v>0</v>
      </c>
      <c r="H62">
        <v>0</v>
      </c>
      <c r="I62">
        <v>0</v>
      </c>
      <c r="J62">
        <v>0.8</v>
      </c>
      <c r="K62">
        <v>1.1000000000000001</v>
      </c>
      <c r="L62">
        <v>1.4</v>
      </c>
      <c r="M62">
        <v>1.9</v>
      </c>
      <c r="N62">
        <v>1.8</v>
      </c>
      <c r="O62">
        <v>2</v>
      </c>
      <c r="P62">
        <v>2.1</v>
      </c>
      <c r="Q62">
        <v>2.2999999999999998</v>
      </c>
      <c r="R62">
        <v>2.9</v>
      </c>
      <c r="S62">
        <v>4</v>
      </c>
      <c r="T62">
        <v>4.2</v>
      </c>
      <c r="U62">
        <v>4.5999999999999996</v>
      </c>
      <c r="V62">
        <v>3.3</v>
      </c>
      <c r="W62">
        <v>4.5</v>
      </c>
      <c r="X62">
        <v>4.5999999999999996</v>
      </c>
      <c r="Y62">
        <v>5.3</v>
      </c>
      <c r="Z62">
        <v>6.4</v>
      </c>
      <c r="AA62">
        <v>7.7</v>
      </c>
      <c r="AB62">
        <v>8.6999999999999993</v>
      </c>
      <c r="AC62">
        <v>8</v>
      </c>
      <c r="AD62">
        <v>8.4</v>
      </c>
      <c r="AE62">
        <v>9.6</v>
      </c>
      <c r="AF62">
        <v>8.3000000000000007</v>
      </c>
      <c r="AG62">
        <v>7.9</v>
      </c>
      <c r="AH62">
        <v>8.5</v>
      </c>
      <c r="AI62">
        <v>10.199999999999999</v>
      </c>
      <c r="AJ62">
        <v>6.9</v>
      </c>
      <c r="AK62">
        <v>7.6</v>
      </c>
      <c r="AL62">
        <v>7.3</v>
      </c>
      <c r="AM62">
        <v>7</v>
      </c>
      <c r="AN62">
        <v>9.6</v>
      </c>
      <c r="AO62">
        <v>18.2</v>
      </c>
      <c r="AP62">
        <v>24.5</v>
      </c>
      <c r="AQ62">
        <v>34.5</v>
      </c>
      <c r="AR62">
        <v>41.8</v>
      </c>
      <c r="AS62">
        <v>63.5</v>
      </c>
      <c r="AT62">
        <v>88.9</v>
      </c>
      <c r="AU62">
        <v>55.6</v>
      </c>
      <c r="AV62">
        <v>87.5</v>
      </c>
      <c r="AW62">
        <v>57.1</v>
      </c>
      <c r="AX62">
        <v>35.4</v>
      </c>
      <c r="AY62">
        <v>47.1</v>
      </c>
    </row>
    <row r="63" spans="1:51" x14ac:dyDescent="0.35">
      <c r="A63" t="s">
        <v>186</v>
      </c>
      <c r="B63">
        <f t="shared" si="3"/>
        <v>4</v>
      </c>
      <c r="C63" t="s">
        <v>140</v>
      </c>
      <c r="D63" t="s">
        <v>142</v>
      </c>
      <c r="E63" t="s">
        <v>58</v>
      </c>
      <c r="F63">
        <v>59</v>
      </c>
      <c r="G63">
        <v>2.1</v>
      </c>
      <c r="H63">
        <v>2.7</v>
      </c>
      <c r="I63">
        <v>3.1</v>
      </c>
      <c r="J63">
        <v>3.4</v>
      </c>
      <c r="K63">
        <v>4.4000000000000004</v>
      </c>
      <c r="L63">
        <v>6.1</v>
      </c>
      <c r="M63">
        <v>6</v>
      </c>
      <c r="N63">
        <v>5.0999999999999996</v>
      </c>
      <c r="O63">
        <v>5.0999999999999996</v>
      </c>
      <c r="P63">
        <v>5.5</v>
      </c>
      <c r="Q63">
        <v>6.1</v>
      </c>
      <c r="R63">
        <v>6.5</v>
      </c>
      <c r="S63">
        <v>5.4</v>
      </c>
      <c r="T63">
        <v>4.7</v>
      </c>
      <c r="U63">
        <v>4</v>
      </c>
      <c r="V63">
        <v>4.7</v>
      </c>
      <c r="W63">
        <v>6.3</v>
      </c>
      <c r="X63">
        <v>6</v>
      </c>
      <c r="Y63">
        <v>5</v>
      </c>
      <c r="Z63">
        <v>5</v>
      </c>
      <c r="AA63">
        <v>6</v>
      </c>
      <c r="AB63">
        <v>7.3</v>
      </c>
      <c r="AC63">
        <v>6</v>
      </c>
      <c r="AD63">
        <v>6.3</v>
      </c>
      <c r="AE63">
        <v>6.8</v>
      </c>
      <c r="AF63">
        <v>6.4</v>
      </c>
      <c r="AG63">
        <v>6.1</v>
      </c>
      <c r="AH63">
        <v>7.7</v>
      </c>
      <c r="AI63">
        <v>6.3</v>
      </c>
      <c r="AJ63">
        <v>6.5</v>
      </c>
      <c r="AK63">
        <v>6</v>
      </c>
      <c r="AL63">
        <v>5.4</v>
      </c>
      <c r="AM63">
        <v>6.2</v>
      </c>
      <c r="AN63">
        <v>6.8</v>
      </c>
      <c r="AO63">
        <v>8.4</v>
      </c>
      <c r="AP63">
        <v>5</v>
      </c>
      <c r="AQ63">
        <v>4.3</v>
      </c>
      <c r="AR63">
        <v>7</v>
      </c>
      <c r="AS63">
        <v>7.7</v>
      </c>
      <c r="AT63">
        <v>12.1</v>
      </c>
      <c r="AU63">
        <v>14.8</v>
      </c>
      <c r="AV63">
        <v>29</v>
      </c>
      <c r="AW63">
        <v>20.2</v>
      </c>
      <c r="AX63">
        <v>18.3</v>
      </c>
      <c r="AY63">
        <v>23.1</v>
      </c>
    </row>
    <row r="64" spans="1:51" x14ac:dyDescent="0.35">
      <c r="A64" t="s">
        <v>186</v>
      </c>
      <c r="B64">
        <f t="shared" si="3"/>
        <v>4</v>
      </c>
      <c r="C64" t="s">
        <v>140</v>
      </c>
      <c r="D64" t="s">
        <v>142</v>
      </c>
      <c r="E64" t="s">
        <v>56</v>
      </c>
      <c r="F64">
        <v>57</v>
      </c>
      <c r="G64">
        <v>2</v>
      </c>
      <c r="H64">
        <v>2.5</v>
      </c>
      <c r="I64">
        <v>3.4</v>
      </c>
      <c r="J64">
        <v>3.9</v>
      </c>
      <c r="K64">
        <v>5.0999999999999996</v>
      </c>
      <c r="L64">
        <v>5</v>
      </c>
      <c r="M64">
        <v>4.0999999999999996</v>
      </c>
      <c r="N64">
        <v>4.2</v>
      </c>
      <c r="O64">
        <v>5.5</v>
      </c>
      <c r="P64">
        <v>6.9</v>
      </c>
      <c r="Q64">
        <v>6.4</v>
      </c>
      <c r="R64">
        <v>7.3</v>
      </c>
      <c r="S64">
        <v>8.6999999999999993</v>
      </c>
      <c r="T64">
        <v>8.6999999999999993</v>
      </c>
      <c r="U64">
        <v>12.3</v>
      </c>
      <c r="V64">
        <v>11.3</v>
      </c>
      <c r="W64">
        <v>10.8</v>
      </c>
      <c r="X64">
        <v>11</v>
      </c>
      <c r="Y64">
        <v>11.2</v>
      </c>
      <c r="Z64">
        <v>12.4</v>
      </c>
      <c r="AA64">
        <v>15.7</v>
      </c>
      <c r="AB64">
        <v>21.5</v>
      </c>
      <c r="AC64">
        <v>22</v>
      </c>
      <c r="AD64">
        <v>18.2</v>
      </c>
      <c r="AE64">
        <v>27.2</v>
      </c>
      <c r="AF64">
        <v>28.2</v>
      </c>
      <c r="AG64">
        <v>29</v>
      </c>
      <c r="AH64">
        <v>30.7</v>
      </c>
      <c r="AI64">
        <v>40.200000000000003</v>
      </c>
      <c r="AJ64">
        <v>36.9</v>
      </c>
      <c r="AK64">
        <v>38.4</v>
      </c>
      <c r="AL64">
        <v>41.5</v>
      </c>
      <c r="AM64">
        <v>52.6</v>
      </c>
      <c r="AN64">
        <v>56.2</v>
      </c>
      <c r="AO64">
        <v>67.400000000000006</v>
      </c>
      <c r="AP64">
        <v>54.3</v>
      </c>
      <c r="AQ64">
        <v>61.2</v>
      </c>
      <c r="AR64">
        <v>68.3</v>
      </c>
      <c r="AS64">
        <v>110.4</v>
      </c>
      <c r="AT64">
        <v>107.9</v>
      </c>
      <c r="AU64">
        <v>120.4</v>
      </c>
      <c r="AV64">
        <v>349.8</v>
      </c>
      <c r="AW64">
        <v>168.2</v>
      </c>
      <c r="AX64">
        <v>91.7</v>
      </c>
      <c r="AY64">
        <v>154.1</v>
      </c>
    </row>
    <row r="65" spans="1:51" x14ac:dyDescent="0.35">
      <c r="A65" t="s">
        <v>186</v>
      </c>
      <c r="B65">
        <f t="shared" si="3"/>
        <v>4</v>
      </c>
      <c r="C65" t="s">
        <v>140</v>
      </c>
      <c r="D65" t="s">
        <v>142</v>
      </c>
      <c r="E65" t="s">
        <v>54</v>
      </c>
      <c r="F65">
        <v>55</v>
      </c>
      <c r="G65">
        <v>1.2</v>
      </c>
      <c r="H65">
        <v>1.2</v>
      </c>
      <c r="I65">
        <v>1.5</v>
      </c>
      <c r="J65">
        <v>1.7</v>
      </c>
      <c r="K65">
        <v>1.4</v>
      </c>
      <c r="L65">
        <v>1.3</v>
      </c>
      <c r="M65">
        <v>1.5</v>
      </c>
      <c r="N65">
        <v>1.5</v>
      </c>
      <c r="O65">
        <v>1.5</v>
      </c>
      <c r="P65">
        <v>1.6</v>
      </c>
      <c r="Q65">
        <v>1.2</v>
      </c>
      <c r="R65">
        <v>1.2</v>
      </c>
      <c r="S65">
        <v>1.3</v>
      </c>
      <c r="T65">
        <v>1.5</v>
      </c>
      <c r="U65">
        <v>1.7</v>
      </c>
      <c r="V65">
        <v>2.1</v>
      </c>
      <c r="W65">
        <v>2.4</v>
      </c>
      <c r="X65">
        <v>2.8</v>
      </c>
      <c r="Y65">
        <v>4.5</v>
      </c>
      <c r="Z65">
        <v>5.6</v>
      </c>
      <c r="AA65">
        <v>5.6</v>
      </c>
      <c r="AB65">
        <v>7</v>
      </c>
      <c r="AC65">
        <v>7.3</v>
      </c>
      <c r="AD65">
        <v>7.3</v>
      </c>
      <c r="AE65">
        <v>7.3</v>
      </c>
      <c r="AF65">
        <v>7.9</v>
      </c>
      <c r="AG65">
        <v>8.8000000000000007</v>
      </c>
      <c r="AH65">
        <v>10.3</v>
      </c>
      <c r="AI65">
        <v>8.6999999999999993</v>
      </c>
      <c r="AJ65">
        <v>7.3</v>
      </c>
      <c r="AK65">
        <v>8.8000000000000007</v>
      </c>
      <c r="AL65">
        <v>9.5</v>
      </c>
      <c r="AM65">
        <v>10.3</v>
      </c>
      <c r="AN65">
        <v>11.5</v>
      </c>
      <c r="AO65">
        <v>11.2</v>
      </c>
      <c r="AP65">
        <v>11.2</v>
      </c>
      <c r="AQ65">
        <v>14.2</v>
      </c>
      <c r="AR65">
        <v>29.5</v>
      </c>
      <c r="AS65">
        <v>35.299999999999997</v>
      </c>
      <c r="AT65">
        <v>43.1</v>
      </c>
      <c r="AU65">
        <v>69.900000000000006</v>
      </c>
      <c r="AV65">
        <v>65.8</v>
      </c>
      <c r="AW65">
        <v>29</v>
      </c>
      <c r="AX65">
        <v>24.1</v>
      </c>
      <c r="AY65">
        <v>25.7</v>
      </c>
    </row>
    <row r="66" spans="1:51" x14ac:dyDescent="0.35">
      <c r="A66" t="s">
        <v>186</v>
      </c>
      <c r="B66">
        <f t="shared" si="3"/>
        <v>4</v>
      </c>
      <c r="C66" t="s">
        <v>140</v>
      </c>
      <c r="D66" t="s">
        <v>142</v>
      </c>
      <c r="E66" t="s">
        <v>51</v>
      </c>
      <c r="F66">
        <v>52</v>
      </c>
      <c r="G66">
        <v>10.6</v>
      </c>
      <c r="H66">
        <v>12</v>
      </c>
      <c r="I66">
        <v>14.2</v>
      </c>
      <c r="J66">
        <v>18.399999999999999</v>
      </c>
      <c r="K66">
        <v>17.7</v>
      </c>
      <c r="L66">
        <v>16.2</v>
      </c>
      <c r="M66">
        <v>15.1</v>
      </c>
      <c r="N66">
        <v>13.4</v>
      </c>
      <c r="O66">
        <v>14.7</v>
      </c>
      <c r="P66">
        <v>17.100000000000001</v>
      </c>
      <c r="Q66">
        <v>20.5</v>
      </c>
      <c r="R66">
        <v>19.3</v>
      </c>
      <c r="S66">
        <v>16.399999999999999</v>
      </c>
      <c r="T66">
        <v>18.7</v>
      </c>
      <c r="U66">
        <v>17.600000000000001</v>
      </c>
      <c r="V66">
        <v>19.399999999999999</v>
      </c>
      <c r="W66">
        <v>19.899999999999999</v>
      </c>
      <c r="X66">
        <v>23.3</v>
      </c>
      <c r="Y66">
        <v>27.7</v>
      </c>
      <c r="Z66">
        <v>26.2</v>
      </c>
      <c r="AA66">
        <v>31.1</v>
      </c>
      <c r="AB66">
        <v>36.799999999999997</v>
      </c>
      <c r="AC66">
        <v>34.799999999999997</v>
      </c>
      <c r="AD66">
        <v>35.299999999999997</v>
      </c>
      <c r="AE66">
        <v>44.6</v>
      </c>
      <c r="AF66">
        <v>45.6</v>
      </c>
      <c r="AG66">
        <v>43.2</v>
      </c>
      <c r="AH66">
        <v>59.6</v>
      </c>
      <c r="AI66">
        <v>67.7</v>
      </c>
      <c r="AJ66">
        <v>54.6</v>
      </c>
      <c r="AK66">
        <v>56.4</v>
      </c>
      <c r="AL66">
        <v>66.7</v>
      </c>
      <c r="AM66">
        <v>74.900000000000006</v>
      </c>
      <c r="AN66">
        <v>82.9</v>
      </c>
      <c r="AO66">
        <v>88.6</v>
      </c>
      <c r="AP66">
        <v>57</v>
      </c>
      <c r="AQ66">
        <v>40</v>
      </c>
      <c r="AR66">
        <v>41.5</v>
      </c>
      <c r="AS66">
        <v>49</v>
      </c>
      <c r="AT66">
        <v>63.2</v>
      </c>
      <c r="AU66">
        <v>97.5</v>
      </c>
      <c r="AV66">
        <v>136.1</v>
      </c>
      <c r="AW66">
        <v>63.1</v>
      </c>
      <c r="AX66">
        <v>74.900000000000006</v>
      </c>
      <c r="AY66">
        <v>115.2</v>
      </c>
    </row>
    <row r="67" spans="1:51" x14ac:dyDescent="0.35">
      <c r="A67" t="s">
        <v>186</v>
      </c>
      <c r="B67">
        <f t="shared" si="3"/>
        <v>4</v>
      </c>
      <c r="C67" t="s">
        <v>140</v>
      </c>
      <c r="D67" t="s">
        <v>142</v>
      </c>
      <c r="E67" t="s">
        <v>43</v>
      </c>
      <c r="F67">
        <v>44</v>
      </c>
      <c r="G67">
        <v>11</v>
      </c>
      <c r="H67">
        <v>11.3</v>
      </c>
      <c r="I67">
        <v>13.6</v>
      </c>
      <c r="J67">
        <v>13.2</v>
      </c>
      <c r="K67">
        <v>12.3</v>
      </c>
      <c r="L67">
        <v>10.8</v>
      </c>
      <c r="M67">
        <v>12.7</v>
      </c>
      <c r="N67">
        <v>14.9</v>
      </c>
      <c r="O67">
        <v>13.7</v>
      </c>
      <c r="P67">
        <v>10.7</v>
      </c>
      <c r="Q67">
        <v>10.4</v>
      </c>
      <c r="R67">
        <v>11.1</v>
      </c>
      <c r="S67">
        <v>13.9</v>
      </c>
      <c r="T67">
        <v>12.7</v>
      </c>
      <c r="U67">
        <v>13</v>
      </c>
      <c r="V67">
        <v>14.5</v>
      </c>
      <c r="W67">
        <v>14</v>
      </c>
      <c r="X67">
        <v>19.8</v>
      </c>
      <c r="Y67">
        <v>18.5</v>
      </c>
      <c r="Z67">
        <v>19.600000000000001</v>
      </c>
      <c r="AA67">
        <v>24.5</v>
      </c>
      <c r="AB67">
        <v>19.7</v>
      </c>
      <c r="AC67">
        <v>25.2</v>
      </c>
      <c r="AD67">
        <v>32.4</v>
      </c>
      <c r="AE67">
        <v>25.6</v>
      </c>
      <c r="AF67">
        <v>32.200000000000003</v>
      </c>
      <c r="AG67">
        <v>55.2</v>
      </c>
      <c r="AH67">
        <v>40</v>
      </c>
      <c r="AI67">
        <v>23.7</v>
      </c>
      <c r="AJ67">
        <v>24.3</v>
      </c>
      <c r="AK67">
        <v>32.200000000000003</v>
      </c>
      <c r="AL67">
        <v>32</v>
      </c>
      <c r="AM67">
        <v>42.3</v>
      </c>
      <c r="AN67">
        <v>48.5</v>
      </c>
      <c r="AO67">
        <v>49.4</v>
      </c>
      <c r="AP67">
        <v>44.9</v>
      </c>
      <c r="AQ67">
        <v>88.9</v>
      </c>
      <c r="AR67">
        <v>118.6</v>
      </c>
      <c r="AS67">
        <v>143</v>
      </c>
      <c r="AT67">
        <v>162.4</v>
      </c>
      <c r="AU67">
        <v>245.7</v>
      </c>
      <c r="AV67">
        <v>369</v>
      </c>
      <c r="AW67">
        <v>107.6</v>
      </c>
      <c r="AX67">
        <v>125.4</v>
      </c>
      <c r="AY67">
        <v>122.5</v>
      </c>
    </row>
    <row r="68" spans="1:51" x14ac:dyDescent="0.35">
      <c r="A68" t="s">
        <v>186</v>
      </c>
      <c r="B68">
        <f t="shared" si="3"/>
        <v>4</v>
      </c>
      <c r="C68" t="s">
        <v>140</v>
      </c>
      <c r="D68" t="s">
        <v>142</v>
      </c>
      <c r="E68" t="s">
        <v>41</v>
      </c>
      <c r="F68">
        <v>42</v>
      </c>
      <c r="G68">
        <v>186.5</v>
      </c>
      <c r="H68">
        <v>239.3</v>
      </c>
      <c r="I68">
        <v>222.1</v>
      </c>
      <c r="J68">
        <v>224.6</v>
      </c>
      <c r="K68">
        <v>224.7</v>
      </c>
      <c r="L68">
        <v>221.6</v>
      </c>
      <c r="M68">
        <v>184.4</v>
      </c>
      <c r="N68">
        <v>215.4</v>
      </c>
      <c r="O68">
        <v>216</v>
      </c>
      <c r="P68">
        <v>225.1</v>
      </c>
      <c r="Q68">
        <v>266.60000000000002</v>
      </c>
      <c r="R68">
        <v>254.3</v>
      </c>
      <c r="S68">
        <v>277</v>
      </c>
      <c r="T68">
        <v>217.1</v>
      </c>
      <c r="U68">
        <v>204.1</v>
      </c>
      <c r="V68">
        <v>200.4</v>
      </c>
      <c r="W68">
        <v>189.9</v>
      </c>
      <c r="X68">
        <v>233.4</v>
      </c>
      <c r="Y68">
        <v>212.9</v>
      </c>
      <c r="Z68">
        <v>233.3</v>
      </c>
      <c r="AA68">
        <v>191.8</v>
      </c>
      <c r="AB68">
        <v>315.89999999999998</v>
      </c>
      <c r="AC68">
        <v>301.89999999999998</v>
      </c>
      <c r="AD68">
        <v>291.5</v>
      </c>
      <c r="AE68">
        <v>379.6</v>
      </c>
      <c r="AF68">
        <v>370.4</v>
      </c>
      <c r="AG68">
        <v>393.3</v>
      </c>
      <c r="AH68">
        <v>413.1</v>
      </c>
      <c r="AI68">
        <v>469.8</v>
      </c>
      <c r="AJ68">
        <v>438.8</v>
      </c>
      <c r="AK68">
        <v>461.9</v>
      </c>
      <c r="AL68">
        <v>530.79999999999995</v>
      </c>
      <c r="AM68">
        <v>517.1</v>
      </c>
      <c r="AN68">
        <v>623.1</v>
      </c>
      <c r="AO68">
        <v>575.5</v>
      </c>
      <c r="AP68">
        <v>343.9</v>
      </c>
      <c r="AQ68">
        <v>417</v>
      </c>
      <c r="AR68">
        <v>545.20000000000005</v>
      </c>
      <c r="AS68">
        <v>575.29999999999995</v>
      </c>
      <c r="AT68">
        <v>674.1</v>
      </c>
      <c r="AU68">
        <v>1137.4000000000001</v>
      </c>
      <c r="AV68">
        <v>1136.4000000000001</v>
      </c>
      <c r="AW68">
        <v>534.20000000000005</v>
      </c>
      <c r="AX68">
        <v>673.2</v>
      </c>
      <c r="AY68">
        <v>807.1</v>
      </c>
    </row>
    <row r="69" spans="1:51" x14ac:dyDescent="0.35">
      <c r="A69" t="s">
        <v>186</v>
      </c>
      <c r="B69">
        <f t="shared" si="3"/>
        <v>4</v>
      </c>
      <c r="C69" t="s">
        <v>140</v>
      </c>
      <c r="D69" t="s">
        <v>142</v>
      </c>
      <c r="E69" t="s">
        <v>27</v>
      </c>
      <c r="F69">
        <v>28</v>
      </c>
      <c r="G69">
        <v>5.8</v>
      </c>
      <c r="H69">
        <v>7.1</v>
      </c>
      <c r="I69">
        <v>6.8</v>
      </c>
      <c r="J69">
        <v>7.2</v>
      </c>
      <c r="K69">
        <v>6.9</v>
      </c>
      <c r="L69">
        <v>8</v>
      </c>
      <c r="M69">
        <v>8</v>
      </c>
      <c r="N69">
        <v>7.8</v>
      </c>
      <c r="O69">
        <v>9.1999999999999993</v>
      </c>
      <c r="P69">
        <v>8.5</v>
      </c>
      <c r="Q69">
        <v>11</v>
      </c>
      <c r="R69">
        <v>11</v>
      </c>
      <c r="S69">
        <v>12</v>
      </c>
      <c r="T69">
        <v>9.9</v>
      </c>
      <c r="U69">
        <v>12.1</v>
      </c>
      <c r="V69">
        <v>13.1</v>
      </c>
      <c r="W69">
        <v>16.2</v>
      </c>
      <c r="X69">
        <v>16.3</v>
      </c>
      <c r="Y69">
        <v>16.3</v>
      </c>
      <c r="Z69">
        <v>18.7</v>
      </c>
      <c r="AA69">
        <v>22.1</v>
      </c>
      <c r="AB69">
        <v>21.3</v>
      </c>
      <c r="AC69">
        <v>21.8</v>
      </c>
      <c r="AD69">
        <v>22.8</v>
      </c>
      <c r="AE69">
        <v>23.7</v>
      </c>
      <c r="AF69">
        <v>28.7</v>
      </c>
      <c r="AG69">
        <v>28.4</v>
      </c>
      <c r="AH69">
        <v>33</v>
      </c>
      <c r="AI69">
        <v>28.2</v>
      </c>
      <c r="AJ69">
        <v>28.4</v>
      </c>
      <c r="AK69">
        <v>33.200000000000003</v>
      </c>
      <c r="AL69">
        <v>37.5</v>
      </c>
      <c r="AM69">
        <v>39.299999999999997</v>
      </c>
      <c r="AN69">
        <v>43.8</v>
      </c>
      <c r="AO69">
        <v>37.4</v>
      </c>
      <c r="AP69">
        <v>44.2</v>
      </c>
      <c r="AQ69">
        <v>78.400000000000006</v>
      </c>
      <c r="AR69">
        <v>97.7</v>
      </c>
      <c r="AS69">
        <v>77.8</v>
      </c>
      <c r="AT69">
        <v>53</v>
      </c>
      <c r="AU69">
        <v>214.5</v>
      </c>
      <c r="AV69">
        <v>108.6</v>
      </c>
      <c r="AW69">
        <v>31.7</v>
      </c>
      <c r="AX69">
        <v>45.4</v>
      </c>
      <c r="AY69">
        <v>42.7</v>
      </c>
    </row>
    <row r="70" spans="1:51" x14ac:dyDescent="0.35">
      <c r="A70" t="s">
        <v>186</v>
      </c>
      <c r="B70">
        <f t="shared" si="3"/>
        <v>4</v>
      </c>
      <c r="C70" t="s">
        <v>140</v>
      </c>
      <c r="D70" t="s">
        <v>142</v>
      </c>
      <c r="E70" t="s">
        <v>24</v>
      </c>
      <c r="F70">
        <v>25</v>
      </c>
      <c r="G70">
        <v>14.2</v>
      </c>
      <c r="H70">
        <v>18.100000000000001</v>
      </c>
      <c r="I70">
        <v>18.399999999999999</v>
      </c>
      <c r="J70">
        <v>18.899999999999999</v>
      </c>
      <c r="K70">
        <v>20</v>
      </c>
      <c r="L70">
        <v>20</v>
      </c>
      <c r="M70">
        <v>26.6</v>
      </c>
      <c r="N70">
        <v>28.3</v>
      </c>
      <c r="O70">
        <v>20.9</v>
      </c>
      <c r="P70">
        <v>18.7</v>
      </c>
      <c r="Q70">
        <v>22</v>
      </c>
      <c r="R70">
        <v>21.2</v>
      </c>
      <c r="S70">
        <v>20.399999999999999</v>
      </c>
      <c r="T70">
        <v>21.7</v>
      </c>
      <c r="U70">
        <v>23.8</v>
      </c>
      <c r="V70">
        <v>25.8</v>
      </c>
      <c r="W70">
        <v>24.7</v>
      </c>
      <c r="X70">
        <v>24.1</v>
      </c>
      <c r="Y70">
        <v>22.8</v>
      </c>
      <c r="Z70">
        <v>23.8</v>
      </c>
      <c r="AA70">
        <v>30</v>
      </c>
      <c r="AB70">
        <v>26.9</v>
      </c>
      <c r="AC70">
        <v>26.9</v>
      </c>
      <c r="AD70">
        <v>34.6</v>
      </c>
      <c r="AE70">
        <v>29.8</v>
      </c>
      <c r="AF70">
        <v>31.5</v>
      </c>
      <c r="AG70">
        <v>26.8</v>
      </c>
      <c r="AH70">
        <v>32.1</v>
      </c>
      <c r="AI70">
        <v>32.799999999999997</v>
      </c>
      <c r="AJ70">
        <v>32.6</v>
      </c>
      <c r="AK70">
        <v>36.799999999999997</v>
      </c>
      <c r="AL70">
        <v>36.1</v>
      </c>
      <c r="AM70">
        <v>42.2</v>
      </c>
      <c r="AN70">
        <v>46.9</v>
      </c>
      <c r="AO70">
        <v>52.9</v>
      </c>
      <c r="AP70">
        <v>43.9</v>
      </c>
      <c r="AQ70">
        <v>52.5</v>
      </c>
      <c r="AR70">
        <v>62.8</v>
      </c>
      <c r="AS70">
        <v>45.6</v>
      </c>
      <c r="AT70">
        <v>122.9</v>
      </c>
      <c r="AU70">
        <v>260</v>
      </c>
      <c r="AV70">
        <v>245.5</v>
      </c>
      <c r="AW70">
        <v>205.1</v>
      </c>
      <c r="AX70">
        <v>146.5</v>
      </c>
      <c r="AY70">
        <v>153.4</v>
      </c>
    </row>
    <row r="71" spans="1:51" x14ac:dyDescent="0.35">
      <c r="A71" t="s">
        <v>186</v>
      </c>
      <c r="B71">
        <f t="shared" si="3"/>
        <v>4</v>
      </c>
      <c r="C71" t="s">
        <v>140</v>
      </c>
      <c r="D71" t="s">
        <v>142</v>
      </c>
      <c r="E71" t="s">
        <v>14</v>
      </c>
      <c r="F71">
        <v>15</v>
      </c>
      <c r="G71">
        <v>8.1999999999999993</v>
      </c>
      <c r="H71">
        <v>9.8000000000000007</v>
      </c>
      <c r="I71">
        <v>6.8</v>
      </c>
      <c r="J71">
        <v>6.4</v>
      </c>
      <c r="K71">
        <v>7.9</v>
      </c>
      <c r="L71">
        <v>8.6999999999999993</v>
      </c>
      <c r="M71">
        <v>9.1</v>
      </c>
      <c r="N71">
        <v>9.6</v>
      </c>
      <c r="O71">
        <v>8.3000000000000007</v>
      </c>
      <c r="P71">
        <v>8.1999999999999993</v>
      </c>
      <c r="Q71">
        <v>10.4</v>
      </c>
      <c r="R71">
        <v>13.2</v>
      </c>
      <c r="S71">
        <v>11.9</v>
      </c>
      <c r="T71">
        <v>15.3</v>
      </c>
      <c r="U71">
        <v>14.5</v>
      </c>
      <c r="V71">
        <v>13</v>
      </c>
      <c r="W71">
        <v>14.3</v>
      </c>
      <c r="X71">
        <v>14.9</v>
      </c>
      <c r="Y71">
        <v>19</v>
      </c>
      <c r="Z71">
        <v>24.9</v>
      </c>
      <c r="AA71">
        <v>28.6</v>
      </c>
      <c r="AB71">
        <v>32.200000000000003</v>
      </c>
      <c r="AC71">
        <v>35.6</v>
      </c>
      <c r="AD71">
        <v>34.799999999999997</v>
      </c>
      <c r="AE71">
        <v>29.7</v>
      </c>
      <c r="AF71">
        <v>30.6</v>
      </c>
      <c r="AG71">
        <v>37.700000000000003</v>
      </c>
      <c r="AH71">
        <v>38.799999999999997</v>
      </c>
      <c r="AI71">
        <v>41.9</v>
      </c>
      <c r="AJ71">
        <v>45.3</v>
      </c>
      <c r="AK71">
        <v>39.799999999999997</v>
      </c>
      <c r="AL71">
        <v>33.9</v>
      </c>
      <c r="AM71">
        <v>44.3</v>
      </c>
      <c r="AN71">
        <v>50.7</v>
      </c>
      <c r="AO71">
        <v>45.8</v>
      </c>
      <c r="AP71">
        <v>36.700000000000003</v>
      </c>
      <c r="AQ71">
        <v>56.6</v>
      </c>
      <c r="AR71">
        <v>52.8</v>
      </c>
      <c r="AS71">
        <v>33.299999999999997</v>
      </c>
      <c r="AT71">
        <v>26.2</v>
      </c>
      <c r="AU71">
        <v>77.7</v>
      </c>
      <c r="AV71">
        <v>53.2</v>
      </c>
      <c r="AW71">
        <v>49.1</v>
      </c>
      <c r="AX71">
        <v>27.3</v>
      </c>
      <c r="AY71">
        <v>25.1</v>
      </c>
    </row>
    <row r="72" spans="1:51" x14ac:dyDescent="0.35">
      <c r="A72" t="s">
        <v>186</v>
      </c>
      <c r="B72">
        <f t="shared" si="3"/>
        <v>4</v>
      </c>
      <c r="C72" t="s">
        <v>140</v>
      </c>
      <c r="D72" t="s">
        <v>142</v>
      </c>
      <c r="E72" t="s">
        <v>13</v>
      </c>
      <c r="F72">
        <v>14</v>
      </c>
      <c r="G72">
        <v>37.700000000000003</v>
      </c>
      <c r="H72">
        <v>43.7</v>
      </c>
      <c r="I72">
        <v>43.1</v>
      </c>
      <c r="J72">
        <v>48.6</v>
      </c>
      <c r="K72">
        <v>56.5</v>
      </c>
      <c r="L72">
        <v>53.2</v>
      </c>
      <c r="M72">
        <v>49.6</v>
      </c>
      <c r="N72">
        <v>47.3</v>
      </c>
      <c r="O72">
        <v>57.9</v>
      </c>
      <c r="P72">
        <v>52.7</v>
      </c>
      <c r="Q72">
        <v>53.3</v>
      </c>
      <c r="R72">
        <v>56</v>
      </c>
      <c r="S72">
        <v>68.2</v>
      </c>
      <c r="T72">
        <v>86.3</v>
      </c>
      <c r="U72">
        <v>74.900000000000006</v>
      </c>
      <c r="V72">
        <v>62.3</v>
      </c>
      <c r="W72">
        <v>54.4</v>
      </c>
      <c r="X72">
        <v>62.8</v>
      </c>
      <c r="Y72">
        <v>67.5</v>
      </c>
      <c r="Z72">
        <v>82.5</v>
      </c>
      <c r="AA72">
        <v>76.900000000000006</v>
      </c>
      <c r="AB72">
        <v>75.900000000000006</v>
      </c>
      <c r="AC72">
        <v>78.599999999999994</v>
      </c>
      <c r="AD72">
        <v>74</v>
      </c>
      <c r="AE72">
        <v>81.5</v>
      </c>
      <c r="AF72">
        <v>55.3</v>
      </c>
      <c r="AG72">
        <v>57.7</v>
      </c>
      <c r="AH72">
        <v>64.8</v>
      </c>
      <c r="AI72">
        <v>71.2</v>
      </c>
      <c r="AJ72">
        <v>66.3</v>
      </c>
      <c r="AK72">
        <v>55.2</v>
      </c>
      <c r="AL72">
        <v>48.2</v>
      </c>
      <c r="AM72">
        <v>59.6</v>
      </c>
      <c r="AN72">
        <v>54.6</v>
      </c>
      <c r="AO72">
        <v>64.5</v>
      </c>
      <c r="AP72">
        <v>70.599999999999994</v>
      </c>
      <c r="AQ72">
        <v>111.2</v>
      </c>
      <c r="AR72">
        <v>110.5</v>
      </c>
      <c r="AS72">
        <v>195.1</v>
      </c>
      <c r="AT72">
        <v>328.1</v>
      </c>
      <c r="AU72">
        <v>398</v>
      </c>
      <c r="AV72">
        <v>300.2</v>
      </c>
      <c r="AW72">
        <v>165.5</v>
      </c>
      <c r="AX72">
        <v>119.5</v>
      </c>
      <c r="AY72">
        <v>118.7</v>
      </c>
    </row>
    <row r="73" spans="1:51" x14ac:dyDescent="0.35">
      <c r="A73" t="s">
        <v>186</v>
      </c>
      <c r="B73">
        <f t="shared" si="3"/>
        <v>4</v>
      </c>
      <c r="C73" t="s">
        <v>140</v>
      </c>
      <c r="D73" t="s">
        <v>142</v>
      </c>
      <c r="E73" t="s">
        <v>11</v>
      </c>
      <c r="F73">
        <v>12</v>
      </c>
      <c r="G73">
        <v>17.8</v>
      </c>
      <c r="H73">
        <v>23.2</v>
      </c>
      <c r="I73">
        <v>20.100000000000001</v>
      </c>
      <c r="J73">
        <v>13.3</v>
      </c>
      <c r="K73">
        <v>16.100000000000001</v>
      </c>
      <c r="L73">
        <v>15.2</v>
      </c>
      <c r="M73">
        <v>11.3</v>
      </c>
      <c r="N73">
        <v>10</v>
      </c>
      <c r="O73">
        <v>11.2</v>
      </c>
      <c r="P73">
        <v>9.4</v>
      </c>
      <c r="Q73">
        <v>12.7</v>
      </c>
      <c r="R73">
        <v>11.6</v>
      </c>
      <c r="S73">
        <v>9.8000000000000007</v>
      </c>
      <c r="T73">
        <v>10.1</v>
      </c>
      <c r="U73">
        <v>8.4</v>
      </c>
      <c r="V73">
        <v>8.6</v>
      </c>
      <c r="W73">
        <v>5.8</v>
      </c>
      <c r="X73">
        <v>8.1999999999999993</v>
      </c>
      <c r="Y73">
        <v>10.6</v>
      </c>
      <c r="Z73">
        <v>6.5</v>
      </c>
      <c r="AA73">
        <v>9.1</v>
      </c>
      <c r="AB73">
        <v>9.1999999999999993</v>
      </c>
      <c r="AC73">
        <v>8.8000000000000007</v>
      </c>
      <c r="AD73">
        <v>4.9000000000000004</v>
      </c>
      <c r="AE73">
        <v>4.9000000000000004</v>
      </c>
      <c r="AF73">
        <v>6</v>
      </c>
      <c r="AG73">
        <v>5.8</v>
      </c>
      <c r="AH73">
        <v>9.1</v>
      </c>
      <c r="AI73">
        <v>4.7</v>
      </c>
      <c r="AJ73">
        <v>5.2</v>
      </c>
      <c r="AK73">
        <v>2.2000000000000002</v>
      </c>
      <c r="AL73">
        <v>2.2000000000000002</v>
      </c>
      <c r="AM73">
        <v>4.4000000000000004</v>
      </c>
      <c r="AN73">
        <v>3.4</v>
      </c>
      <c r="AO73">
        <v>2.6</v>
      </c>
      <c r="AP73">
        <v>3.5</v>
      </c>
      <c r="AQ73">
        <v>20.100000000000001</v>
      </c>
      <c r="AR73">
        <v>36.1</v>
      </c>
      <c r="AS73">
        <v>67.3</v>
      </c>
      <c r="AT73">
        <v>96.1</v>
      </c>
      <c r="AU73">
        <v>144.9</v>
      </c>
      <c r="AV73">
        <v>80.7</v>
      </c>
      <c r="AW73">
        <v>43.8</v>
      </c>
      <c r="AX73">
        <v>24.9</v>
      </c>
      <c r="AY73">
        <v>27.3</v>
      </c>
    </row>
    <row r="74" spans="1:51" x14ac:dyDescent="0.35">
      <c r="A74" t="s">
        <v>186</v>
      </c>
      <c r="B74">
        <f t="shared" si="3"/>
        <v>4</v>
      </c>
      <c r="C74" t="s">
        <v>140</v>
      </c>
      <c r="D74" t="s">
        <v>142</v>
      </c>
      <c r="E74" t="s">
        <v>10</v>
      </c>
      <c r="F74">
        <v>11</v>
      </c>
      <c r="G74">
        <v>25.6</v>
      </c>
      <c r="H74">
        <v>37.1</v>
      </c>
      <c r="I74">
        <v>37</v>
      </c>
      <c r="J74">
        <v>31.5</v>
      </c>
      <c r="K74">
        <v>33.6</v>
      </c>
      <c r="L74">
        <v>24.3</v>
      </c>
      <c r="M74">
        <v>26.3</v>
      </c>
      <c r="N74">
        <v>26.2</v>
      </c>
      <c r="O74">
        <v>26.4</v>
      </c>
      <c r="P74">
        <v>26</v>
      </c>
      <c r="Q74">
        <v>34.6</v>
      </c>
      <c r="R74">
        <v>44.9</v>
      </c>
      <c r="S74">
        <v>38.700000000000003</v>
      </c>
      <c r="T74">
        <v>46.5</v>
      </c>
      <c r="U74">
        <v>47.3</v>
      </c>
      <c r="V74">
        <v>50.6</v>
      </c>
      <c r="W74">
        <v>45.2</v>
      </c>
      <c r="X74">
        <v>38.1</v>
      </c>
      <c r="Y74">
        <v>40.799999999999997</v>
      </c>
      <c r="Z74">
        <v>53.4</v>
      </c>
      <c r="AA74">
        <v>53.1</v>
      </c>
      <c r="AB74">
        <v>55.4</v>
      </c>
      <c r="AC74">
        <v>67.099999999999994</v>
      </c>
      <c r="AD74">
        <v>64.900000000000006</v>
      </c>
      <c r="AE74">
        <v>67.900000000000006</v>
      </c>
      <c r="AF74">
        <v>60.3</v>
      </c>
      <c r="AG74">
        <v>74.3</v>
      </c>
      <c r="AH74">
        <v>80.599999999999994</v>
      </c>
      <c r="AI74">
        <v>81.099999999999994</v>
      </c>
      <c r="AJ74">
        <v>79.099999999999994</v>
      </c>
      <c r="AK74">
        <v>72.7</v>
      </c>
      <c r="AL74">
        <v>66.599999999999994</v>
      </c>
      <c r="AM74">
        <v>82.1</v>
      </c>
      <c r="AN74">
        <v>76.3</v>
      </c>
      <c r="AO74">
        <v>82.5</v>
      </c>
      <c r="AP74">
        <v>65.900000000000006</v>
      </c>
      <c r="AQ74">
        <v>71.7</v>
      </c>
      <c r="AR74">
        <v>78</v>
      </c>
      <c r="AS74">
        <v>93.4</v>
      </c>
      <c r="AT74">
        <v>174.7</v>
      </c>
      <c r="AU74">
        <v>305.89999999999998</v>
      </c>
      <c r="AV74">
        <v>177.5</v>
      </c>
      <c r="AW74">
        <v>136.80000000000001</v>
      </c>
      <c r="AX74">
        <v>110.8</v>
      </c>
      <c r="AY74">
        <v>148.1</v>
      </c>
    </row>
    <row r="75" spans="1:51" x14ac:dyDescent="0.35">
      <c r="A75" t="s">
        <v>186</v>
      </c>
      <c r="B75">
        <f t="shared" si="3"/>
        <v>4</v>
      </c>
      <c r="C75" t="s">
        <v>140</v>
      </c>
      <c r="D75" t="s">
        <v>142</v>
      </c>
      <c r="E75" t="s">
        <v>8</v>
      </c>
      <c r="F75">
        <v>9</v>
      </c>
      <c r="G75">
        <v>53.8</v>
      </c>
      <c r="H75">
        <v>67.7</v>
      </c>
      <c r="I75">
        <v>64</v>
      </c>
      <c r="J75">
        <v>44.9</v>
      </c>
      <c r="K75">
        <v>51.1</v>
      </c>
      <c r="L75">
        <v>40.799999999999997</v>
      </c>
      <c r="M75">
        <v>40.299999999999997</v>
      </c>
      <c r="N75">
        <v>38.5</v>
      </c>
      <c r="O75">
        <v>39.5</v>
      </c>
      <c r="P75">
        <v>35.5</v>
      </c>
      <c r="Q75">
        <v>47.9</v>
      </c>
      <c r="R75">
        <v>51.9</v>
      </c>
      <c r="S75">
        <v>49.7</v>
      </c>
      <c r="T75">
        <v>56.5</v>
      </c>
      <c r="U75">
        <v>51.5</v>
      </c>
      <c r="V75">
        <v>54.2</v>
      </c>
      <c r="W75">
        <v>54.5</v>
      </c>
      <c r="X75">
        <v>51.2</v>
      </c>
      <c r="Y75">
        <v>61.9</v>
      </c>
      <c r="Z75">
        <v>76.8</v>
      </c>
      <c r="AA75">
        <v>74.3</v>
      </c>
      <c r="AB75">
        <v>73.2</v>
      </c>
      <c r="AC75">
        <v>81.099999999999994</v>
      </c>
      <c r="AD75">
        <v>69.099999999999994</v>
      </c>
      <c r="AE75">
        <v>62.4</v>
      </c>
      <c r="AF75">
        <v>59.6</v>
      </c>
      <c r="AG75">
        <v>66.3</v>
      </c>
      <c r="AH75">
        <v>75.400000000000006</v>
      </c>
      <c r="AI75">
        <v>68.3</v>
      </c>
      <c r="AJ75">
        <v>67.8</v>
      </c>
      <c r="AK75">
        <v>55.9</v>
      </c>
      <c r="AL75">
        <v>46.2</v>
      </c>
      <c r="AM75">
        <v>59.7</v>
      </c>
      <c r="AN75">
        <v>57.5</v>
      </c>
      <c r="AO75">
        <v>64.099999999999994</v>
      </c>
      <c r="AP75">
        <v>55.7</v>
      </c>
      <c r="AQ75">
        <v>124.3</v>
      </c>
      <c r="AR75">
        <v>151.80000000000001</v>
      </c>
      <c r="AS75">
        <v>203.8</v>
      </c>
      <c r="AT75">
        <v>481.4</v>
      </c>
      <c r="AU75">
        <v>598.20000000000005</v>
      </c>
      <c r="AV75">
        <v>237.1</v>
      </c>
      <c r="AW75">
        <v>139.1</v>
      </c>
      <c r="AX75">
        <v>127.3</v>
      </c>
      <c r="AY75">
        <v>140.30000000000001</v>
      </c>
    </row>
    <row r="76" spans="1:51" x14ac:dyDescent="0.35">
      <c r="A76" t="s">
        <v>186</v>
      </c>
      <c r="B76">
        <f t="shared" si="3"/>
        <v>4</v>
      </c>
      <c r="C76" t="s">
        <v>140</v>
      </c>
      <c r="D76" t="s">
        <v>142</v>
      </c>
      <c r="E76" t="s">
        <v>7</v>
      </c>
      <c r="F76">
        <v>8</v>
      </c>
      <c r="G76">
        <v>16.600000000000001</v>
      </c>
      <c r="H76">
        <v>18.600000000000001</v>
      </c>
      <c r="I76">
        <v>17.5</v>
      </c>
      <c r="J76">
        <v>13.7</v>
      </c>
      <c r="K76">
        <v>19.3</v>
      </c>
      <c r="L76">
        <v>18</v>
      </c>
      <c r="M76">
        <v>18.8</v>
      </c>
      <c r="N76">
        <v>14</v>
      </c>
      <c r="O76">
        <v>12.6</v>
      </c>
      <c r="P76">
        <v>16.2</v>
      </c>
      <c r="Q76">
        <v>22.9</v>
      </c>
      <c r="R76">
        <v>28.6</v>
      </c>
      <c r="S76">
        <v>28.5</v>
      </c>
      <c r="T76">
        <v>31.1</v>
      </c>
      <c r="U76">
        <v>24.5</v>
      </c>
      <c r="V76">
        <v>26.4</v>
      </c>
      <c r="W76">
        <v>25.7</v>
      </c>
      <c r="X76">
        <v>32.5</v>
      </c>
      <c r="Y76">
        <v>28.3</v>
      </c>
      <c r="Z76">
        <v>28.8</v>
      </c>
      <c r="AA76">
        <v>35.299999999999997</v>
      </c>
      <c r="AB76">
        <v>37.700000000000003</v>
      </c>
      <c r="AC76">
        <v>40.6</v>
      </c>
      <c r="AD76">
        <v>36.799999999999997</v>
      </c>
      <c r="AE76">
        <v>37.299999999999997</v>
      </c>
      <c r="AF76">
        <v>32.299999999999997</v>
      </c>
      <c r="AG76">
        <v>34.9</v>
      </c>
      <c r="AH76">
        <v>32.700000000000003</v>
      </c>
      <c r="AI76">
        <v>31.8</v>
      </c>
      <c r="AJ76">
        <v>21.2</v>
      </c>
      <c r="AK76">
        <v>14.7</v>
      </c>
      <c r="AL76">
        <v>10.3</v>
      </c>
      <c r="AM76">
        <v>7.4</v>
      </c>
      <c r="AN76">
        <v>4.5</v>
      </c>
      <c r="AO76">
        <v>3.9</v>
      </c>
      <c r="AP76">
        <v>11.2</v>
      </c>
      <c r="AQ76">
        <v>49.2</v>
      </c>
      <c r="AR76">
        <v>38.200000000000003</v>
      </c>
      <c r="AS76">
        <v>58</v>
      </c>
      <c r="AT76">
        <v>169</v>
      </c>
      <c r="AU76">
        <v>69.7</v>
      </c>
      <c r="AV76">
        <v>27</v>
      </c>
      <c r="AW76">
        <v>5.7</v>
      </c>
      <c r="AX76">
        <v>3.6</v>
      </c>
      <c r="AY76">
        <v>3.3</v>
      </c>
    </row>
    <row r="77" spans="1:51" x14ac:dyDescent="0.35">
      <c r="A77" t="s">
        <v>186</v>
      </c>
      <c r="B77">
        <f t="shared" si="3"/>
        <v>4</v>
      </c>
      <c r="C77" t="s">
        <v>140</v>
      </c>
      <c r="D77" t="s">
        <v>142</v>
      </c>
      <c r="E77" t="s">
        <v>4</v>
      </c>
      <c r="F77">
        <v>5</v>
      </c>
      <c r="G77">
        <v>217.5</v>
      </c>
      <c r="H77">
        <v>236.8</v>
      </c>
      <c r="I77">
        <v>185.7</v>
      </c>
      <c r="J77">
        <v>138.4</v>
      </c>
      <c r="K77">
        <v>122.3</v>
      </c>
      <c r="L77">
        <v>100</v>
      </c>
      <c r="M77">
        <v>83.1</v>
      </c>
      <c r="N77">
        <v>104.4</v>
      </c>
      <c r="O77">
        <v>103.4</v>
      </c>
      <c r="P77">
        <v>64</v>
      </c>
      <c r="Q77">
        <v>76.400000000000006</v>
      </c>
      <c r="R77">
        <v>85.6</v>
      </c>
      <c r="S77">
        <v>164.4</v>
      </c>
      <c r="T77">
        <v>161.9</v>
      </c>
      <c r="U77">
        <v>112.5</v>
      </c>
      <c r="V77">
        <v>63.3</v>
      </c>
      <c r="W77">
        <v>70.900000000000006</v>
      </c>
      <c r="X77">
        <v>120</v>
      </c>
      <c r="Y77">
        <v>185.1</v>
      </c>
      <c r="Z77">
        <v>235.5</v>
      </c>
      <c r="AA77">
        <v>188.8</v>
      </c>
      <c r="AB77">
        <v>172.3</v>
      </c>
      <c r="AC77">
        <v>195.2</v>
      </c>
      <c r="AD77">
        <v>119</v>
      </c>
      <c r="AE77">
        <v>116.4</v>
      </c>
      <c r="AF77">
        <v>41.3</v>
      </c>
      <c r="AG77">
        <v>94.9</v>
      </c>
      <c r="AH77">
        <v>119.8</v>
      </c>
      <c r="AI77">
        <v>138.80000000000001</v>
      </c>
      <c r="AJ77">
        <v>125.3</v>
      </c>
      <c r="AK77">
        <v>80.5</v>
      </c>
      <c r="AL77">
        <v>57.1</v>
      </c>
      <c r="AM77">
        <v>69.900000000000006</v>
      </c>
      <c r="AN77">
        <v>100.1</v>
      </c>
      <c r="AO77">
        <v>133</v>
      </c>
      <c r="AP77">
        <v>237.6</v>
      </c>
      <c r="AQ77">
        <v>415.4</v>
      </c>
      <c r="AR77">
        <v>365.6</v>
      </c>
      <c r="AS77">
        <v>442.4</v>
      </c>
      <c r="AT77">
        <v>474.3</v>
      </c>
      <c r="AU77">
        <v>537.9</v>
      </c>
      <c r="AV77">
        <v>785.7</v>
      </c>
      <c r="AW77">
        <v>592.9</v>
      </c>
      <c r="AX77">
        <v>396.4</v>
      </c>
      <c r="AY77">
        <v>192.6</v>
      </c>
    </row>
    <row r="78" spans="1:51" x14ac:dyDescent="0.35">
      <c r="A78" t="s">
        <v>186</v>
      </c>
      <c r="B78">
        <f t="shared" si="3"/>
        <v>4</v>
      </c>
      <c r="C78" t="s">
        <v>140</v>
      </c>
      <c r="D78" t="s">
        <v>142</v>
      </c>
      <c r="E78" t="s">
        <v>0</v>
      </c>
      <c r="F78">
        <v>1</v>
      </c>
      <c r="G78">
        <v>10.1</v>
      </c>
      <c r="H78">
        <v>18.3</v>
      </c>
      <c r="I78">
        <v>12</v>
      </c>
      <c r="J78">
        <v>6.1</v>
      </c>
      <c r="K78">
        <v>18.2</v>
      </c>
      <c r="L78">
        <v>14.7</v>
      </c>
      <c r="M78">
        <v>14.3</v>
      </c>
      <c r="N78">
        <v>11.5</v>
      </c>
      <c r="O78">
        <v>9.4</v>
      </c>
      <c r="P78">
        <v>13.5</v>
      </c>
      <c r="Q78">
        <v>27</v>
      </c>
      <c r="R78">
        <v>34.6</v>
      </c>
      <c r="S78">
        <v>29.5</v>
      </c>
      <c r="T78">
        <v>36.1</v>
      </c>
      <c r="U78">
        <v>23.3</v>
      </c>
      <c r="V78">
        <v>40.799999999999997</v>
      </c>
      <c r="W78">
        <v>30.5</v>
      </c>
      <c r="X78">
        <v>39</v>
      </c>
      <c r="Y78">
        <v>41.5</v>
      </c>
      <c r="Z78">
        <v>35.299999999999997</v>
      </c>
      <c r="AA78">
        <v>33.1</v>
      </c>
      <c r="AB78">
        <v>36.299999999999997</v>
      </c>
      <c r="AC78">
        <v>40.1</v>
      </c>
      <c r="AD78">
        <v>26.4</v>
      </c>
      <c r="AE78">
        <v>39.4</v>
      </c>
      <c r="AF78">
        <v>44.3</v>
      </c>
      <c r="AG78">
        <v>43.9</v>
      </c>
      <c r="AH78">
        <v>41</v>
      </c>
      <c r="AI78">
        <v>36.9</v>
      </c>
      <c r="AJ78">
        <v>26.5</v>
      </c>
      <c r="AK78">
        <v>18.100000000000001</v>
      </c>
      <c r="AL78">
        <v>11.3</v>
      </c>
      <c r="AM78">
        <v>18</v>
      </c>
      <c r="AN78">
        <v>9.4</v>
      </c>
      <c r="AO78">
        <v>6.3</v>
      </c>
      <c r="AP78">
        <v>6.7</v>
      </c>
      <c r="AQ78">
        <v>8.6</v>
      </c>
      <c r="AR78">
        <v>9.5</v>
      </c>
      <c r="AS78">
        <v>9.8000000000000007</v>
      </c>
      <c r="AT78">
        <v>10.8</v>
      </c>
      <c r="AU78">
        <v>28.5</v>
      </c>
      <c r="AV78">
        <v>27.7</v>
      </c>
      <c r="AW78">
        <v>26.4</v>
      </c>
      <c r="AX78">
        <v>18.3</v>
      </c>
      <c r="AY78">
        <v>12.1</v>
      </c>
    </row>
    <row r="79" spans="1:51" x14ac:dyDescent="0.35">
      <c r="A79" t="s">
        <v>188</v>
      </c>
      <c r="B79">
        <f t="shared" si="3"/>
        <v>1</v>
      </c>
      <c r="C79" t="s">
        <v>143</v>
      </c>
      <c r="D79" t="s">
        <v>142</v>
      </c>
      <c r="E79" t="s">
        <v>179</v>
      </c>
      <c r="F79" s="17">
        <v>305</v>
      </c>
      <c r="G79" s="17">
        <v>406.70000000000005</v>
      </c>
      <c r="H79" s="17">
        <v>566.9</v>
      </c>
      <c r="I79" s="17">
        <v>524</v>
      </c>
      <c r="J79" s="17">
        <v>590.5</v>
      </c>
      <c r="K79" s="17">
        <v>539.9000000000002</v>
      </c>
      <c r="L79" s="17">
        <v>495.20000000000005</v>
      </c>
      <c r="M79" s="17">
        <v>460.8</v>
      </c>
      <c r="N79" s="17">
        <v>522.4</v>
      </c>
      <c r="O79" s="17">
        <v>557.60000000000014</v>
      </c>
      <c r="P79" s="17">
        <v>567.10000000000014</v>
      </c>
      <c r="Q79" s="17">
        <v>596.70000000000005</v>
      </c>
      <c r="R79" s="17">
        <v>631.30000000000018</v>
      </c>
      <c r="S79" s="17">
        <v>650.00000000000011</v>
      </c>
      <c r="T79" s="17">
        <v>640.79999999999995</v>
      </c>
      <c r="U79" s="17">
        <v>615.60000000000014</v>
      </c>
      <c r="V79" s="17">
        <v>531.20000000000005</v>
      </c>
      <c r="W79" s="17">
        <v>623.69999999999982</v>
      </c>
      <c r="X79" s="17">
        <v>526.5</v>
      </c>
      <c r="Y79" s="17">
        <v>576.20000000000005</v>
      </c>
      <c r="Z79" s="17">
        <v>492.5</v>
      </c>
      <c r="AA79" s="17">
        <v>623.70000000000005</v>
      </c>
      <c r="AB79" s="17">
        <v>635.4000000000002</v>
      </c>
      <c r="AC79" s="17">
        <v>670.5</v>
      </c>
      <c r="AD79" s="17">
        <v>725.49999999999977</v>
      </c>
      <c r="AE79" s="17">
        <v>747.49999999999977</v>
      </c>
      <c r="AF79" s="17">
        <v>798.6</v>
      </c>
      <c r="AG79" s="17">
        <v>909.8</v>
      </c>
      <c r="AH79" s="17">
        <v>1003</v>
      </c>
      <c r="AI79" s="17">
        <v>1057.8999999999999</v>
      </c>
      <c r="AJ79" s="17">
        <v>826.80000000000007</v>
      </c>
      <c r="AK79" s="17">
        <v>1095.8999999999999</v>
      </c>
      <c r="AL79" s="17">
        <v>1127.0999999999999</v>
      </c>
      <c r="AM79" s="17">
        <v>1096.5000000000002</v>
      </c>
      <c r="AN79" s="17">
        <v>1306.3</v>
      </c>
      <c r="AO79" s="17">
        <v>1273.6999999999998</v>
      </c>
      <c r="AP79" s="17">
        <v>1258.6999999999998</v>
      </c>
      <c r="AQ79" s="17">
        <v>1338.4</v>
      </c>
      <c r="AR79" s="17">
        <v>1827.0999999999997</v>
      </c>
      <c r="AS79" s="17">
        <v>2189.9999999999995</v>
      </c>
      <c r="AT79" s="17">
        <v>2167.1999999999998</v>
      </c>
      <c r="AU79" s="17">
        <v>2845.7</v>
      </c>
      <c r="AV79" s="17">
        <v>3794.7999999999997</v>
      </c>
      <c r="AW79" s="17">
        <v>1771.0000000000005</v>
      </c>
      <c r="AX79" s="17">
        <v>2287.1999999999998</v>
      </c>
      <c r="AY79" s="17">
        <v>2796.9</v>
      </c>
    </row>
    <row r="80" spans="1:51" x14ac:dyDescent="0.35">
      <c r="A80" t="s">
        <v>187</v>
      </c>
      <c r="B80">
        <f t="shared" si="3"/>
        <v>2</v>
      </c>
      <c r="C80" t="s">
        <v>143</v>
      </c>
      <c r="D80" t="s">
        <v>142</v>
      </c>
      <c r="E80" t="s">
        <v>308</v>
      </c>
      <c r="F80">
        <v>303</v>
      </c>
      <c r="G80">
        <v>288</v>
      </c>
      <c r="H80">
        <v>351</v>
      </c>
      <c r="I80">
        <v>354</v>
      </c>
      <c r="J80">
        <v>380</v>
      </c>
      <c r="K80">
        <v>351</v>
      </c>
      <c r="L80">
        <v>322</v>
      </c>
      <c r="M80">
        <v>314</v>
      </c>
      <c r="N80">
        <v>342</v>
      </c>
      <c r="O80">
        <v>360</v>
      </c>
      <c r="P80">
        <v>381</v>
      </c>
      <c r="Q80">
        <v>416</v>
      </c>
      <c r="R80">
        <v>435</v>
      </c>
      <c r="S80">
        <v>473</v>
      </c>
      <c r="T80">
        <v>475</v>
      </c>
      <c r="U80">
        <v>433</v>
      </c>
      <c r="V80">
        <v>405</v>
      </c>
      <c r="W80">
        <v>431</v>
      </c>
      <c r="X80">
        <v>376</v>
      </c>
      <c r="Y80">
        <v>428</v>
      </c>
      <c r="Z80">
        <v>359</v>
      </c>
      <c r="AA80">
        <v>455</v>
      </c>
      <c r="AB80">
        <v>447</v>
      </c>
      <c r="AC80">
        <v>463</v>
      </c>
      <c r="AD80">
        <v>489</v>
      </c>
      <c r="AE80">
        <v>497</v>
      </c>
      <c r="AF80">
        <v>574</v>
      </c>
      <c r="AG80">
        <v>640</v>
      </c>
      <c r="AH80">
        <v>660</v>
      </c>
      <c r="AI80">
        <v>708</v>
      </c>
      <c r="AJ80">
        <v>608</v>
      </c>
      <c r="AK80">
        <v>812</v>
      </c>
      <c r="AL80">
        <v>847</v>
      </c>
      <c r="AM80">
        <v>840</v>
      </c>
      <c r="AN80">
        <v>1056</v>
      </c>
      <c r="AO80">
        <v>965</v>
      </c>
      <c r="AP80">
        <v>1044</v>
      </c>
      <c r="AQ80">
        <v>1138</v>
      </c>
      <c r="AR80">
        <v>1455</v>
      </c>
      <c r="AS80">
        <v>1871</v>
      </c>
      <c r="AT80">
        <v>1844</v>
      </c>
      <c r="AU80">
        <v>2683</v>
      </c>
      <c r="AV80">
        <v>3396</v>
      </c>
      <c r="AW80">
        <v>1422</v>
      </c>
      <c r="AX80">
        <v>1722</v>
      </c>
      <c r="AY80">
        <v>2115</v>
      </c>
    </row>
    <row r="81" spans="1:51" x14ac:dyDescent="0.35">
      <c r="A81" t="s">
        <v>187</v>
      </c>
      <c r="B81">
        <f t="shared" si="3"/>
        <v>2</v>
      </c>
      <c r="C81" t="s">
        <v>143</v>
      </c>
      <c r="D81" t="s">
        <v>142</v>
      </c>
      <c r="E81" t="s">
        <v>169</v>
      </c>
      <c r="F81">
        <v>223</v>
      </c>
      <c r="G81">
        <v>226</v>
      </c>
      <c r="H81">
        <v>346</v>
      </c>
      <c r="I81">
        <v>316</v>
      </c>
      <c r="J81">
        <v>373</v>
      </c>
      <c r="K81">
        <v>336</v>
      </c>
      <c r="L81">
        <v>307</v>
      </c>
      <c r="M81">
        <v>274</v>
      </c>
      <c r="N81">
        <v>321</v>
      </c>
      <c r="O81">
        <v>349</v>
      </c>
      <c r="P81">
        <v>344</v>
      </c>
      <c r="Q81">
        <v>355</v>
      </c>
      <c r="R81">
        <v>388</v>
      </c>
      <c r="S81">
        <v>355</v>
      </c>
      <c r="T81">
        <v>366</v>
      </c>
      <c r="U81">
        <v>343</v>
      </c>
      <c r="V81">
        <v>268</v>
      </c>
      <c r="W81">
        <v>371</v>
      </c>
      <c r="X81">
        <v>306</v>
      </c>
      <c r="Y81">
        <v>315</v>
      </c>
      <c r="Z81">
        <v>276</v>
      </c>
      <c r="AA81">
        <v>344</v>
      </c>
      <c r="AB81">
        <v>382</v>
      </c>
      <c r="AC81">
        <v>417</v>
      </c>
      <c r="AD81">
        <v>480</v>
      </c>
      <c r="AE81">
        <v>498</v>
      </c>
      <c r="AF81">
        <v>462</v>
      </c>
      <c r="AG81">
        <v>539</v>
      </c>
      <c r="AH81">
        <v>661</v>
      </c>
      <c r="AI81">
        <v>715</v>
      </c>
      <c r="AJ81">
        <v>508</v>
      </c>
      <c r="AK81">
        <v>664</v>
      </c>
      <c r="AL81">
        <v>716</v>
      </c>
      <c r="AM81">
        <v>693</v>
      </c>
      <c r="AN81">
        <v>762</v>
      </c>
      <c r="AO81">
        <v>828</v>
      </c>
      <c r="AP81">
        <v>745</v>
      </c>
      <c r="AQ81">
        <v>641</v>
      </c>
      <c r="AR81">
        <v>937</v>
      </c>
      <c r="AS81">
        <v>1081</v>
      </c>
      <c r="AT81">
        <v>1187</v>
      </c>
      <c r="AU81">
        <v>1221</v>
      </c>
      <c r="AV81">
        <v>1882</v>
      </c>
      <c r="AW81">
        <v>1087</v>
      </c>
      <c r="AX81">
        <v>1391</v>
      </c>
      <c r="AY81">
        <v>1677</v>
      </c>
    </row>
    <row r="82" spans="1:51" x14ac:dyDescent="0.35">
      <c r="A82" t="s">
        <v>187</v>
      </c>
      <c r="B82">
        <f t="shared" si="3"/>
        <v>2</v>
      </c>
      <c r="C82" t="s">
        <v>143</v>
      </c>
      <c r="D82" t="s">
        <v>142</v>
      </c>
      <c r="E82" t="s">
        <v>178</v>
      </c>
      <c r="F82">
        <v>222</v>
      </c>
      <c r="G82">
        <v>89</v>
      </c>
      <c r="H82">
        <v>158</v>
      </c>
      <c r="I82">
        <v>138</v>
      </c>
      <c r="J82">
        <v>160</v>
      </c>
      <c r="K82">
        <v>137</v>
      </c>
      <c r="L82">
        <v>119</v>
      </c>
      <c r="M82">
        <v>107</v>
      </c>
      <c r="N82">
        <v>132</v>
      </c>
      <c r="O82">
        <v>152</v>
      </c>
      <c r="P82">
        <v>139</v>
      </c>
      <c r="Q82">
        <v>137</v>
      </c>
      <c r="R82">
        <v>153</v>
      </c>
      <c r="S82">
        <v>156</v>
      </c>
      <c r="T82">
        <v>151</v>
      </c>
      <c r="U82">
        <v>139</v>
      </c>
      <c r="V82">
        <v>107</v>
      </c>
      <c r="W82">
        <v>127</v>
      </c>
      <c r="X82">
        <v>112</v>
      </c>
      <c r="Y82">
        <v>108</v>
      </c>
      <c r="Z82">
        <v>110</v>
      </c>
      <c r="AA82">
        <v>152</v>
      </c>
      <c r="AB82">
        <v>169</v>
      </c>
      <c r="AC82">
        <v>196</v>
      </c>
      <c r="AD82">
        <v>226</v>
      </c>
      <c r="AE82">
        <v>237</v>
      </c>
      <c r="AF82">
        <v>211</v>
      </c>
      <c r="AG82">
        <v>248</v>
      </c>
      <c r="AH82">
        <v>312</v>
      </c>
      <c r="AI82">
        <v>319</v>
      </c>
      <c r="AJ82">
        <v>215</v>
      </c>
      <c r="AK82">
        <v>301</v>
      </c>
      <c r="AL82">
        <v>342</v>
      </c>
      <c r="AM82">
        <v>340</v>
      </c>
      <c r="AN82">
        <v>377</v>
      </c>
      <c r="AO82">
        <v>412</v>
      </c>
      <c r="AP82">
        <v>318</v>
      </c>
      <c r="AQ82">
        <v>306</v>
      </c>
      <c r="AR82">
        <v>501</v>
      </c>
      <c r="AS82">
        <v>563</v>
      </c>
      <c r="AT82">
        <v>673</v>
      </c>
      <c r="AU82">
        <v>589</v>
      </c>
      <c r="AV82">
        <v>822</v>
      </c>
      <c r="AW82">
        <v>445</v>
      </c>
      <c r="AX82">
        <v>634</v>
      </c>
      <c r="AY82">
        <v>750</v>
      </c>
    </row>
    <row r="83" spans="1:51" x14ac:dyDescent="0.35">
      <c r="A83" t="s">
        <v>188</v>
      </c>
      <c r="B83">
        <f t="shared" si="3"/>
        <v>1</v>
      </c>
      <c r="C83" t="s">
        <v>143</v>
      </c>
      <c r="D83" t="s">
        <v>142</v>
      </c>
      <c r="E83" t="s">
        <v>180</v>
      </c>
      <c r="F83">
        <v>221</v>
      </c>
      <c r="G83">
        <v>514</v>
      </c>
      <c r="H83">
        <v>697</v>
      </c>
      <c r="I83">
        <v>670</v>
      </c>
      <c r="J83">
        <v>753</v>
      </c>
      <c r="K83">
        <v>687</v>
      </c>
      <c r="L83">
        <v>629</v>
      </c>
      <c r="M83">
        <v>588</v>
      </c>
      <c r="N83">
        <v>663</v>
      </c>
      <c r="O83">
        <v>709</v>
      </c>
      <c r="P83">
        <v>725</v>
      </c>
      <c r="Q83">
        <v>771</v>
      </c>
      <c r="R83">
        <v>823</v>
      </c>
      <c r="S83">
        <v>828</v>
      </c>
      <c r="T83">
        <v>841</v>
      </c>
      <c r="U83">
        <v>776</v>
      </c>
      <c r="V83">
        <v>673</v>
      </c>
      <c r="W83">
        <v>802</v>
      </c>
      <c r="X83">
        <v>682</v>
      </c>
      <c r="Y83">
        <v>743</v>
      </c>
      <c r="Z83">
        <v>635</v>
      </c>
      <c r="AA83">
        <v>799</v>
      </c>
      <c r="AB83">
        <v>829</v>
      </c>
      <c r="AC83">
        <v>880</v>
      </c>
      <c r="AD83">
        <v>969</v>
      </c>
      <c r="AE83">
        <v>995</v>
      </c>
      <c r="AF83">
        <v>1036</v>
      </c>
      <c r="AG83">
        <v>1179</v>
      </c>
      <c r="AH83">
        <v>1321</v>
      </c>
      <c r="AI83">
        <v>1423</v>
      </c>
      <c r="AJ83">
        <v>1116</v>
      </c>
      <c r="AK83">
        <v>1476</v>
      </c>
      <c r="AL83">
        <v>1563</v>
      </c>
      <c r="AM83">
        <v>1533</v>
      </c>
      <c r="AN83">
        <v>1818</v>
      </c>
      <c r="AO83">
        <v>1793</v>
      </c>
      <c r="AP83">
        <v>1789</v>
      </c>
      <c r="AQ83">
        <v>1779</v>
      </c>
      <c r="AR83">
        <v>2392</v>
      </c>
      <c r="AS83">
        <v>2952</v>
      </c>
      <c r="AT83">
        <v>3031</v>
      </c>
      <c r="AU83">
        <v>3904</v>
      </c>
      <c r="AV83">
        <v>5278</v>
      </c>
      <c r="AW83">
        <v>2509</v>
      </c>
      <c r="AX83">
        <v>3113</v>
      </c>
      <c r="AY83">
        <v>3792</v>
      </c>
    </row>
    <row r="84" spans="1:51" x14ac:dyDescent="0.35">
      <c r="A84" t="s">
        <v>187</v>
      </c>
      <c r="B84">
        <f t="shared" si="3"/>
        <v>2</v>
      </c>
      <c r="C84" t="s">
        <v>143</v>
      </c>
      <c r="D84" t="s">
        <v>142</v>
      </c>
      <c r="E84" t="s">
        <v>177</v>
      </c>
      <c r="F84">
        <v>220</v>
      </c>
      <c r="G84">
        <v>136</v>
      </c>
      <c r="H84">
        <v>196</v>
      </c>
      <c r="I84">
        <v>187</v>
      </c>
      <c r="J84">
        <v>218</v>
      </c>
      <c r="K84">
        <v>196</v>
      </c>
      <c r="L84">
        <v>183</v>
      </c>
      <c r="M84">
        <v>161</v>
      </c>
      <c r="N84">
        <v>187</v>
      </c>
      <c r="O84">
        <v>200</v>
      </c>
      <c r="P84">
        <v>204</v>
      </c>
      <c r="Q84">
        <v>205</v>
      </c>
      <c r="R84">
        <v>224</v>
      </c>
      <c r="S84">
        <v>187</v>
      </c>
      <c r="T84">
        <v>200</v>
      </c>
      <c r="U84">
        <v>186</v>
      </c>
      <c r="V84">
        <v>143</v>
      </c>
      <c r="W84">
        <v>225</v>
      </c>
      <c r="X84">
        <v>181</v>
      </c>
      <c r="Y84">
        <v>182</v>
      </c>
      <c r="Z84">
        <v>149</v>
      </c>
      <c r="AA84">
        <v>168</v>
      </c>
      <c r="AB84">
        <v>186</v>
      </c>
      <c r="AC84">
        <v>195</v>
      </c>
      <c r="AD84">
        <v>225</v>
      </c>
      <c r="AE84">
        <v>234</v>
      </c>
      <c r="AF84">
        <v>219</v>
      </c>
      <c r="AG84">
        <v>253</v>
      </c>
      <c r="AH84">
        <v>307</v>
      </c>
      <c r="AI84">
        <v>341</v>
      </c>
      <c r="AJ84">
        <v>246</v>
      </c>
      <c r="AK84">
        <v>305</v>
      </c>
      <c r="AL84">
        <v>315</v>
      </c>
      <c r="AM84">
        <v>307</v>
      </c>
      <c r="AN84">
        <v>363</v>
      </c>
      <c r="AO84">
        <v>374</v>
      </c>
      <c r="AP84">
        <v>368</v>
      </c>
      <c r="AQ84">
        <v>264</v>
      </c>
      <c r="AR84">
        <v>317</v>
      </c>
      <c r="AS84">
        <v>356</v>
      </c>
      <c r="AT84">
        <v>429</v>
      </c>
      <c r="AU84">
        <v>462</v>
      </c>
      <c r="AV84">
        <v>755</v>
      </c>
      <c r="AW84">
        <v>535</v>
      </c>
      <c r="AX84">
        <v>596</v>
      </c>
      <c r="AY84">
        <v>724</v>
      </c>
    </row>
    <row r="85" spans="1:51" x14ac:dyDescent="0.35">
      <c r="A85" t="s">
        <v>187</v>
      </c>
      <c r="B85">
        <f t="shared" si="3"/>
        <v>2</v>
      </c>
      <c r="C85" t="s">
        <v>143</v>
      </c>
      <c r="D85" t="s">
        <v>142</v>
      </c>
      <c r="E85" t="s">
        <v>176</v>
      </c>
      <c r="F85">
        <v>219</v>
      </c>
      <c r="G85">
        <v>481</v>
      </c>
      <c r="H85">
        <v>657</v>
      </c>
      <c r="I85">
        <v>624</v>
      </c>
      <c r="J85">
        <v>720</v>
      </c>
      <c r="K85">
        <v>654</v>
      </c>
      <c r="L85">
        <v>610</v>
      </c>
      <c r="M85">
        <v>566</v>
      </c>
      <c r="N85">
        <v>639</v>
      </c>
      <c r="O85">
        <v>680</v>
      </c>
      <c r="P85">
        <v>696</v>
      </c>
      <c r="Q85">
        <v>740</v>
      </c>
      <c r="R85">
        <v>787</v>
      </c>
      <c r="S85">
        <v>794</v>
      </c>
      <c r="T85">
        <v>781</v>
      </c>
      <c r="U85">
        <v>747</v>
      </c>
      <c r="V85">
        <v>650</v>
      </c>
      <c r="W85">
        <v>772</v>
      </c>
      <c r="X85">
        <v>654</v>
      </c>
      <c r="Y85">
        <v>716</v>
      </c>
      <c r="Z85">
        <v>615</v>
      </c>
      <c r="AA85">
        <v>778</v>
      </c>
      <c r="AB85">
        <v>805</v>
      </c>
      <c r="AC85">
        <v>851</v>
      </c>
      <c r="AD85">
        <v>937</v>
      </c>
      <c r="AE85">
        <v>962</v>
      </c>
      <c r="AF85">
        <v>1011</v>
      </c>
      <c r="AG85">
        <v>1148</v>
      </c>
      <c r="AH85">
        <v>1284</v>
      </c>
      <c r="AI85">
        <v>1381</v>
      </c>
      <c r="AJ85">
        <v>1086</v>
      </c>
      <c r="AK85">
        <v>1424</v>
      </c>
      <c r="AL85">
        <v>1497</v>
      </c>
      <c r="AM85">
        <v>1467</v>
      </c>
      <c r="AN85">
        <v>1725</v>
      </c>
      <c r="AO85">
        <v>1724</v>
      </c>
      <c r="AP85">
        <v>1732</v>
      </c>
      <c r="AQ85">
        <v>1730</v>
      </c>
      <c r="AR85">
        <v>2346</v>
      </c>
      <c r="AS85">
        <v>2901</v>
      </c>
      <c r="AT85">
        <v>2995</v>
      </c>
      <c r="AU85">
        <v>3830</v>
      </c>
      <c r="AV85">
        <v>5139</v>
      </c>
      <c r="AW85">
        <v>2412</v>
      </c>
      <c r="AX85">
        <v>3026</v>
      </c>
      <c r="AY85">
        <v>3707</v>
      </c>
    </row>
    <row r="86" spans="1:51" x14ac:dyDescent="0.35">
      <c r="A86" t="s">
        <v>187</v>
      </c>
      <c r="B86">
        <f t="shared" si="3"/>
        <v>2</v>
      </c>
      <c r="C86" t="s">
        <v>143</v>
      </c>
      <c r="D86" t="s">
        <v>142</v>
      </c>
      <c r="E86" t="s">
        <v>175</v>
      </c>
      <c r="F86">
        <v>218</v>
      </c>
      <c r="G86">
        <v>134</v>
      </c>
      <c r="H86">
        <v>194</v>
      </c>
      <c r="I86">
        <v>184</v>
      </c>
      <c r="J86">
        <v>215</v>
      </c>
      <c r="K86">
        <v>194</v>
      </c>
      <c r="L86">
        <v>181</v>
      </c>
      <c r="M86">
        <v>159</v>
      </c>
      <c r="N86">
        <v>185</v>
      </c>
      <c r="O86">
        <v>197</v>
      </c>
      <c r="P86">
        <v>202</v>
      </c>
      <c r="Q86">
        <v>203</v>
      </c>
      <c r="R86">
        <v>222</v>
      </c>
      <c r="S86">
        <v>184</v>
      </c>
      <c r="T86">
        <v>197</v>
      </c>
      <c r="U86">
        <v>183</v>
      </c>
      <c r="V86">
        <v>140</v>
      </c>
      <c r="W86">
        <v>220</v>
      </c>
      <c r="X86">
        <v>176</v>
      </c>
      <c r="Y86">
        <v>179</v>
      </c>
      <c r="Z86">
        <v>147</v>
      </c>
      <c r="AA86">
        <v>165</v>
      </c>
      <c r="AB86">
        <v>183</v>
      </c>
      <c r="AC86">
        <v>192</v>
      </c>
      <c r="AD86">
        <v>221</v>
      </c>
      <c r="AE86">
        <v>231</v>
      </c>
      <c r="AF86">
        <v>215</v>
      </c>
      <c r="AG86">
        <v>247</v>
      </c>
      <c r="AH86">
        <v>301</v>
      </c>
      <c r="AI86">
        <v>336</v>
      </c>
      <c r="AJ86">
        <v>242</v>
      </c>
      <c r="AK86">
        <v>288</v>
      </c>
      <c r="AL86">
        <v>296</v>
      </c>
      <c r="AM86">
        <v>279</v>
      </c>
      <c r="AN86">
        <v>302</v>
      </c>
      <c r="AO86">
        <v>338</v>
      </c>
      <c r="AP86">
        <v>346</v>
      </c>
      <c r="AQ86">
        <v>247</v>
      </c>
      <c r="AR86">
        <v>295</v>
      </c>
      <c r="AS86">
        <v>338</v>
      </c>
      <c r="AT86">
        <v>421</v>
      </c>
      <c r="AU86">
        <v>441</v>
      </c>
      <c r="AV86">
        <v>726</v>
      </c>
      <c r="AW86">
        <v>514</v>
      </c>
      <c r="AX86">
        <v>569</v>
      </c>
      <c r="AY86">
        <v>695</v>
      </c>
    </row>
    <row r="87" spans="1:51" x14ac:dyDescent="0.35">
      <c r="A87" t="s">
        <v>187</v>
      </c>
      <c r="B87">
        <f t="shared" si="3"/>
        <v>2</v>
      </c>
      <c r="C87" t="s">
        <v>143</v>
      </c>
      <c r="D87" t="s">
        <v>142</v>
      </c>
      <c r="E87" t="s">
        <v>174</v>
      </c>
      <c r="F87">
        <v>217</v>
      </c>
      <c r="G87">
        <v>132</v>
      </c>
      <c r="H87">
        <v>191</v>
      </c>
      <c r="I87">
        <v>181</v>
      </c>
      <c r="J87">
        <v>212</v>
      </c>
      <c r="K87">
        <v>191</v>
      </c>
      <c r="L87">
        <v>178</v>
      </c>
      <c r="M87">
        <v>156</v>
      </c>
      <c r="N87">
        <v>182</v>
      </c>
      <c r="O87">
        <v>194</v>
      </c>
      <c r="P87">
        <v>198</v>
      </c>
      <c r="Q87">
        <v>199</v>
      </c>
      <c r="R87">
        <v>218</v>
      </c>
      <c r="S87">
        <v>182</v>
      </c>
      <c r="T87">
        <v>195</v>
      </c>
      <c r="U87">
        <v>181</v>
      </c>
      <c r="V87">
        <v>138</v>
      </c>
      <c r="W87">
        <v>218</v>
      </c>
      <c r="X87">
        <v>174</v>
      </c>
      <c r="Y87">
        <v>177</v>
      </c>
      <c r="Z87">
        <v>145</v>
      </c>
      <c r="AA87">
        <v>163</v>
      </c>
      <c r="AB87">
        <v>181</v>
      </c>
      <c r="AC87">
        <v>189</v>
      </c>
      <c r="AD87">
        <v>218</v>
      </c>
      <c r="AE87">
        <v>228</v>
      </c>
      <c r="AF87">
        <v>211</v>
      </c>
      <c r="AG87">
        <v>243</v>
      </c>
      <c r="AH87">
        <v>296</v>
      </c>
      <c r="AI87">
        <v>332</v>
      </c>
      <c r="AJ87">
        <v>238</v>
      </c>
      <c r="AK87">
        <v>284</v>
      </c>
      <c r="AL87">
        <v>299</v>
      </c>
      <c r="AM87">
        <v>274</v>
      </c>
      <c r="AN87">
        <v>296</v>
      </c>
      <c r="AO87">
        <v>332</v>
      </c>
      <c r="AP87">
        <v>341</v>
      </c>
      <c r="AQ87">
        <v>243</v>
      </c>
      <c r="AR87">
        <v>289</v>
      </c>
      <c r="AS87">
        <v>331</v>
      </c>
      <c r="AT87">
        <v>413</v>
      </c>
      <c r="AU87">
        <v>429</v>
      </c>
      <c r="AV87">
        <v>709</v>
      </c>
      <c r="AW87">
        <v>508</v>
      </c>
      <c r="AX87">
        <v>561</v>
      </c>
      <c r="AY87">
        <v>685</v>
      </c>
    </row>
    <row r="88" spans="1:51" x14ac:dyDescent="0.35">
      <c r="A88" t="s">
        <v>187</v>
      </c>
      <c r="B88">
        <f t="shared" si="3"/>
        <v>2</v>
      </c>
      <c r="C88" t="s">
        <v>143</v>
      </c>
      <c r="D88" t="s">
        <v>142</v>
      </c>
      <c r="E88" t="s">
        <v>173</v>
      </c>
      <c r="F88">
        <v>216</v>
      </c>
      <c r="G88">
        <v>349</v>
      </c>
      <c r="H88">
        <v>465</v>
      </c>
      <c r="I88">
        <v>443</v>
      </c>
      <c r="J88">
        <v>508</v>
      </c>
      <c r="K88">
        <v>463</v>
      </c>
      <c r="L88">
        <v>432</v>
      </c>
      <c r="M88">
        <v>410</v>
      </c>
      <c r="N88">
        <v>457</v>
      </c>
      <c r="O88">
        <v>486</v>
      </c>
      <c r="P88">
        <v>497</v>
      </c>
      <c r="Q88">
        <v>541</v>
      </c>
      <c r="R88">
        <v>569</v>
      </c>
      <c r="S88">
        <v>612</v>
      </c>
      <c r="T88">
        <v>586</v>
      </c>
      <c r="U88">
        <v>566</v>
      </c>
      <c r="V88">
        <v>512</v>
      </c>
      <c r="W88">
        <v>555</v>
      </c>
      <c r="X88">
        <v>480</v>
      </c>
      <c r="Y88">
        <v>539</v>
      </c>
      <c r="Z88">
        <v>470</v>
      </c>
      <c r="AA88">
        <v>615</v>
      </c>
      <c r="AB88">
        <v>624</v>
      </c>
      <c r="AC88">
        <v>662</v>
      </c>
      <c r="AD88">
        <v>719</v>
      </c>
      <c r="AE88">
        <v>734</v>
      </c>
      <c r="AF88">
        <v>800</v>
      </c>
      <c r="AG88">
        <v>905</v>
      </c>
      <c r="AH88">
        <v>987</v>
      </c>
      <c r="AI88">
        <v>1049</v>
      </c>
      <c r="AJ88">
        <v>848</v>
      </c>
      <c r="AK88">
        <v>1140</v>
      </c>
      <c r="AL88">
        <v>1208</v>
      </c>
      <c r="AM88">
        <v>1193</v>
      </c>
      <c r="AN88">
        <v>1429</v>
      </c>
      <c r="AO88">
        <v>1391</v>
      </c>
      <c r="AP88">
        <v>1391</v>
      </c>
      <c r="AQ88">
        <v>1487</v>
      </c>
      <c r="AR88">
        <v>2057</v>
      </c>
      <c r="AS88">
        <v>2570</v>
      </c>
      <c r="AT88">
        <v>2583</v>
      </c>
      <c r="AU88">
        <v>3401</v>
      </c>
      <c r="AV88">
        <v>4431</v>
      </c>
      <c r="AW88">
        <v>1904</v>
      </c>
      <c r="AX88">
        <v>2465</v>
      </c>
      <c r="AY88">
        <v>3022</v>
      </c>
    </row>
    <row r="89" spans="1:51" x14ac:dyDescent="0.35">
      <c r="A89" t="s">
        <v>187</v>
      </c>
      <c r="B89">
        <f t="shared" si="3"/>
        <v>2</v>
      </c>
      <c r="C89" t="s">
        <v>143</v>
      </c>
      <c r="D89" t="s">
        <v>142</v>
      </c>
      <c r="E89" t="s">
        <v>172</v>
      </c>
      <c r="F89">
        <v>215</v>
      </c>
      <c r="G89">
        <v>162</v>
      </c>
      <c r="H89">
        <v>249</v>
      </c>
      <c r="I89">
        <v>217</v>
      </c>
      <c r="J89">
        <v>256</v>
      </c>
      <c r="K89">
        <v>233</v>
      </c>
      <c r="L89">
        <v>218</v>
      </c>
      <c r="M89">
        <v>210</v>
      </c>
      <c r="N89">
        <v>249</v>
      </c>
      <c r="O89">
        <v>266</v>
      </c>
      <c r="P89">
        <v>259</v>
      </c>
      <c r="Q89">
        <v>285</v>
      </c>
      <c r="R89">
        <v>300</v>
      </c>
      <c r="S89">
        <v>303</v>
      </c>
      <c r="T89">
        <v>310</v>
      </c>
      <c r="U89">
        <v>277</v>
      </c>
      <c r="V89">
        <v>240</v>
      </c>
      <c r="W89">
        <v>314</v>
      </c>
      <c r="X89">
        <v>237</v>
      </c>
      <c r="Y89">
        <v>308</v>
      </c>
      <c r="Z89">
        <v>272</v>
      </c>
      <c r="AA89">
        <v>371</v>
      </c>
      <c r="AB89">
        <v>391</v>
      </c>
      <c r="AC89">
        <v>427</v>
      </c>
      <c r="AD89">
        <v>492</v>
      </c>
      <c r="AE89">
        <v>505</v>
      </c>
      <c r="AF89">
        <v>516</v>
      </c>
      <c r="AG89">
        <v>610</v>
      </c>
      <c r="AH89">
        <v>707</v>
      </c>
      <c r="AI89">
        <v>739</v>
      </c>
      <c r="AJ89">
        <v>550</v>
      </c>
      <c r="AK89">
        <v>801</v>
      </c>
      <c r="AL89">
        <v>858</v>
      </c>
      <c r="AM89">
        <v>818</v>
      </c>
      <c r="AN89">
        <v>977</v>
      </c>
      <c r="AO89">
        <v>963</v>
      </c>
      <c r="AP89">
        <v>892</v>
      </c>
      <c r="AQ89">
        <v>969</v>
      </c>
      <c r="AR89">
        <v>1457</v>
      </c>
      <c r="AS89">
        <v>1840</v>
      </c>
      <c r="AT89">
        <v>1846</v>
      </c>
      <c r="AU89">
        <v>2278</v>
      </c>
      <c r="AV89">
        <v>2595</v>
      </c>
      <c r="AW89">
        <v>1231</v>
      </c>
      <c r="AX89">
        <v>1747</v>
      </c>
      <c r="AY89">
        <v>2131</v>
      </c>
    </row>
    <row r="90" spans="1:51" x14ac:dyDescent="0.35">
      <c r="A90" t="s">
        <v>187</v>
      </c>
      <c r="B90">
        <f t="shared" si="3"/>
        <v>2</v>
      </c>
      <c r="C90" t="s">
        <v>143</v>
      </c>
      <c r="D90" t="s">
        <v>142</v>
      </c>
      <c r="E90" t="s">
        <v>171</v>
      </c>
      <c r="F90">
        <v>214</v>
      </c>
      <c r="G90">
        <v>159</v>
      </c>
      <c r="H90">
        <v>244</v>
      </c>
      <c r="I90">
        <v>212</v>
      </c>
      <c r="J90">
        <v>250</v>
      </c>
      <c r="K90">
        <v>225</v>
      </c>
      <c r="L90">
        <v>212</v>
      </c>
      <c r="M90">
        <v>201</v>
      </c>
      <c r="N90">
        <v>241</v>
      </c>
      <c r="O90">
        <v>255</v>
      </c>
      <c r="P90">
        <v>250</v>
      </c>
      <c r="Q90">
        <v>271</v>
      </c>
      <c r="R90">
        <v>281</v>
      </c>
      <c r="S90">
        <v>295</v>
      </c>
      <c r="T90">
        <v>297</v>
      </c>
      <c r="U90">
        <v>266</v>
      </c>
      <c r="V90">
        <v>225</v>
      </c>
      <c r="W90">
        <v>299</v>
      </c>
      <c r="X90">
        <v>226</v>
      </c>
      <c r="Y90">
        <v>299</v>
      </c>
      <c r="Z90">
        <v>263</v>
      </c>
      <c r="AA90">
        <v>360</v>
      </c>
      <c r="AB90">
        <v>376</v>
      </c>
      <c r="AC90">
        <v>411</v>
      </c>
      <c r="AD90">
        <v>476</v>
      </c>
      <c r="AE90">
        <v>488</v>
      </c>
      <c r="AF90">
        <v>499</v>
      </c>
      <c r="AG90">
        <v>592</v>
      </c>
      <c r="AH90">
        <v>681</v>
      </c>
      <c r="AI90">
        <v>715</v>
      </c>
      <c r="AJ90">
        <v>526</v>
      </c>
      <c r="AK90">
        <v>775</v>
      </c>
      <c r="AL90">
        <v>833</v>
      </c>
      <c r="AM90">
        <v>786</v>
      </c>
      <c r="AN90">
        <v>944</v>
      </c>
      <c r="AO90">
        <v>927</v>
      </c>
      <c r="AP90">
        <v>857</v>
      </c>
      <c r="AQ90">
        <v>948</v>
      </c>
      <c r="AR90">
        <v>1430</v>
      </c>
      <c r="AS90">
        <v>1806</v>
      </c>
      <c r="AT90">
        <v>1794</v>
      </c>
      <c r="AU90">
        <v>2203</v>
      </c>
      <c r="AV90">
        <v>2513</v>
      </c>
      <c r="AW90">
        <v>1177</v>
      </c>
      <c r="AX90">
        <v>1681</v>
      </c>
      <c r="AY90">
        <v>2074</v>
      </c>
    </row>
    <row r="91" spans="1:51" x14ac:dyDescent="0.35">
      <c r="A91" t="s">
        <v>187</v>
      </c>
      <c r="B91">
        <f t="shared" si="3"/>
        <v>2</v>
      </c>
      <c r="C91" t="s">
        <v>143</v>
      </c>
      <c r="D91" t="s">
        <v>142</v>
      </c>
      <c r="E91" t="s">
        <v>160</v>
      </c>
      <c r="F91">
        <v>213</v>
      </c>
      <c r="G91">
        <v>77</v>
      </c>
      <c r="H91">
        <v>129</v>
      </c>
      <c r="I91">
        <v>110</v>
      </c>
      <c r="J91">
        <v>130</v>
      </c>
      <c r="K91">
        <v>116</v>
      </c>
      <c r="L91">
        <v>101</v>
      </c>
      <c r="M91">
        <v>99</v>
      </c>
      <c r="N91">
        <v>112</v>
      </c>
      <c r="O91">
        <v>127</v>
      </c>
      <c r="P91">
        <v>116</v>
      </c>
      <c r="Q91">
        <v>124</v>
      </c>
      <c r="R91">
        <v>136</v>
      </c>
      <c r="S91">
        <v>137</v>
      </c>
      <c r="T91">
        <v>132</v>
      </c>
      <c r="U91">
        <v>121</v>
      </c>
      <c r="V91">
        <v>97</v>
      </c>
      <c r="W91">
        <v>116</v>
      </c>
      <c r="X91">
        <v>95</v>
      </c>
      <c r="Y91">
        <v>101</v>
      </c>
      <c r="Z91">
        <v>96</v>
      </c>
      <c r="AA91">
        <v>134</v>
      </c>
      <c r="AB91">
        <v>146</v>
      </c>
      <c r="AC91">
        <v>155</v>
      </c>
      <c r="AD91">
        <v>192</v>
      </c>
      <c r="AE91">
        <v>200</v>
      </c>
      <c r="AF91">
        <v>183</v>
      </c>
      <c r="AG91">
        <v>218</v>
      </c>
      <c r="AH91">
        <v>279</v>
      </c>
      <c r="AI91">
        <v>288</v>
      </c>
      <c r="AJ91">
        <v>196</v>
      </c>
      <c r="AK91">
        <v>279</v>
      </c>
      <c r="AL91">
        <v>320</v>
      </c>
      <c r="AM91">
        <v>315</v>
      </c>
      <c r="AN91">
        <v>342</v>
      </c>
      <c r="AO91">
        <v>355</v>
      </c>
      <c r="AP91">
        <v>293</v>
      </c>
      <c r="AQ91">
        <v>278</v>
      </c>
      <c r="AR91">
        <v>455</v>
      </c>
      <c r="AS91">
        <v>565</v>
      </c>
      <c r="AT91">
        <v>610</v>
      </c>
      <c r="AU91">
        <v>581</v>
      </c>
      <c r="AV91">
        <v>843</v>
      </c>
      <c r="AW91">
        <v>375</v>
      </c>
      <c r="AX91">
        <v>562</v>
      </c>
      <c r="AY91">
        <v>727</v>
      </c>
    </row>
    <row r="92" spans="1:51" x14ac:dyDescent="0.35">
      <c r="A92" t="s">
        <v>187</v>
      </c>
      <c r="B92">
        <f t="shared" si="3"/>
        <v>2</v>
      </c>
      <c r="C92" t="s">
        <v>143</v>
      </c>
      <c r="D92" t="s">
        <v>142</v>
      </c>
      <c r="E92" t="s">
        <v>159</v>
      </c>
      <c r="F92">
        <v>212</v>
      </c>
      <c r="G92">
        <v>85</v>
      </c>
      <c r="H92">
        <v>120</v>
      </c>
      <c r="I92">
        <v>107</v>
      </c>
      <c r="J92">
        <v>125</v>
      </c>
      <c r="K92">
        <v>117</v>
      </c>
      <c r="L92">
        <v>117</v>
      </c>
      <c r="M92">
        <v>116</v>
      </c>
      <c r="N92">
        <v>136</v>
      </c>
      <c r="O92">
        <v>139</v>
      </c>
      <c r="P92">
        <v>143</v>
      </c>
      <c r="Q92">
        <v>160</v>
      </c>
      <c r="R92">
        <v>164</v>
      </c>
      <c r="S92">
        <v>167</v>
      </c>
      <c r="T92">
        <v>179</v>
      </c>
      <c r="U92">
        <v>156</v>
      </c>
      <c r="V92">
        <v>143</v>
      </c>
      <c r="W92">
        <v>199</v>
      </c>
      <c r="X92">
        <v>142</v>
      </c>
      <c r="Y92">
        <v>208</v>
      </c>
      <c r="Z92">
        <v>176</v>
      </c>
      <c r="AA92">
        <v>237</v>
      </c>
      <c r="AB92">
        <v>245</v>
      </c>
      <c r="AC92">
        <v>272</v>
      </c>
      <c r="AD92">
        <v>300</v>
      </c>
      <c r="AE92">
        <v>305</v>
      </c>
      <c r="AF92">
        <v>333</v>
      </c>
      <c r="AG92">
        <v>392</v>
      </c>
      <c r="AH92">
        <v>428</v>
      </c>
      <c r="AI92">
        <v>451</v>
      </c>
      <c r="AJ92">
        <v>355</v>
      </c>
      <c r="AK92">
        <v>521</v>
      </c>
      <c r="AL92">
        <v>538</v>
      </c>
      <c r="AM92">
        <v>502</v>
      </c>
      <c r="AN92">
        <v>636</v>
      </c>
      <c r="AO92">
        <v>608</v>
      </c>
      <c r="AP92">
        <v>598</v>
      </c>
      <c r="AQ92">
        <v>691</v>
      </c>
      <c r="AR92">
        <v>1002</v>
      </c>
      <c r="AS92">
        <v>1275</v>
      </c>
      <c r="AT92">
        <v>1236</v>
      </c>
      <c r="AU92">
        <v>1697</v>
      </c>
      <c r="AV92">
        <v>1752</v>
      </c>
      <c r="AW92">
        <v>856</v>
      </c>
      <c r="AX92">
        <v>1185</v>
      </c>
      <c r="AY92">
        <v>1404</v>
      </c>
    </row>
    <row r="93" spans="1:51" x14ac:dyDescent="0.35">
      <c r="A93" t="s">
        <v>187</v>
      </c>
      <c r="B93">
        <f t="shared" si="3"/>
        <v>2</v>
      </c>
      <c r="C93" t="s">
        <v>143</v>
      </c>
      <c r="D93" t="s">
        <v>142</v>
      </c>
      <c r="E93" t="s">
        <v>158</v>
      </c>
      <c r="F93">
        <v>211</v>
      </c>
      <c r="G93">
        <v>82</v>
      </c>
      <c r="H93">
        <v>115</v>
      </c>
      <c r="I93">
        <v>102</v>
      </c>
      <c r="J93">
        <v>120</v>
      </c>
      <c r="K93">
        <v>109</v>
      </c>
      <c r="L93">
        <v>110</v>
      </c>
      <c r="M93">
        <v>108</v>
      </c>
      <c r="N93">
        <v>129</v>
      </c>
      <c r="O93">
        <v>128</v>
      </c>
      <c r="P93">
        <v>134</v>
      </c>
      <c r="Q93">
        <v>147</v>
      </c>
      <c r="R93">
        <v>146</v>
      </c>
      <c r="S93">
        <v>158</v>
      </c>
      <c r="T93">
        <v>165</v>
      </c>
      <c r="U93">
        <v>144</v>
      </c>
      <c r="V93">
        <v>128</v>
      </c>
      <c r="W93">
        <v>183</v>
      </c>
      <c r="X93">
        <v>131</v>
      </c>
      <c r="Y93">
        <v>199</v>
      </c>
      <c r="Z93">
        <v>168</v>
      </c>
      <c r="AA93">
        <v>225</v>
      </c>
      <c r="AB93">
        <v>230</v>
      </c>
      <c r="AC93">
        <v>256</v>
      </c>
      <c r="AD93">
        <v>284</v>
      </c>
      <c r="AE93">
        <v>288</v>
      </c>
      <c r="AF93">
        <v>317</v>
      </c>
      <c r="AG93">
        <v>373</v>
      </c>
      <c r="AH93">
        <v>402</v>
      </c>
      <c r="AI93">
        <v>426</v>
      </c>
      <c r="AJ93">
        <v>330</v>
      </c>
      <c r="AK93">
        <v>496</v>
      </c>
      <c r="AL93">
        <v>514</v>
      </c>
      <c r="AM93">
        <v>470</v>
      </c>
      <c r="AN93">
        <v>603</v>
      </c>
      <c r="AO93">
        <v>572</v>
      </c>
      <c r="AP93">
        <v>564</v>
      </c>
      <c r="AQ93">
        <v>669</v>
      </c>
      <c r="AR93">
        <v>975</v>
      </c>
      <c r="AS93">
        <v>1241</v>
      </c>
      <c r="AT93">
        <v>1183</v>
      </c>
      <c r="AU93">
        <v>1622</v>
      </c>
      <c r="AV93">
        <v>1670</v>
      </c>
      <c r="AW93">
        <v>802</v>
      </c>
      <c r="AX93">
        <v>1119</v>
      </c>
      <c r="AY93">
        <v>1347</v>
      </c>
    </row>
    <row r="94" spans="1:51" x14ac:dyDescent="0.35">
      <c r="A94" t="s">
        <v>187</v>
      </c>
      <c r="B94">
        <f t="shared" si="3"/>
        <v>2</v>
      </c>
      <c r="C94" t="s">
        <v>143</v>
      </c>
      <c r="D94" t="s">
        <v>142</v>
      </c>
      <c r="E94" t="s">
        <v>170</v>
      </c>
      <c r="F94">
        <v>210</v>
      </c>
      <c r="G94">
        <v>392</v>
      </c>
      <c r="H94">
        <v>498</v>
      </c>
      <c r="I94">
        <v>486</v>
      </c>
      <c r="J94">
        <v>559</v>
      </c>
      <c r="K94">
        <v>518</v>
      </c>
      <c r="L94">
        <v>491</v>
      </c>
      <c r="M94">
        <v>459</v>
      </c>
      <c r="N94">
        <v>507</v>
      </c>
      <c r="O94">
        <v>528</v>
      </c>
      <c r="P94">
        <v>556</v>
      </c>
      <c r="Q94">
        <v>603</v>
      </c>
      <c r="R94">
        <v>633</v>
      </c>
      <c r="S94">
        <v>638</v>
      </c>
      <c r="T94">
        <v>630</v>
      </c>
      <c r="U94">
        <v>608</v>
      </c>
      <c r="V94">
        <v>543</v>
      </c>
      <c r="W94">
        <v>646</v>
      </c>
      <c r="X94">
        <v>542</v>
      </c>
      <c r="Y94">
        <v>608</v>
      </c>
      <c r="Z94">
        <v>506</v>
      </c>
      <c r="AA94">
        <v>626</v>
      </c>
      <c r="AB94">
        <v>635</v>
      </c>
      <c r="AC94">
        <v>655</v>
      </c>
      <c r="AD94">
        <v>711</v>
      </c>
      <c r="AE94">
        <v>724</v>
      </c>
      <c r="AF94">
        <v>800</v>
      </c>
      <c r="AG94">
        <v>900</v>
      </c>
      <c r="AH94">
        <v>972</v>
      </c>
      <c r="AI94">
        <v>1062</v>
      </c>
      <c r="AJ94">
        <v>871</v>
      </c>
      <c r="AK94">
        <v>1123</v>
      </c>
      <c r="AL94">
        <v>1154</v>
      </c>
      <c r="AM94">
        <v>1126</v>
      </c>
      <c r="AN94">
        <v>1349</v>
      </c>
      <c r="AO94">
        <v>1312</v>
      </c>
      <c r="AP94">
        <v>1413</v>
      </c>
      <c r="AQ94">
        <v>1424</v>
      </c>
      <c r="AR94">
        <v>1845</v>
      </c>
      <c r="AS94">
        <v>2338</v>
      </c>
      <c r="AT94">
        <v>2322</v>
      </c>
      <c r="AU94">
        <v>3241</v>
      </c>
      <c r="AV94">
        <v>4317</v>
      </c>
      <c r="AW94">
        <v>1967</v>
      </c>
      <c r="AX94">
        <v>2392</v>
      </c>
      <c r="AY94">
        <v>2957</v>
      </c>
    </row>
    <row r="95" spans="1:51" x14ac:dyDescent="0.35">
      <c r="A95" t="s">
        <v>187</v>
      </c>
      <c r="B95">
        <f t="shared" ref="B95:B158" si="4">IF(A95="Minor",4,IF(A95="Intermediate",3,IF(A95="Major",2,IF(A95="Total",1,0))))</f>
        <v>2</v>
      </c>
      <c r="C95" t="s">
        <v>143</v>
      </c>
      <c r="D95" t="s">
        <v>142</v>
      </c>
      <c r="E95" t="s">
        <v>156</v>
      </c>
      <c r="F95">
        <v>209</v>
      </c>
      <c r="G95">
        <v>252</v>
      </c>
      <c r="H95">
        <v>309</v>
      </c>
      <c r="I95">
        <v>305</v>
      </c>
      <c r="J95">
        <v>343</v>
      </c>
      <c r="K95">
        <v>315</v>
      </c>
      <c r="L95">
        <v>299</v>
      </c>
      <c r="M95">
        <v>288</v>
      </c>
      <c r="N95">
        <v>314</v>
      </c>
      <c r="O95">
        <v>327</v>
      </c>
      <c r="P95">
        <v>348</v>
      </c>
      <c r="Q95">
        <v>381</v>
      </c>
      <c r="R95">
        <v>395</v>
      </c>
      <c r="S95">
        <v>436</v>
      </c>
      <c r="T95">
        <v>412</v>
      </c>
      <c r="U95">
        <v>402</v>
      </c>
      <c r="V95">
        <v>379</v>
      </c>
      <c r="W95">
        <v>399</v>
      </c>
      <c r="X95">
        <v>346</v>
      </c>
      <c r="Y95">
        <v>399</v>
      </c>
      <c r="Z95">
        <v>338</v>
      </c>
      <c r="AA95">
        <v>431</v>
      </c>
      <c r="AB95">
        <v>421</v>
      </c>
      <c r="AC95">
        <v>432</v>
      </c>
      <c r="AD95">
        <v>454</v>
      </c>
      <c r="AE95">
        <v>461</v>
      </c>
      <c r="AF95">
        <v>545</v>
      </c>
      <c r="AG95">
        <v>605</v>
      </c>
      <c r="AH95">
        <v>618</v>
      </c>
      <c r="AI95">
        <v>662</v>
      </c>
      <c r="AJ95">
        <v>574</v>
      </c>
      <c r="AK95">
        <v>756</v>
      </c>
      <c r="AL95">
        <v>775</v>
      </c>
      <c r="AM95">
        <v>768</v>
      </c>
      <c r="AN95">
        <v>957</v>
      </c>
      <c r="AO95">
        <v>890</v>
      </c>
      <c r="AP95">
        <v>982</v>
      </c>
      <c r="AQ95">
        <v>1084</v>
      </c>
      <c r="AR95">
        <v>1403</v>
      </c>
      <c r="AS95">
        <v>1813</v>
      </c>
      <c r="AT95">
        <v>1799</v>
      </c>
      <c r="AU95">
        <v>2598</v>
      </c>
      <c r="AV95">
        <v>3241</v>
      </c>
      <c r="AW95">
        <v>1319</v>
      </c>
      <c r="AX95">
        <v>1628</v>
      </c>
      <c r="AY95">
        <v>2020</v>
      </c>
    </row>
    <row r="96" spans="1:51" x14ac:dyDescent="0.35">
      <c r="A96" t="s">
        <v>187</v>
      </c>
      <c r="B96">
        <f t="shared" si="4"/>
        <v>2</v>
      </c>
      <c r="C96" t="s">
        <v>143</v>
      </c>
      <c r="D96" t="s">
        <v>142</v>
      </c>
      <c r="E96" t="s">
        <v>155</v>
      </c>
      <c r="F96">
        <v>208</v>
      </c>
      <c r="G96">
        <v>190</v>
      </c>
      <c r="H96">
        <v>222</v>
      </c>
      <c r="I96">
        <v>231</v>
      </c>
      <c r="J96">
        <v>258</v>
      </c>
      <c r="K96">
        <v>238</v>
      </c>
      <c r="L96">
        <v>220</v>
      </c>
      <c r="M96">
        <v>209</v>
      </c>
      <c r="N96">
        <v>216</v>
      </c>
      <c r="O96">
        <v>231</v>
      </c>
      <c r="P96">
        <v>247</v>
      </c>
      <c r="Q96">
        <v>270</v>
      </c>
      <c r="R96">
        <v>288</v>
      </c>
      <c r="S96">
        <v>317</v>
      </c>
      <c r="T96">
        <v>290</v>
      </c>
      <c r="U96">
        <v>301</v>
      </c>
      <c r="V96">
        <v>288</v>
      </c>
      <c r="W96">
        <v>256</v>
      </c>
      <c r="X96">
        <v>253</v>
      </c>
      <c r="Y96">
        <v>239</v>
      </c>
      <c r="Z96">
        <v>207</v>
      </c>
      <c r="AA96">
        <v>256</v>
      </c>
      <c r="AB96">
        <v>248</v>
      </c>
      <c r="AC96">
        <v>251</v>
      </c>
      <c r="AD96">
        <v>243</v>
      </c>
      <c r="AE96">
        <v>247</v>
      </c>
      <c r="AF96">
        <v>300</v>
      </c>
      <c r="AG96">
        <v>313</v>
      </c>
      <c r="AH96">
        <v>307</v>
      </c>
      <c r="AI96">
        <v>335</v>
      </c>
      <c r="AJ96">
        <v>322</v>
      </c>
      <c r="AK96">
        <v>366</v>
      </c>
      <c r="AL96">
        <v>374</v>
      </c>
      <c r="AM96">
        <v>407</v>
      </c>
      <c r="AN96">
        <v>485</v>
      </c>
      <c r="AO96">
        <v>464</v>
      </c>
      <c r="AP96">
        <v>534</v>
      </c>
      <c r="AQ96">
        <v>539</v>
      </c>
      <c r="AR96">
        <v>627</v>
      </c>
      <c r="AS96">
        <v>764</v>
      </c>
      <c r="AT96">
        <v>789</v>
      </c>
      <c r="AU96">
        <v>1198</v>
      </c>
      <c r="AV96">
        <v>1918</v>
      </c>
      <c r="AW96">
        <v>727</v>
      </c>
      <c r="AX96">
        <v>784</v>
      </c>
      <c r="AY96">
        <v>948</v>
      </c>
    </row>
    <row r="97" spans="1:51" x14ac:dyDescent="0.35">
      <c r="A97" t="s">
        <v>187</v>
      </c>
      <c r="B97">
        <f t="shared" si="4"/>
        <v>2</v>
      </c>
      <c r="C97" t="s">
        <v>143</v>
      </c>
      <c r="D97" t="s">
        <v>142</v>
      </c>
      <c r="E97" t="s">
        <v>154</v>
      </c>
      <c r="F97">
        <v>207</v>
      </c>
      <c r="G97">
        <v>184</v>
      </c>
      <c r="H97">
        <v>214</v>
      </c>
      <c r="I97">
        <v>223</v>
      </c>
      <c r="J97">
        <v>249</v>
      </c>
      <c r="K97">
        <v>227</v>
      </c>
      <c r="L97">
        <v>211</v>
      </c>
      <c r="M97">
        <v>197</v>
      </c>
      <c r="N97">
        <v>205</v>
      </c>
      <c r="O97">
        <v>217</v>
      </c>
      <c r="P97">
        <v>235</v>
      </c>
      <c r="Q97">
        <v>252</v>
      </c>
      <c r="R97">
        <v>265</v>
      </c>
      <c r="S97">
        <v>306</v>
      </c>
      <c r="T97">
        <v>273</v>
      </c>
      <c r="U97">
        <v>287</v>
      </c>
      <c r="V97">
        <v>270</v>
      </c>
      <c r="W97">
        <v>238</v>
      </c>
      <c r="X97">
        <v>241</v>
      </c>
      <c r="Y97">
        <v>228</v>
      </c>
      <c r="Z97">
        <v>196</v>
      </c>
      <c r="AA97">
        <v>242</v>
      </c>
      <c r="AB97">
        <v>230</v>
      </c>
      <c r="AC97">
        <v>232</v>
      </c>
      <c r="AD97">
        <v>224</v>
      </c>
      <c r="AE97">
        <v>226</v>
      </c>
      <c r="AF97">
        <v>280</v>
      </c>
      <c r="AG97">
        <v>290</v>
      </c>
      <c r="AH97">
        <v>275</v>
      </c>
      <c r="AI97">
        <v>306</v>
      </c>
      <c r="AJ97">
        <v>294</v>
      </c>
      <c r="AK97">
        <v>335</v>
      </c>
      <c r="AL97">
        <v>343</v>
      </c>
      <c r="AM97">
        <v>370</v>
      </c>
      <c r="AN97">
        <v>446</v>
      </c>
      <c r="AO97">
        <v>422</v>
      </c>
      <c r="AP97">
        <v>495</v>
      </c>
      <c r="AQ97">
        <v>514</v>
      </c>
      <c r="AR97">
        <v>594</v>
      </c>
      <c r="AS97">
        <v>723</v>
      </c>
      <c r="AT97">
        <v>728</v>
      </c>
      <c r="AU97">
        <v>1112</v>
      </c>
      <c r="AV97">
        <v>1819</v>
      </c>
      <c r="AW97">
        <v>666</v>
      </c>
      <c r="AX97">
        <v>711</v>
      </c>
      <c r="AY97">
        <v>881</v>
      </c>
    </row>
    <row r="98" spans="1:51" x14ac:dyDescent="0.35">
      <c r="A98" t="s">
        <v>187</v>
      </c>
      <c r="B98">
        <f t="shared" si="4"/>
        <v>2</v>
      </c>
      <c r="C98" t="s">
        <v>143</v>
      </c>
      <c r="D98" t="s">
        <v>142</v>
      </c>
      <c r="E98" t="s">
        <v>153</v>
      </c>
      <c r="F98">
        <v>206</v>
      </c>
      <c r="G98">
        <v>183</v>
      </c>
      <c r="H98">
        <v>214</v>
      </c>
      <c r="I98">
        <v>222</v>
      </c>
      <c r="J98">
        <v>247</v>
      </c>
      <c r="K98">
        <v>228</v>
      </c>
      <c r="L98">
        <v>210</v>
      </c>
      <c r="M98">
        <v>199</v>
      </c>
      <c r="N98">
        <v>207</v>
      </c>
      <c r="O98">
        <v>221</v>
      </c>
      <c r="P98">
        <v>237</v>
      </c>
      <c r="Q98">
        <v>259</v>
      </c>
      <c r="R98">
        <v>275</v>
      </c>
      <c r="S98">
        <v>307</v>
      </c>
      <c r="T98">
        <v>278</v>
      </c>
      <c r="U98">
        <v>289</v>
      </c>
      <c r="V98">
        <v>276</v>
      </c>
      <c r="W98">
        <v>242</v>
      </c>
      <c r="X98">
        <v>237</v>
      </c>
      <c r="Y98">
        <v>224</v>
      </c>
      <c r="Z98">
        <v>195</v>
      </c>
      <c r="AA98">
        <v>242</v>
      </c>
      <c r="AB98">
        <v>233</v>
      </c>
      <c r="AC98">
        <v>233</v>
      </c>
      <c r="AD98">
        <v>226</v>
      </c>
      <c r="AE98">
        <v>229</v>
      </c>
      <c r="AF98">
        <v>280</v>
      </c>
      <c r="AG98">
        <v>291</v>
      </c>
      <c r="AH98">
        <v>283</v>
      </c>
      <c r="AI98">
        <v>309</v>
      </c>
      <c r="AJ98">
        <v>299</v>
      </c>
      <c r="AK98">
        <v>339</v>
      </c>
      <c r="AL98">
        <v>346</v>
      </c>
      <c r="AM98">
        <v>379</v>
      </c>
      <c r="AN98">
        <v>455</v>
      </c>
      <c r="AO98">
        <v>432</v>
      </c>
      <c r="AP98">
        <v>503</v>
      </c>
      <c r="AQ98">
        <v>512</v>
      </c>
      <c r="AR98">
        <v>592</v>
      </c>
      <c r="AS98">
        <v>724</v>
      </c>
      <c r="AT98">
        <v>751</v>
      </c>
      <c r="AU98">
        <v>1150</v>
      </c>
      <c r="AV98">
        <v>1862</v>
      </c>
      <c r="AW98">
        <v>689</v>
      </c>
      <c r="AX98">
        <v>745</v>
      </c>
      <c r="AY98">
        <v>912</v>
      </c>
    </row>
    <row r="99" spans="1:51" x14ac:dyDescent="0.35">
      <c r="A99" t="s">
        <v>187</v>
      </c>
      <c r="B99">
        <f t="shared" si="4"/>
        <v>2</v>
      </c>
      <c r="C99" t="s">
        <v>143</v>
      </c>
      <c r="D99" t="s">
        <v>142</v>
      </c>
      <c r="E99" t="s">
        <v>152</v>
      </c>
      <c r="F99">
        <v>205</v>
      </c>
      <c r="G99">
        <v>180</v>
      </c>
      <c r="H99">
        <v>209</v>
      </c>
      <c r="I99">
        <v>217</v>
      </c>
      <c r="J99">
        <v>242</v>
      </c>
      <c r="K99">
        <v>219</v>
      </c>
      <c r="L99">
        <v>204</v>
      </c>
      <c r="M99">
        <v>191</v>
      </c>
      <c r="N99">
        <v>200</v>
      </c>
      <c r="O99">
        <v>210</v>
      </c>
      <c r="P99">
        <v>228</v>
      </c>
      <c r="Q99">
        <v>245</v>
      </c>
      <c r="R99">
        <v>257</v>
      </c>
      <c r="S99">
        <v>299</v>
      </c>
      <c r="T99">
        <v>264</v>
      </c>
      <c r="U99">
        <v>278</v>
      </c>
      <c r="V99">
        <v>261</v>
      </c>
      <c r="W99">
        <v>227</v>
      </c>
      <c r="X99">
        <v>226</v>
      </c>
      <c r="Y99">
        <v>215</v>
      </c>
      <c r="Z99">
        <v>187</v>
      </c>
      <c r="AA99">
        <v>230</v>
      </c>
      <c r="AB99">
        <v>218</v>
      </c>
      <c r="AC99">
        <v>217</v>
      </c>
      <c r="AD99">
        <v>210</v>
      </c>
      <c r="AE99">
        <v>211</v>
      </c>
      <c r="AF99">
        <v>263</v>
      </c>
      <c r="AG99">
        <v>273</v>
      </c>
      <c r="AH99">
        <v>257</v>
      </c>
      <c r="AI99">
        <v>285</v>
      </c>
      <c r="AJ99">
        <v>275</v>
      </c>
      <c r="AK99">
        <v>313</v>
      </c>
      <c r="AL99">
        <v>321</v>
      </c>
      <c r="AM99">
        <v>347</v>
      </c>
      <c r="AN99">
        <v>422</v>
      </c>
      <c r="AO99">
        <v>396</v>
      </c>
      <c r="AP99">
        <v>468</v>
      </c>
      <c r="AQ99">
        <v>491</v>
      </c>
      <c r="AR99">
        <v>565</v>
      </c>
      <c r="AS99">
        <v>690</v>
      </c>
      <c r="AT99">
        <v>699</v>
      </c>
      <c r="AU99">
        <v>1075</v>
      </c>
      <c r="AV99">
        <v>1780</v>
      </c>
      <c r="AW99">
        <v>635</v>
      </c>
      <c r="AX99">
        <v>679</v>
      </c>
      <c r="AY99">
        <v>854</v>
      </c>
    </row>
    <row r="100" spans="1:51" x14ac:dyDescent="0.35">
      <c r="A100" t="s">
        <v>187</v>
      </c>
      <c r="B100">
        <f t="shared" si="4"/>
        <v>2</v>
      </c>
      <c r="C100" t="s">
        <v>143</v>
      </c>
      <c r="D100" t="s">
        <v>142</v>
      </c>
      <c r="E100" t="s">
        <v>151</v>
      </c>
      <c r="F100">
        <v>204</v>
      </c>
      <c r="G100">
        <v>85</v>
      </c>
      <c r="H100">
        <v>112</v>
      </c>
      <c r="I100">
        <v>115</v>
      </c>
      <c r="J100">
        <v>136</v>
      </c>
      <c r="K100">
        <v>128</v>
      </c>
      <c r="L100">
        <v>113</v>
      </c>
      <c r="M100">
        <v>105</v>
      </c>
      <c r="N100">
        <v>112</v>
      </c>
      <c r="O100">
        <v>100</v>
      </c>
      <c r="P100">
        <v>115</v>
      </c>
      <c r="Q100">
        <v>132</v>
      </c>
      <c r="R100">
        <v>132</v>
      </c>
      <c r="S100">
        <v>170</v>
      </c>
      <c r="T100">
        <v>142</v>
      </c>
      <c r="U100">
        <v>154</v>
      </c>
      <c r="V100">
        <v>136</v>
      </c>
      <c r="W100">
        <v>99</v>
      </c>
      <c r="X100">
        <v>123</v>
      </c>
      <c r="Y100">
        <v>110</v>
      </c>
      <c r="Z100">
        <v>106</v>
      </c>
      <c r="AA100">
        <v>144</v>
      </c>
      <c r="AB100">
        <v>128</v>
      </c>
      <c r="AC100">
        <v>121</v>
      </c>
      <c r="AD100">
        <v>107</v>
      </c>
      <c r="AE100">
        <v>110</v>
      </c>
      <c r="AF100">
        <v>136</v>
      </c>
      <c r="AG100">
        <v>158</v>
      </c>
      <c r="AH100">
        <v>144</v>
      </c>
      <c r="AI100">
        <v>158</v>
      </c>
      <c r="AJ100">
        <v>155</v>
      </c>
      <c r="AK100">
        <v>170</v>
      </c>
      <c r="AL100">
        <v>194</v>
      </c>
      <c r="AM100">
        <v>182</v>
      </c>
      <c r="AN100">
        <v>209</v>
      </c>
      <c r="AO100">
        <v>197</v>
      </c>
      <c r="AP100">
        <v>252</v>
      </c>
      <c r="AQ100">
        <v>268</v>
      </c>
      <c r="AR100">
        <v>334</v>
      </c>
      <c r="AS100">
        <v>349</v>
      </c>
      <c r="AT100">
        <v>399</v>
      </c>
      <c r="AU100">
        <v>569</v>
      </c>
      <c r="AV100">
        <v>1238</v>
      </c>
      <c r="AW100">
        <v>356</v>
      </c>
      <c r="AX100">
        <v>371</v>
      </c>
      <c r="AY100">
        <v>514</v>
      </c>
    </row>
    <row r="101" spans="1:51" x14ac:dyDescent="0.35">
      <c r="A101" t="s">
        <v>187</v>
      </c>
      <c r="B101">
        <f t="shared" si="4"/>
        <v>2</v>
      </c>
      <c r="C101" t="s">
        <v>143</v>
      </c>
      <c r="D101" t="s">
        <v>142</v>
      </c>
      <c r="E101" t="s">
        <v>150</v>
      </c>
      <c r="F101">
        <v>203</v>
      </c>
      <c r="G101">
        <v>82</v>
      </c>
      <c r="H101">
        <v>110</v>
      </c>
      <c r="I101">
        <v>112</v>
      </c>
      <c r="J101">
        <v>133</v>
      </c>
      <c r="K101">
        <v>125</v>
      </c>
      <c r="L101">
        <v>109</v>
      </c>
      <c r="M101">
        <v>102</v>
      </c>
      <c r="N101">
        <v>109</v>
      </c>
      <c r="O101">
        <v>97</v>
      </c>
      <c r="P101">
        <v>112</v>
      </c>
      <c r="Q101">
        <v>128</v>
      </c>
      <c r="R101">
        <v>128</v>
      </c>
      <c r="S101">
        <v>167</v>
      </c>
      <c r="T101">
        <v>139</v>
      </c>
      <c r="U101">
        <v>151</v>
      </c>
      <c r="V101">
        <v>134</v>
      </c>
      <c r="W101">
        <v>97</v>
      </c>
      <c r="X101">
        <v>121</v>
      </c>
      <c r="Y101">
        <v>108</v>
      </c>
      <c r="Z101">
        <v>105</v>
      </c>
      <c r="AA101">
        <v>141</v>
      </c>
      <c r="AB101">
        <v>126</v>
      </c>
      <c r="AC101">
        <v>118</v>
      </c>
      <c r="AD101">
        <v>104</v>
      </c>
      <c r="AE101">
        <v>107</v>
      </c>
      <c r="AF101">
        <v>132</v>
      </c>
      <c r="AG101">
        <v>154</v>
      </c>
      <c r="AH101">
        <v>140</v>
      </c>
      <c r="AI101">
        <v>154</v>
      </c>
      <c r="AJ101">
        <v>152</v>
      </c>
      <c r="AK101">
        <v>165</v>
      </c>
      <c r="AL101">
        <v>188</v>
      </c>
      <c r="AM101">
        <v>177</v>
      </c>
      <c r="AN101">
        <v>203</v>
      </c>
      <c r="AO101">
        <v>191</v>
      </c>
      <c r="AP101">
        <v>248</v>
      </c>
      <c r="AQ101">
        <v>264</v>
      </c>
      <c r="AR101">
        <v>328</v>
      </c>
      <c r="AS101">
        <v>342</v>
      </c>
      <c r="AT101">
        <v>390</v>
      </c>
      <c r="AU101">
        <v>557</v>
      </c>
      <c r="AV101">
        <v>1221</v>
      </c>
      <c r="AW101">
        <v>350</v>
      </c>
      <c r="AX101">
        <v>363</v>
      </c>
      <c r="AY101">
        <v>504</v>
      </c>
    </row>
    <row r="102" spans="1:51" x14ac:dyDescent="0.35">
      <c r="A102" t="s">
        <v>187</v>
      </c>
      <c r="B102">
        <f t="shared" si="4"/>
        <v>2</v>
      </c>
      <c r="C102" t="s">
        <v>143</v>
      </c>
      <c r="D102" t="s">
        <v>142</v>
      </c>
      <c r="E102" t="s">
        <v>149</v>
      </c>
      <c r="F102">
        <v>202</v>
      </c>
      <c r="G102">
        <v>106</v>
      </c>
      <c r="H102">
        <v>109</v>
      </c>
      <c r="I102">
        <v>116</v>
      </c>
      <c r="J102">
        <v>122</v>
      </c>
      <c r="K102">
        <v>110</v>
      </c>
      <c r="L102">
        <v>108</v>
      </c>
      <c r="M102">
        <v>104</v>
      </c>
      <c r="N102">
        <v>104</v>
      </c>
      <c r="O102">
        <v>131</v>
      </c>
      <c r="P102">
        <v>132</v>
      </c>
      <c r="Q102">
        <v>137</v>
      </c>
      <c r="R102">
        <v>156</v>
      </c>
      <c r="S102">
        <v>147</v>
      </c>
      <c r="T102">
        <v>148</v>
      </c>
      <c r="U102">
        <v>147</v>
      </c>
      <c r="V102">
        <v>152</v>
      </c>
      <c r="W102">
        <v>156</v>
      </c>
      <c r="X102">
        <v>130</v>
      </c>
      <c r="Y102">
        <v>129</v>
      </c>
      <c r="Z102">
        <v>100</v>
      </c>
      <c r="AA102">
        <v>112</v>
      </c>
      <c r="AB102">
        <v>120</v>
      </c>
      <c r="AC102">
        <v>131</v>
      </c>
      <c r="AD102">
        <v>136</v>
      </c>
      <c r="AE102">
        <v>137</v>
      </c>
      <c r="AF102">
        <v>164</v>
      </c>
      <c r="AG102">
        <v>155</v>
      </c>
      <c r="AH102">
        <v>162</v>
      </c>
      <c r="AI102">
        <v>177</v>
      </c>
      <c r="AJ102">
        <v>167</v>
      </c>
      <c r="AK102">
        <v>196</v>
      </c>
      <c r="AL102">
        <v>180</v>
      </c>
      <c r="AM102">
        <v>225</v>
      </c>
      <c r="AN102">
        <v>276</v>
      </c>
      <c r="AO102">
        <v>267</v>
      </c>
      <c r="AP102">
        <v>282</v>
      </c>
      <c r="AQ102">
        <v>271</v>
      </c>
      <c r="AR102">
        <v>293</v>
      </c>
      <c r="AS102">
        <v>415</v>
      </c>
      <c r="AT102">
        <v>390</v>
      </c>
      <c r="AU102">
        <v>630</v>
      </c>
      <c r="AV102">
        <v>680</v>
      </c>
      <c r="AW102">
        <v>371</v>
      </c>
      <c r="AX102">
        <v>413</v>
      </c>
      <c r="AY102">
        <v>434</v>
      </c>
    </row>
    <row r="103" spans="1:51" x14ac:dyDescent="0.35">
      <c r="A103" t="s">
        <v>187</v>
      </c>
      <c r="B103">
        <f t="shared" si="4"/>
        <v>2</v>
      </c>
      <c r="C103" t="s">
        <v>143</v>
      </c>
      <c r="D103" t="s">
        <v>142</v>
      </c>
      <c r="E103" t="s">
        <v>148</v>
      </c>
      <c r="F103">
        <v>201</v>
      </c>
      <c r="G103">
        <v>102</v>
      </c>
      <c r="H103">
        <v>104</v>
      </c>
      <c r="I103">
        <v>111</v>
      </c>
      <c r="J103">
        <v>116</v>
      </c>
      <c r="K103">
        <v>102</v>
      </c>
      <c r="L103">
        <v>101</v>
      </c>
      <c r="M103">
        <v>95</v>
      </c>
      <c r="N103">
        <v>97</v>
      </c>
      <c r="O103">
        <v>120</v>
      </c>
      <c r="P103">
        <v>123</v>
      </c>
      <c r="Q103">
        <v>123</v>
      </c>
      <c r="R103">
        <v>137</v>
      </c>
      <c r="S103">
        <v>139</v>
      </c>
      <c r="T103">
        <v>134</v>
      </c>
      <c r="U103">
        <v>135</v>
      </c>
      <c r="V103">
        <v>136</v>
      </c>
      <c r="W103">
        <v>141</v>
      </c>
      <c r="X103">
        <v>120</v>
      </c>
      <c r="Y103">
        <v>120</v>
      </c>
      <c r="Z103">
        <v>92</v>
      </c>
      <c r="AA103">
        <v>100</v>
      </c>
      <c r="AB103">
        <v>105</v>
      </c>
      <c r="AC103">
        <v>114</v>
      </c>
      <c r="AD103">
        <v>120</v>
      </c>
      <c r="AE103">
        <v>119</v>
      </c>
      <c r="AF103">
        <v>147</v>
      </c>
      <c r="AG103">
        <v>136</v>
      </c>
      <c r="AH103">
        <v>136</v>
      </c>
      <c r="AI103">
        <v>152</v>
      </c>
      <c r="AJ103">
        <v>142</v>
      </c>
      <c r="AK103">
        <v>170</v>
      </c>
      <c r="AL103">
        <v>156</v>
      </c>
      <c r="AM103">
        <v>193</v>
      </c>
      <c r="AN103">
        <v>243</v>
      </c>
      <c r="AO103">
        <v>231</v>
      </c>
      <c r="AP103">
        <v>247</v>
      </c>
      <c r="AQ103">
        <v>250</v>
      </c>
      <c r="AR103">
        <v>266</v>
      </c>
      <c r="AS103">
        <v>382</v>
      </c>
      <c r="AT103">
        <v>338</v>
      </c>
      <c r="AU103">
        <v>554</v>
      </c>
      <c r="AV103">
        <v>598</v>
      </c>
      <c r="AW103">
        <v>317</v>
      </c>
      <c r="AX103">
        <v>347</v>
      </c>
      <c r="AY103">
        <v>377</v>
      </c>
    </row>
    <row r="104" spans="1:51" x14ac:dyDescent="0.35">
      <c r="A104" t="s">
        <v>274</v>
      </c>
      <c r="B104">
        <f t="shared" si="4"/>
        <v>3</v>
      </c>
      <c r="C104" t="s">
        <v>143</v>
      </c>
      <c r="D104" t="s">
        <v>142</v>
      </c>
      <c r="E104" t="s">
        <v>243</v>
      </c>
      <c r="F104">
        <v>150</v>
      </c>
      <c r="G104">
        <v>25</v>
      </c>
      <c r="H104">
        <v>48</v>
      </c>
      <c r="I104">
        <v>48</v>
      </c>
      <c r="J104">
        <v>50</v>
      </c>
      <c r="K104">
        <v>39</v>
      </c>
      <c r="L104">
        <v>36</v>
      </c>
      <c r="M104">
        <v>30</v>
      </c>
      <c r="N104">
        <v>37</v>
      </c>
      <c r="O104">
        <v>43</v>
      </c>
      <c r="P104">
        <v>42</v>
      </c>
      <c r="Q104">
        <v>40</v>
      </c>
      <c r="R104">
        <v>43</v>
      </c>
      <c r="S104">
        <v>40</v>
      </c>
      <c r="T104">
        <v>41</v>
      </c>
      <c r="U104">
        <v>36</v>
      </c>
      <c r="V104">
        <v>27</v>
      </c>
      <c r="W104">
        <v>40</v>
      </c>
      <c r="X104">
        <v>37</v>
      </c>
      <c r="Y104">
        <v>31</v>
      </c>
      <c r="Z104">
        <v>27</v>
      </c>
      <c r="AA104">
        <v>32</v>
      </c>
      <c r="AB104">
        <v>36</v>
      </c>
      <c r="AC104">
        <v>39</v>
      </c>
      <c r="AD104">
        <v>46</v>
      </c>
      <c r="AE104">
        <v>50</v>
      </c>
      <c r="AF104">
        <v>48</v>
      </c>
      <c r="AG104">
        <v>52</v>
      </c>
      <c r="AH104">
        <v>61</v>
      </c>
      <c r="AI104">
        <v>65</v>
      </c>
      <c r="AJ104">
        <v>47</v>
      </c>
      <c r="AK104">
        <v>59</v>
      </c>
      <c r="AL104">
        <v>65</v>
      </c>
      <c r="AM104">
        <v>65</v>
      </c>
      <c r="AN104">
        <v>67</v>
      </c>
      <c r="AO104">
        <v>81</v>
      </c>
      <c r="AP104">
        <v>77</v>
      </c>
      <c r="AQ104">
        <v>52</v>
      </c>
      <c r="AR104">
        <v>65</v>
      </c>
      <c r="AS104">
        <v>66</v>
      </c>
      <c r="AT104">
        <v>79</v>
      </c>
      <c r="AU104">
        <v>93</v>
      </c>
      <c r="AV104">
        <v>159</v>
      </c>
      <c r="AW104">
        <v>128</v>
      </c>
      <c r="AX104">
        <v>148</v>
      </c>
      <c r="AY104">
        <v>188</v>
      </c>
    </row>
    <row r="105" spans="1:51" x14ac:dyDescent="0.35">
      <c r="A105" t="s">
        <v>274</v>
      </c>
      <c r="B105">
        <f t="shared" si="4"/>
        <v>3</v>
      </c>
      <c r="C105" t="s">
        <v>143</v>
      </c>
      <c r="D105" t="s">
        <v>142</v>
      </c>
      <c r="E105" t="s">
        <v>242</v>
      </c>
      <c r="F105">
        <v>149</v>
      </c>
      <c r="G105">
        <v>62</v>
      </c>
      <c r="H105">
        <v>108</v>
      </c>
      <c r="I105">
        <v>87</v>
      </c>
      <c r="J105">
        <v>103</v>
      </c>
      <c r="K105">
        <v>91</v>
      </c>
      <c r="L105">
        <v>77</v>
      </c>
      <c r="M105">
        <v>71</v>
      </c>
      <c r="N105">
        <v>88</v>
      </c>
      <c r="O105">
        <v>102</v>
      </c>
      <c r="P105">
        <v>90</v>
      </c>
      <c r="Q105">
        <v>89</v>
      </c>
      <c r="R105">
        <v>101</v>
      </c>
      <c r="S105">
        <v>103</v>
      </c>
      <c r="T105">
        <v>97</v>
      </c>
      <c r="U105">
        <v>88</v>
      </c>
      <c r="V105">
        <v>69</v>
      </c>
      <c r="W105">
        <v>77</v>
      </c>
      <c r="X105">
        <v>67</v>
      </c>
      <c r="Y105">
        <v>67</v>
      </c>
      <c r="Z105">
        <v>72</v>
      </c>
      <c r="AA105">
        <v>98</v>
      </c>
      <c r="AB105">
        <v>106</v>
      </c>
      <c r="AC105">
        <v>117</v>
      </c>
      <c r="AD105">
        <v>140</v>
      </c>
      <c r="AE105">
        <v>149</v>
      </c>
      <c r="AF105">
        <v>130</v>
      </c>
      <c r="AG105">
        <v>157</v>
      </c>
      <c r="AH105">
        <v>207</v>
      </c>
      <c r="AI105">
        <v>206</v>
      </c>
      <c r="AJ105">
        <v>133</v>
      </c>
      <c r="AK105">
        <v>191</v>
      </c>
      <c r="AL105">
        <v>213</v>
      </c>
      <c r="AM105">
        <v>217</v>
      </c>
      <c r="AN105">
        <v>238</v>
      </c>
      <c r="AO105">
        <v>245</v>
      </c>
      <c r="AP105">
        <v>176</v>
      </c>
      <c r="AQ105">
        <v>178</v>
      </c>
      <c r="AR105">
        <v>298</v>
      </c>
      <c r="AS105">
        <v>345</v>
      </c>
      <c r="AT105">
        <v>364</v>
      </c>
      <c r="AU105">
        <v>311</v>
      </c>
      <c r="AV105">
        <v>438</v>
      </c>
      <c r="AW105">
        <v>184</v>
      </c>
      <c r="AX105">
        <v>303</v>
      </c>
      <c r="AY105">
        <v>391</v>
      </c>
    </row>
    <row r="106" spans="1:51" x14ac:dyDescent="0.35">
      <c r="A106" t="s">
        <v>274</v>
      </c>
      <c r="B106">
        <f t="shared" si="4"/>
        <v>3</v>
      </c>
      <c r="C106" t="s">
        <v>143</v>
      </c>
      <c r="D106" t="s">
        <v>142</v>
      </c>
      <c r="E106" t="s">
        <v>241</v>
      </c>
      <c r="F106">
        <v>148</v>
      </c>
      <c r="G106">
        <v>2</v>
      </c>
      <c r="H106">
        <v>2</v>
      </c>
      <c r="I106">
        <v>3</v>
      </c>
      <c r="J106">
        <v>7</v>
      </c>
      <c r="K106">
        <v>6</v>
      </c>
      <c r="L106">
        <v>6</v>
      </c>
      <c r="M106">
        <v>6</v>
      </c>
      <c r="N106">
        <v>7</v>
      </c>
      <c r="O106">
        <v>7</v>
      </c>
      <c r="P106">
        <v>7</v>
      </c>
      <c r="Q106">
        <v>9</v>
      </c>
      <c r="R106">
        <v>10</v>
      </c>
      <c r="S106">
        <v>13</v>
      </c>
      <c r="T106">
        <v>13</v>
      </c>
      <c r="U106">
        <v>14</v>
      </c>
      <c r="V106">
        <v>11</v>
      </c>
      <c r="W106">
        <v>10</v>
      </c>
      <c r="X106">
        <v>9</v>
      </c>
      <c r="Y106">
        <v>10</v>
      </c>
      <c r="Z106">
        <v>11</v>
      </c>
      <c r="AA106">
        <v>22</v>
      </c>
      <c r="AB106">
        <v>27</v>
      </c>
      <c r="AC106">
        <v>41</v>
      </c>
      <c r="AD106">
        <v>40</v>
      </c>
      <c r="AE106">
        <v>38</v>
      </c>
      <c r="AF106">
        <v>33</v>
      </c>
      <c r="AG106">
        <v>38</v>
      </c>
      <c r="AH106">
        <v>43</v>
      </c>
      <c r="AI106">
        <v>49</v>
      </c>
      <c r="AJ106">
        <v>36</v>
      </c>
      <c r="AK106">
        <v>52</v>
      </c>
      <c r="AL106">
        <v>65</v>
      </c>
      <c r="AM106">
        <v>58</v>
      </c>
      <c r="AN106">
        <v>72</v>
      </c>
      <c r="AO106">
        <v>86</v>
      </c>
      <c r="AP106">
        <v>65</v>
      </c>
      <c r="AQ106">
        <v>75</v>
      </c>
      <c r="AR106">
        <v>139</v>
      </c>
      <c r="AS106">
        <v>150</v>
      </c>
      <c r="AT106">
        <v>172</v>
      </c>
      <c r="AU106">
        <v>156</v>
      </c>
      <c r="AV106">
        <v>222</v>
      </c>
      <c r="AW106">
        <v>132</v>
      </c>
      <c r="AX106">
        <v>183</v>
      </c>
      <c r="AY106">
        <v>170</v>
      </c>
    </row>
    <row r="107" spans="1:51" x14ac:dyDescent="0.35">
      <c r="A107" t="s">
        <v>274</v>
      </c>
      <c r="B107">
        <f t="shared" si="4"/>
        <v>3</v>
      </c>
      <c r="C107" t="s">
        <v>143</v>
      </c>
      <c r="D107" t="s">
        <v>142</v>
      </c>
      <c r="E107" t="s">
        <v>240</v>
      </c>
      <c r="F107">
        <v>147</v>
      </c>
      <c r="G107">
        <v>9</v>
      </c>
      <c r="H107">
        <v>25</v>
      </c>
      <c r="I107">
        <v>26</v>
      </c>
      <c r="J107">
        <v>24</v>
      </c>
      <c r="K107">
        <v>15</v>
      </c>
      <c r="L107">
        <v>11</v>
      </c>
      <c r="M107">
        <v>8</v>
      </c>
      <c r="N107">
        <v>11</v>
      </c>
      <c r="O107">
        <v>15</v>
      </c>
      <c r="P107">
        <v>13</v>
      </c>
      <c r="Q107">
        <v>13</v>
      </c>
      <c r="R107">
        <v>14</v>
      </c>
      <c r="S107">
        <v>12</v>
      </c>
      <c r="T107">
        <v>12</v>
      </c>
      <c r="U107">
        <v>10</v>
      </c>
      <c r="V107">
        <v>7</v>
      </c>
      <c r="W107">
        <v>11</v>
      </c>
      <c r="X107">
        <v>11</v>
      </c>
      <c r="Y107">
        <v>8</v>
      </c>
      <c r="Z107">
        <v>7</v>
      </c>
      <c r="AA107">
        <v>9</v>
      </c>
      <c r="AB107">
        <v>12</v>
      </c>
      <c r="AC107">
        <v>12</v>
      </c>
      <c r="AD107">
        <v>18</v>
      </c>
      <c r="AE107">
        <v>19</v>
      </c>
      <c r="AF107">
        <v>16</v>
      </c>
      <c r="AG107">
        <v>18</v>
      </c>
      <c r="AH107">
        <v>22</v>
      </c>
      <c r="AI107">
        <v>23</v>
      </c>
      <c r="AJ107">
        <v>16</v>
      </c>
      <c r="AK107">
        <v>24</v>
      </c>
      <c r="AL107">
        <v>26</v>
      </c>
      <c r="AM107">
        <v>25</v>
      </c>
      <c r="AN107">
        <v>26</v>
      </c>
      <c r="AO107">
        <v>31</v>
      </c>
      <c r="AP107">
        <v>29</v>
      </c>
      <c r="AQ107">
        <v>21</v>
      </c>
      <c r="AR107">
        <v>22</v>
      </c>
      <c r="AS107">
        <v>23</v>
      </c>
      <c r="AT107">
        <v>26</v>
      </c>
      <c r="AU107">
        <v>34</v>
      </c>
      <c r="AV107">
        <v>62</v>
      </c>
      <c r="AW107">
        <v>47</v>
      </c>
      <c r="AX107">
        <v>52</v>
      </c>
      <c r="AY107">
        <v>58</v>
      </c>
    </row>
    <row r="108" spans="1:51" x14ac:dyDescent="0.35">
      <c r="A108" t="s">
        <v>274</v>
      </c>
      <c r="B108">
        <f t="shared" si="4"/>
        <v>3</v>
      </c>
      <c r="C108" t="s">
        <v>143</v>
      </c>
      <c r="D108" t="s">
        <v>142</v>
      </c>
      <c r="E108" t="s">
        <v>239</v>
      </c>
      <c r="F108">
        <v>146</v>
      </c>
      <c r="G108">
        <v>31</v>
      </c>
      <c r="H108">
        <v>67</v>
      </c>
      <c r="I108">
        <v>46</v>
      </c>
      <c r="J108">
        <v>57</v>
      </c>
      <c r="K108">
        <v>45</v>
      </c>
      <c r="L108">
        <v>36</v>
      </c>
      <c r="M108">
        <v>33</v>
      </c>
      <c r="N108">
        <v>45</v>
      </c>
      <c r="O108">
        <v>56</v>
      </c>
      <c r="P108">
        <v>45</v>
      </c>
      <c r="Q108">
        <v>42</v>
      </c>
      <c r="R108">
        <v>47</v>
      </c>
      <c r="S108">
        <v>49</v>
      </c>
      <c r="T108">
        <v>40</v>
      </c>
      <c r="U108">
        <v>37</v>
      </c>
      <c r="V108">
        <v>26</v>
      </c>
      <c r="W108">
        <v>31</v>
      </c>
      <c r="X108">
        <v>23</v>
      </c>
      <c r="Y108">
        <v>22</v>
      </c>
      <c r="Z108">
        <v>25</v>
      </c>
      <c r="AA108">
        <v>42</v>
      </c>
      <c r="AB108">
        <v>49</v>
      </c>
      <c r="AC108">
        <v>49</v>
      </c>
      <c r="AD108">
        <v>70</v>
      </c>
      <c r="AE108">
        <v>75</v>
      </c>
      <c r="AF108">
        <v>59</v>
      </c>
      <c r="AG108">
        <v>74</v>
      </c>
      <c r="AH108">
        <v>107</v>
      </c>
      <c r="AI108">
        <v>111</v>
      </c>
      <c r="AJ108">
        <v>65</v>
      </c>
      <c r="AK108">
        <v>85</v>
      </c>
      <c r="AL108">
        <v>100</v>
      </c>
      <c r="AM108">
        <v>100</v>
      </c>
      <c r="AN108">
        <v>122</v>
      </c>
      <c r="AO108">
        <v>123</v>
      </c>
      <c r="AP108">
        <v>82</v>
      </c>
      <c r="AQ108">
        <v>88</v>
      </c>
      <c r="AR108">
        <v>154</v>
      </c>
      <c r="AS108">
        <v>201</v>
      </c>
      <c r="AT108">
        <v>213</v>
      </c>
      <c r="AU108">
        <v>146</v>
      </c>
      <c r="AV108">
        <v>203</v>
      </c>
      <c r="AW108">
        <v>76</v>
      </c>
      <c r="AX108">
        <v>151</v>
      </c>
      <c r="AY108">
        <v>198</v>
      </c>
    </row>
    <row r="109" spans="1:51" x14ac:dyDescent="0.35">
      <c r="A109" t="s">
        <v>274</v>
      </c>
      <c r="B109">
        <f t="shared" si="4"/>
        <v>3</v>
      </c>
      <c r="C109" t="s">
        <v>143</v>
      </c>
      <c r="D109" t="s">
        <v>142</v>
      </c>
      <c r="E109" t="s">
        <v>238</v>
      </c>
      <c r="F109">
        <v>145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</v>
      </c>
      <c r="R109">
        <v>5</v>
      </c>
      <c r="S109">
        <v>6</v>
      </c>
      <c r="T109">
        <v>7</v>
      </c>
      <c r="U109">
        <v>8</v>
      </c>
      <c r="V109">
        <v>5</v>
      </c>
      <c r="W109">
        <v>4</v>
      </c>
      <c r="X109">
        <v>3</v>
      </c>
      <c r="Y109">
        <v>4</v>
      </c>
      <c r="Z109">
        <v>4</v>
      </c>
      <c r="AA109">
        <v>8</v>
      </c>
      <c r="AB109">
        <v>12</v>
      </c>
      <c r="AC109">
        <v>23</v>
      </c>
      <c r="AD109">
        <v>18</v>
      </c>
      <c r="AE109">
        <v>10</v>
      </c>
      <c r="AF109">
        <v>11</v>
      </c>
      <c r="AG109">
        <v>15</v>
      </c>
      <c r="AH109">
        <v>17</v>
      </c>
      <c r="AI109">
        <v>21</v>
      </c>
      <c r="AJ109">
        <v>18</v>
      </c>
      <c r="AK109">
        <v>24</v>
      </c>
      <c r="AL109">
        <v>30</v>
      </c>
      <c r="AM109">
        <v>23</v>
      </c>
      <c r="AN109">
        <v>32</v>
      </c>
      <c r="AO109">
        <v>37</v>
      </c>
      <c r="AP109">
        <v>28</v>
      </c>
      <c r="AQ109">
        <v>39</v>
      </c>
      <c r="AR109">
        <v>85</v>
      </c>
      <c r="AS109">
        <v>86</v>
      </c>
      <c r="AT109">
        <v>108</v>
      </c>
      <c r="AU109">
        <v>74</v>
      </c>
      <c r="AV109">
        <v>86</v>
      </c>
      <c r="AW109">
        <v>33</v>
      </c>
      <c r="AX109">
        <v>40</v>
      </c>
      <c r="AY109">
        <v>58</v>
      </c>
    </row>
    <row r="110" spans="1:51" x14ac:dyDescent="0.35">
      <c r="A110" t="s">
        <v>274</v>
      </c>
      <c r="B110">
        <f t="shared" si="4"/>
        <v>3</v>
      </c>
      <c r="C110" t="s">
        <v>143</v>
      </c>
      <c r="D110" t="s">
        <v>142</v>
      </c>
      <c r="E110" t="s">
        <v>237</v>
      </c>
      <c r="F110">
        <v>144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21</v>
      </c>
      <c r="AB110">
        <v>16</v>
      </c>
      <c r="AC110">
        <v>27</v>
      </c>
      <c r="AD110">
        <v>29</v>
      </c>
      <c r="AE110">
        <v>30</v>
      </c>
      <c r="AF110">
        <v>29</v>
      </c>
      <c r="AG110">
        <v>39</v>
      </c>
      <c r="AH110">
        <v>46</v>
      </c>
      <c r="AI110">
        <v>35</v>
      </c>
      <c r="AJ110">
        <v>16</v>
      </c>
      <c r="AK110">
        <v>46</v>
      </c>
      <c r="AL110">
        <v>46</v>
      </c>
      <c r="AM110">
        <v>45</v>
      </c>
      <c r="AN110">
        <v>45</v>
      </c>
      <c r="AO110">
        <v>47</v>
      </c>
      <c r="AP110">
        <v>20</v>
      </c>
      <c r="AQ110">
        <v>26</v>
      </c>
      <c r="AR110">
        <v>52</v>
      </c>
      <c r="AS110">
        <v>41</v>
      </c>
      <c r="AT110">
        <v>24</v>
      </c>
      <c r="AU110">
        <v>105</v>
      </c>
      <c r="AV110">
        <v>76</v>
      </c>
      <c r="AW110">
        <v>38</v>
      </c>
      <c r="AX110">
        <v>68</v>
      </c>
      <c r="AY110">
        <v>78</v>
      </c>
    </row>
    <row r="111" spans="1:51" x14ac:dyDescent="0.35">
      <c r="A111" t="s">
        <v>274</v>
      </c>
      <c r="B111">
        <f t="shared" si="4"/>
        <v>3</v>
      </c>
      <c r="C111" t="s">
        <v>143</v>
      </c>
      <c r="D111" t="s">
        <v>142</v>
      </c>
      <c r="E111" t="s">
        <v>235</v>
      </c>
      <c r="F111">
        <v>142</v>
      </c>
      <c r="G111">
        <v>98</v>
      </c>
      <c r="H111">
        <v>139</v>
      </c>
      <c r="I111">
        <v>127</v>
      </c>
      <c r="J111">
        <v>146</v>
      </c>
      <c r="K111">
        <v>136</v>
      </c>
      <c r="L111">
        <v>135</v>
      </c>
      <c r="M111">
        <v>133</v>
      </c>
      <c r="N111">
        <v>153</v>
      </c>
      <c r="O111">
        <v>157</v>
      </c>
      <c r="P111">
        <v>162</v>
      </c>
      <c r="Q111">
        <v>188</v>
      </c>
      <c r="R111">
        <v>190</v>
      </c>
      <c r="S111">
        <v>187</v>
      </c>
      <c r="T111">
        <v>200</v>
      </c>
      <c r="U111">
        <v>175</v>
      </c>
      <c r="V111">
        <v>160</v>
      </c>
      <c r="W111">
        <v>227</v>
      </c>
      <c r="X111">
        <v>161</v>
      </c>
      <c r="Y111">
        <v>231</v>
      </c>
      <c r="Z111">
        <v>189</v>
      </c>
      <c r="AA111">
        <v>251</v>
      </c>
      <c r="AB111">
        <v>258</v>
      </c>
      <c r="AC111">
        <v>270</v>
      </c>
      <c r="AD111">
        <v>312</v>
      </c>
      <c r="AE111">
        <v>318</v>
      </c>
      <c r="AF111">
        <v>353</v>
      </c>
      <c r="AG111">
        <v>414</v>
      </c>
      <c r="AH111">
        <v>457</v>
      </c>
      <c r="AI111">
        <v>485</v>
      </c>
      <c r="AJ111">
        <v>382</v>
      </c>
      <c r="AK111">
        <v>558</v>
      </c>
      <c r="AL111">
        <v>581</v>
      </c>
      <c r="AM111">
        <v>542</v>
      </c>
      <c r="AN111">
        <v>668</v>
      </c>
      <c r="AO111">
        <v>632</v>
      </c>
      <c r="AP111">
        <v>651</v>
      </c>
      <c r="AQ111">
        <v>715</v>
      </c>
      <c r="AR111">
        <v>1020</v>
      </c>
      <c r="AS111">
        <v>1345</v>
      </c>
      <c r="AT111">
        <v>1311</v>
      </c>
      <c r="AU111">
        <v>1811</v>
      </c>
      <c r="AV111">
        <v>1934</v>
      </c>
      <c r="AW111">
        <v>916</v>
      </c>
      <c r="AX111">
        <v>1262</v>
      </c>
      <c r="AY111">
        <v>1570</v>
      </c>
    </row>
    <row r="112" spans="1:51" x14ac:dyDescent="0.35">
      <c r="A112" t="s">
        <v>274</v>
      </c>
      <c r="B112">
        <f t="shared" si="4"/>
        <v>3</v>
      </c>
      <c r="C112" t="s">
        <v>143</v>
      </c>
      <c r="D112" t="s">
        <v>142</v>
      </c>
      <c r="E112" t="s">
        <v>234</v>
      </c>
      <c r="F112">
        <v>140</v>
      </c>
      <c r="G112">
        <v>27</v>
      </c>
      <c r="H112">
        <v>40</v>
      </c>
      <c r="I112">
        <v>40</v>
      </c>
      <c r="J112">
        <v>45</v>
      </c>
      <c r="K112">
        <v>41</v>
      </c>
      <c r="L112">
        <v>41</v>
      </c>
      <c r="M112">
        <v>37</v>
      </c>
      <c r="N112">
        <v>40</v>
      </c>
      <c r="O112">
        <v>41</v>
      </c>
      <c r="P112">
        <v>43</v>
      </c>
      <c r="Q112">
        <v>53</v>
      </c>
      <c r="R112">
        <v>53</v>
      </c>
      <c r="S112">
        <v>52</v>
      </c>
      <c r="T112">
        <v>54</v>
      </c>
      <c r="U112">
        <v>52</v>
      </c>
      <c r="V112">
        <v>43</v>
      </c>
      <c r="W112">
        <v>57</v>
      </c>
      <c r="X112">
        <v>43</v>
      </c>
      <c r="Y112">
        <v>49</v>
      </c>
      <c r="Z112">
        <v>39</v>
      </c>
      <c r="AA112">
        <v>52</v>
      </c>
      <c r="AB112">
        <v>57</v>
      </c>
      <c r="AC112">
        <v>57</v>
      </c>
      <c r="AD112">
        <v>71</v>
      </c>
      <c r="AE112">
        <v>71</v>
      </c>
      <c r="AF112">
        <v>73</v>
      </c>
      <c r="AG112">
        <v>84</v>
      </c>
      <c r="AH112">
        <v>99</v>
      </c>
      <c r="AI112">
        <v>111</v>
      </c>
      <c r="AJ112">
        <v>85</v>
      </c>
      <c r="AK112">
        <v>118</v>
      </c>
      <c r="AL112">
        <v>130</v>
      </c>
      <c r="AM112">
        <v>124</v>
      </c>
      <c r="AN112">
        <v>137</v>
      </c>
      <c r="AO112">
        <v>143</v>
      </c>
      <c r="AP112">
        <v>139</v>
      </c>
      <c r="AQ112">
        <v>125</v>
      </c>
      <c r="AR112">
        <v>186</v>
      </c>
      <c r="AS112">
        <v>226</v>
      </c>
      <c r="AT112">
        <v>214</v>
      </c>
      <c r="AU112">
        <v>296</v>
      </c>
      <c r="AV112">
        <v>483</v>
      </c>
      <c r="AW112">
        <v>235</v>
      </c>
      <c r="AX112">
        <v>318</v>
      </c>
      <c r="AY112">
        <v>410</v>
      </c>
    </row>
    <row r="113" spans="1:51" x14ac:dyDescent="0.35">
      <c r="A113" t="s">
        <v>274</v>
      </c>
      <c r="B113">
        <f t="shared" si="4"/>
        <v>3</v>
      </c>
      <c r="C113" t="s">
        <v>143</v>
      </c>
      <c r="D113" t="s">
        <v>142</v>
      </c>
      <c r="E113" t="s">
        <v>233</v>
      </c>
      <c r="F113">
        <v>139</v>
      </c>
      <c r="G113">
        <v>106</v>
      </c>
      <c r="H113">
        <v>142</v>
      </c>
      <c r="I113">
        <v>132</v>
      </c>
      <c r="J113">
        <v>161</v>
      </c>
      <c r="K113">
        <v>150</v>
      </c>
      <c r="L113">
        <v>141</v>
      </c>
      <c r="M113">
        <v>125</v>
      </c>
      <c r="N113">
        <v>144</v>
      </c>
      <c r="O113">
        <v>149</v>
      </c>
      <c r="P113">
        <v>155</v>
      </c>
      <c r="Q113">
        <v>158</v>
      </c>
      <c r="R113">
        <v>173</v>
      </c>
      <c r="S113">
        <v>140</v>
      </c>
      <c r="T113">
        <v>152</v>
      </c>
      <c r="U113">
        <v>143</v>
      </c>
      <c r="V113">
        <v>109</v>
      </c>
      <c r="W113">
        <v>177</v>
      </c>
      <c r="X113">
        <v>136</v>
      </c>
      <c r="Y113">
        <v>145</v>
      </c>
      <c r="Z113">
        <v>117</v>
      </c>
      <c r="AA113">
        <v>129</v>
      </c>
      <c r="AB113">
        <v>143</v>
      </c>
      <c r="AC113">
        <v>148</v>
      </c>
      <c r="AD113">
        <v>170</v>
      </c>
      <c r="AE113">
        <v>175</v>
      </c>
      <c r="AF113">
        <v>161</v>
      </c>
      <c r="AG113">
        <v>189</v>
      </c>
      <c r="AH113">
        <v>232</v>
      </c>
      <c r="AI113">
        <v>264</v>
      </c>
      <c r="AJ113">
        <v>189</v>
      </c>
      <c r="AK113">
        <v>223</v>
      </c>
      <c r="AL113">
        <v>222</v>
      </c>
      <c r="AM113">
        <v>206</v>
      </c>
      <c r="AN113">
        <v>225</v>
      </c>
      <c r="AO113">
        <v>247</v>
      </c>
      <c r="AP113">
        <v>261</v>
      </c>
      <c r="AQ113">
        <v>188</v>
      </c>
      <c r="AR113">
        <v>221</v>
      </c>
      <c r="AS113">
        <v>259</v>
      </c>
      <c r="AT113">
        <v>272</v>
      </c>
      <c r="AU113">
        <v>300</v>
      </c>
      <c r="AV113">
        <v>538</v>
      </c>
      <c r="AW113">
        <v>375</v>
      </c>
      <c r="AX113">
        <v>407</v>
      </c>
      <c r="AY113">
        <v>491</v>
      </c>
    </row>
    <row r="114" spans="1:51" x14ac:dyDescent="0.35">
      <c r="A114" t="s">
        <v>274</v>
      </c>
      <c r="B114">
        <f t="shared" si="4"/>
        <v>3</v>
      </c>
      <c r="C114" t="s">
        <v>143</v>
      </c>
      <c r="D114" t="s">
        <v>142</v>
      </c>
      <c r="E114" t="s">
        <v>225</v>
      </c>
      <c r="F114">
        <v>137</v>
      </c>
      <c r="G114">
        <v>83</v>
      </c>
      <c r="H114">
        <v>118</v>
      </c>
      <c r="I114">
        <v>104</v>
      </c>
      <c r="J114">
        <v>119</v>
      </c>
      <c r="K114">
        <v>111</v>
      </c>
      <c r="L114">
        <v>111</v>
      </c>
      <c r="M114">
        <v>111</v>
      </c>
      <c r="N114">
        <v>129</v>
      </c>
      <c r="O114">
        <v>132</v>
      </c>
      <c r="P114">
        <v>135</v>
      </c>
      <c r="Q114">
        <v>152</v>
      </c>
      <c r="R114">
        <v>155</v>
      </c>
      <c r="S114">
        <v>153</v>
      </c>
      <c r="T114">
        <v>166</v>
      </c>
      <c r="U114">
        <v>142</v>
      </c>
      <c r="V114">
        <v>132</v>
      </c>
      <c r="W114">
        <v>189</v>
      </c>
      <c r="X114">
        <v>133</v>
      </c>
      <c r="Y114">
        <v>198</v>
      </c>
      <c r="Z114">
        <v>166</v>
      </c>
      <c r="AA114">
        <v>215</v>
      </c>
      <c r="AB114">
        <v>218</v>
      </c>
      <c r="AC114">
        <v>232</v>
      </c>
      <c r="AD114">
        <v>261</v>
      </c>
      <c r="AE114">
        <v>267</v>
      </c>
      <c r="AF114">
        <v>300</v>
      </c>
      <c r="AG114">
        <v>353</v>
      </c>
      <c r="AH114">
        <v>385</v>
      </c>
      <c r="AI114">
        <v>402</v>
      </c>
      <c r="AJ114">
        <v>319</v>
      </c>
      <c r="AK114">
        <v>470</v>
      </c>
      <c r="AL114">
        <v>474</v>
      </c>
      <c r="AM114">
        <v>444</v>
      </c>
      <c r="AN114">
        <v>564</v>
      </c>
      <c r="AO114">
        <v>522</v>
      </c>
      <c r="AP114">
        <v>533</v>
      </c>
      <c r="AQ114">
        <v>615</v>
      </c>
      <c r="AR114">
        <v>863</v>
      </c>
      <c r="AS114">
        <v>1125</v>
      </c>
      <c r="AT114">
        <v>1064</v>
      </c>
      <c r="AU114">
        <v>1541</v>
      </c>
      <c r="AV114">
        <v>1529</v>
      </c>
      <c r="AW114">
        <v>724</v>
      </c>
      <c r="AX114">
        <v>1002</v>
      </c>
      <c r="AY114">
        <v>1234</v>
      </c>
    </row>
    <row r="115" spans="1:51" x14ac:dyDescent="0.35">
      <c r="A115" t="s">
        <v>274</v>
      </c>
      <c r="B115">
        <f t="shared" si="4"/>
        <v>3</v>
      </c>
      <c r="C115" t="s">
        <v>143</v>
      </c>
      <c r="D115" t="s">
        <v>142</v>
      </c>
      <c r="E115" t="s">
        <v>229</v>
      </c>
      <c r="F115">
        <v>134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>
        <v>24</v>
      </c>
      <c r="R115">
        <v>25</v>
      </c>
      <c r="S115">
        <v>26</v>
      </c>
      <c r="T115">
        <v>29</v>
      </c>
      <c r="U115">
        <v>28</v>
      </c>
      <c r="V115">
        <v>21</v>
      </c>
      <c r="W115">
        <v>25</v>
      </c>
      <c r="X115">
        <v>23</v>
      </c>
      <c r="Y115">
        <v>22</v>
      </c>
      <c r="Z115">
        <v>18</v>
      </c>
      <c r="AA115">
        <v>23</v>
      </c>
      <c r="AB115">
        <v>25</v>
      </c>
      <c r="AC115">
        <v>27</v>
      </c>
      <c r="AD115">
        <v>33</v>
      </c>
      <c r="AE115">
        <v>33</v>
      </c>
      <c r="AF115">
        <v>34</v>
      </c>
      <c r="AG115">
        <v>39</v>
      </c>
      <c r="AH115">
        <v>49</v>
      </c>
      <c r="AI115">
        <v>58</v>
      </c>
      <c r="AJ115">
        <v>46</v>
      </c>
      <c r="AK115">
        <v>58</v>
      </c>
      <c r="AL115">
        <v>66</v>
      </c>
      <c r="AM115">
        <v>63</v>
      </c>
      <c r="AN115">
        <v>70</v>
      </c>
      <c r="AO115">
        <v>74</v>
      </c>
      <c r="AP115">
        <v>77</v>
      </c>
      <c r="AQ115">
        <v>68</v>
      </c>
      <c r="AR115">
        <v>87</v>
      </c>
      <c r="AS115">
        <v>110</v>
      </c>
      <c r="AT115">
        <v>105</v>
      </c>
      <c r="AU115">
        <v>125</v>
      </c>
      <c r="AV115">
        <v>236</v>
      </c>
      <c r="AW115">
        <v>125</v>
      </c>
      <c r="AX115">
        <v>175</v>
      </c>
      <c r="AY115">
        <v>214</v>
      </c>
    </row>
    <row r="116" spans="1:51" x14ac:dyDescent="0.35">
      <c r="A116" t="s">
        <v>274</v>
      </c>
      <c r="B116">
        <f t="shared" si="4"/>
        <v>3</v>
      </c>
      <c r="C116" t="s">
        <v>143</v>
      </c>
      <c r="D116" t="s">
        <v>142</v>
      </c>
      <c r="E116" t="s">
        <v>228</v>
      </c>
      <c r="F116">
        <v>133</v>
      </c>
      <c r="G116">
        <v>12</v>
      </c>
      <c r="H116">
        <v>20</v>
      </c>
      <c r="I116">
        <v>19</v>
      </c>
      <c r="J116">
        <v>23</v>
      </c>
      <c r="K116">
        <v>20</v>
      </c>
      <c r="L116">
        <v>21</v>
      </c>
      <c r="M116">
        <v>18</v>
      </c>
      <c r="N116">
        <v>18</v>
      </c>
      <c r="O116">
        <v>21</v>
      </c>
      <c r="P116">
        <v>21</v>
      </c>
      <c r="Q116">
        <v>22</v>
      </c>
      <c r="R116">
        <v>23</v>
      </c>
      <c r="S116">
        <v>24</v>
      </c>
      <c r="T116">
        <v>27</v>
      </c>
      <c r="U116">
        <v>25</v>
      </c>
      <c r="V116">
        <v>20</v>
      </c>
      <c r="W116">
        <v>24</v>
      </c>
      <c r="X116">
        <v>22</v>
      </c>
      <c r="Y116">
        <v>22</v>
      </c>
      <c r="Z116">
        <v>17</v>
      </c>
      <c r="AA116">
        <v>21</v>
      </c>
      <c r="AB116">
        <v>22</v>
      </c>
      <c r="AC116">
        <v>25</v>
      </c>
      <c r="AD116">
        <v>30</v>
      </c>
      <c r="AE116">
        <v>29</v>
      </c>
      <c r="AF116">
        <v>30</v>
      </c>
      <c r="AG116">
        <v>35</v>
      </c>
      <c r="AH116">
        <v>44</v>
      </c>
      <c r="AI116">
        <v>50</v>
      </c>
      <c r="AJ116">
        <v>39</v>
      </c>
      <c r="AK116">
        <v>48</v>
      </c>
      <c r="AL116">
        <v>53</v>
      </c>
      <c r="AM116">
        <v>49</v>
      </c>
      <c r="AN116">
        <v>55</v>
      </c>
      <c r="AO116">
        <v>58</v>
      </c>
      <c r="AP116">
        <v>57</v>
      </c>
      <c r="AQ116">
        <v>51</v>
      </c>
      <c r="AR116">
        <v>60</v>
      </c>
      <c r="AS116">
        <v>68</v>
      </c>
      <c r="AT116">
        <v>74</v>
      </c>
      <c r="AU116">
        <v>87</v>
      </c>
      <c r="AV116">
        <v>146</v>
      </c>
      <c r="AW116">
        <v>85</v>
      </c>
      <c r="AX116">
        <v>112</v>
      </c>
      <c r="AY116">
        <v>140</v>
      </c>
    </row>
    <row r="117" spans="1:51" x14ac:dyDescent="0.35">
      <c r="A117" t="s">
        <v>274</v>
      </c>
      <c r="B117">
        <f t="shared" si="4"/>
        <v>3</v>
      </c>
      <c r="C117" t="s">
        <v>143</v>
      </c>
      <c r="D117" t="s">
        <v>142</v>
      </c>
      <c r="E117" t="s">
        <v>227</v>
      </c>
      <c r="F117">
        <v>132</v>
      </c>
      <c r="G117">
        <v>71</v>
      </c>
      <c r="H117">
        <v>99</v>
      </c>
      <c r="I117">
        <v>87</v>
      </c>
      <c r="J117">
        <v>101</v>
      </c>
      <c r="K117">
        <v>95</v>
      </c>
      <c r="L117">
        <v>94</v>
      </c>
      <c r="M117">
        <v>96</v>
      </c>
      <c r="N117">
        <v>114</v>
      </c>
      <c r="O117">
        <v>116</v>
      </c>
      <c r="P117">
        <v>119</v>
      </c>
      <c r="Q117">
        <v>135</v>
      </c>
      <c r="R117">
        <v>137</v>
      </c>
      <c r="S117">
        <v>135</v>
      </c>
      <c r="T117">
        <v>146</v>
      </c>
      <c r="U117">
        <v>122</v>
      </c>
      <c r="V117">
        <v>117</v>
      </c>
      <c r="W117">
        <v>171</v>
      </c>
      <c r="X117">
        <v>118</v>
      </c>
      <c r="Y117">
        <v>182</v>
      </c>
      <c r="Z117">
        <v>150</v>
      </c>
      <c r="AA117">
        <v>199</v>
      </c>
      <c r="AB117">
        <v>201</v>
      </c>
      <c r="AC117">
        <v>213</v>
      </c>
      <c r="AD117">
        <v>242</v>
      </c>
      <c r="AE117">
        <v>247</v>
      </c>
      <c r="AF117">
        <v>279</v>
      </c>
      <c r="AG117">
        <v>330</v>
      </c>
      <c r="AH117">
        <v>358</v>
      </c>
      <c r="AI117">
        <v>373</v>
      </c>
      <c r="AJ117">
        <v>297</v>
      </c>
      <c r="AK117">
        <v>440</v>
      </c>
      <c r="AL117">
        <v>451</v>
      </c>
      <c r="AM117">
        <v>418</v>
      </c>
      <c r="AN117">
        <v>531</v>
      </c>
      <c r="AO117">
        <v>489</v>
      </c>
      <c r="AP117">
        <v>511</v>
      </c>
      <c r="AQ117">
        <v>590</v>
      </c>
      <c r="AR117">
        <v>835</v>
      </c>
      <c r="AS117">
        <v>1119</v>
      </c>
      <c r="AT117">
        <v>1097</v>
      </c>
      <c r="AU117">
        <v>1515</v>
      </c>
      <c r="AV117">
        <v>1451</v>
      </c>
      <c r="AW117">
        <v>681</v>
      </c>
      <c r="AX117">
        <v>943</v>
      </c>
      <c r="AY117">
        <v>1160</v>
      </c>
    </row>
    <row r="118" spans="1:51" x14ac:dyDescent="0.35">
      <c r="A118" t="s">
        <v>274</v>
      </c>
      <c r="B118">
        <f t="shared" si="4"/>
        <v>3</v>
      </c>
      <c r="C118" t="s">
        <v>143</v>
      </c>
      <c r="D118" t="s">
        <v>142</v>
      </c>
      <c r="E118" t="s">
        <v>226</v>
      </c>
      <c r="F118">
        <v>131</v>
      </c>
      <c r="G118">
        <v>68</v>
      </c>
      <c r="H118">
        <v>94</v>
      </c>
      <c r="I118">
        <v>82</v>
      </c>
      <c r="J118">
        <v>95</v>
      </c>
      <c r="K118">
        <v>86</v>
      </c>
      <c r="L118">
        <v>88</v>
      </c>
      <c r="M118">
        <v>88</v>
      </c>
      <c r="N118">
        <v>106</v>
      </c>
      <c r="O118">
        <v>105</v>
      </c>
      <c r="P118">
        <v>110</v>
      </c>
      <c r="Q118">
        <v>121</v>
      </c>
      <c r="R118">
        <v>118</v>
      </c>
      <c r="S118">
        <v>127</v>
      </c>
      <c r="T118">
        <v>132</v>
      </c>
      <c r="U118">
        <v>111</v>
      </c>
      <c r="V118">
        <v>102</v>
      </c>
      <c r="W118">
        <v>155</v>
      </c>
      <c r="X118">
        <v>107</v>
      </c>
      <c r="Y118">
        <v>173</v>
      </c>
      <c r="Z118">
        <v>141</v>
      </c>
      <c r="AA118">
        <v>188</v>
      </c>
      <c r="AB118">
        <v>186</v>
      </c>
      <c r="AC118">
        <v>197</v>
      </c>
      <c r="AD118">
        <v>226</v>
      </c>
      <c r="AE118">
        <v>230</v>
      </c>
      <c r="AF118">
        <v>263</v>
      </c>
      <c r="AG118">
        <v>312</v>
      </c>
      <c r="AH118">
        <v>331</v>
      </c>
      <c r="AI118">
        <v>349</v>
      </c>
      <c r="AJ118">
        <v>272</v>
      </c>
      <c r="AK118">
        <v>415</v>
      </c>
      <c r="AL118">
        <v>426</v>
      </c>
      <c r="AM118">
        <v>386</v>
      </c>
      <c r="AN118">
        <v>498</v>
      </c>
      <c r="AO118">
        <v>453</v>
      </c>
      <c r="AP118">
        <v>477</v>
      </c>
      <c r="AQ118">
        <v>569</v>
      </c>
      <c r="AR118">
        <v>808</v>
      </c>
      <c r="AS118">
        <v>1085</v>
      </c>
      <c r="AT118">
        <v>1045</v>
      </c>
      <c r="AU118">
        <v>1440</v>
      </c>
      <c r="AV118">
        <v>1370</v>
      </c>
      <c r="AW118">
        <v>626</v>
      </c>
      <c r="AX118">
        <v>877</v>
      </c>
      <c r="AY118">
        <v>1102</v>
      </c>
    </row>
    <row r="119" spans="1:51" x14ac:dyDescent="0.35">
      <c r="A119" t="s">
        <v>274</v>
      </c>
      <c r="B119">
        <f t="shared" si="4"/>
        <v>3</v>
      </c>
      <c r="C119" t="s">
        <v>143</v>
      </c>
      <c r="D119" t="s">
        <v>142</v>
      </c>
      <c r="E119" t="s">
        <v>225</v>
      </c>
      <c r="F119">
        <v>130</v>
      </c>
      <c r="G119">
        <v>70</v>
      </c>
      <c r="H119">
        <v>97</v>
      </c>
      <c r="I119">
        <v>85</v>
      </c>
      <c r="J119">
        <v>98</v>
      </c>
      <c r="K119">
        <v>93</v>
      </c>
      <c r="L119">
        <v>92</v>
      </c>
      <c r="M119">
        <v>94</v>
      </c>
      <c r="N119">
        <v>112</v>
      </c>
      <c r="O119">
        <v>113</v>
      </c>
      <c r="P119">
        <v>116</v>
      </c>
      <c r="Q119">
        <v>132</v>
      </c>
      <c r="R119">
        <v>134</v>
      </c>
      <c r="S119">
        <v>132</v>
      </c>
      <c r="T119">
        <v>142</v>
      </c>
      <c r="U119">
        <v>119</v>
      </c>
      <c r="V119">
        <v>113</v>
      </c>
      <c r="W119">
        <v>166</v>
      </c>
      <c r="X119">
        <v>114</v>
      </c>
      <c r="Y119">
        <v>178</v>
      </c>
      <c r="Z119">
        <v>146</v>
      </c>
      <c r="AA119">
        <v>194</v>
      </c>
      <c r="AB119">
        <v>195</v>
      </c>
      <c r="AC119">
        <v>206</v>
      </c>
      <c r="AD119">
        <v>231</v>
      </c>
      <c r="AE119">
        <v>237</v>
      </c>
      <c r="AF119">
        <v>269</v>
      </c>
      <c r="AG119">
        <v>320</v>
      </c>
      <c r="AH119">
        <v>346</v>
      </c>
      <c r="AI119">
        <v>360</v>
      </c>
      <c r="AJ119">
        <v>285</v>
      </c>
      <c r="AK119">
        <v>425</v>
      </c>
      <c r="AL119">
        <v>424</v>
      </c>
      <c r="AM119">
        <v>395</v>
      </c>
      <c r="AN119">
        <v>508</v>
      </c>
      <c r="AO119">
        <v>465</v>
      </c>
      <c r="AP119">
        <v>490</v>
      </c>
      <c r="AQ119">
        <v>572</v>
      </c>
      <c r="AR119">
        <v>801</v>
      </c>
      <c r="AS119">
        <v>1057</v>
      </c>
      <c r="AT119">
        <v>991</v>
      </c>
      <c r="AU119">
        <v>1425</v>
      </c>
      <c r="AV119">
        <v>1359</v>
      </c>
      <c r="AW119">
        <v>646</v>
      </c>
      <c r="AX119">
        <v>890</v>
      </c>
      <c r="AY119">
        <v>1091</v>
      </c>
    </row>
    <row r="120" spans="1:51" x14ac:dyDescent="0.35">
      <c r="A120" t="s">
        <v>274</v>
      </c>
      <c r="B120">
        <f t="shared" si="4"/>
        <v>3</v>
      </c>
      <c r="C120" t="s">
        <v>143</v>
      </c>
      <c r="D120" t="s">
        <v>142</v>
      </c>
      <c r="E120" t="s">
        <v>223</v>
      </c>
      <c r="F120">
        <v>128</v>
      </c>
      <c r="G120">
        <v>35</v>
      </c>
      <c r="H120">
        <v>48</v>
      </c>
      <c r="I120">
        <v>46</v>
      </c>
      <c r="J120">
        <v>52</v>
      </c>
      <c r="K120">
        <v>44</v>
      </c>
      <c r="L120">
        <v>47</v>
      </c>
      <c r="M120">
        <v>44</v>
      </c>
      <c r="N120">
        <v>54</v>
      </c>
      <c r="O120">
        <v>51</v>
      </c>
      <c r="P120">
        <v>52</v>
      </c>
      <c r="Q120">
        <v>50</v>
      </c>
      <c r="R120">
        <v>58</v>
      </c>
      <c r="S120">
        <v>54</v>
      </c>
      <c r="T120">
        <v>55</v>
      </c>
      <c r="U120">
        <v>51</v>
      </c>
      <c r="V120">
        <v>46</v>
      </c>
      <c r="W120">
        <v>70</v>
      </c>
      <c r="X120">
        <v>46</v>
      </c>
      <c r="Y120">
        <v>65</v>
      </c>
      <c r="Z120">
        <v>76</v>
      </c>
      <c r="AA120">
        <v>97</v>
      </c>
      <c r="AB120">
        <v>93</v>
      </c>
      <c r="AC120">
        <v>101</v>
      </c>
      <c r="AD120">
        <v>99</v>
      </c>
      <c r="AE120">
        <v>106</v>
      </c>
      <c r="AF120">
        <v>121</v>
      </c>
      <c r="AG120">
        <v>144</v>
      </c>
      <c r="AH120">
        <v>163</v>
      </c>
      <c r="AI120">
        <v>157</v>
      </c>
      <c r="AJ120">
        <v>126</v>
      </c>
      <c r="AK120">
        <v>217</v>
      </c>
      <c r="AL120">
        <v>243</v>
      </c>
      <c r="AM120">
        <v>214</v>
      </c>
      <c r="AN120">
        <v>281</v>
      </c>
      <c r="AO120">
        <v>236</v>
      </c>
      <c r="AP120">
        <v>232</v>
      </c>
      <c r="AQ120">
        <v>291</v>
      </c>
      <c r="AR120">
        <v>398</v>
      </c>
      <c r="AS120">
        <v>527</v>
      </c>
      <c r="AT120">
        <v>349</v>
      </c>
      <c r="AU120">
        <v>646</v>
      </c>
      <c r="AV120">
        <v>641</v>
      </c>
      <c r="AW120">
        <v>203</v>
      </c>
      <c r="AX120">
        <v>285</v>
      </c>
      <c r="AY120">
        <v>409</v>
      </c>
    </row>
    <row r="121" spans="1:51" x14ac:dyDescent="0.35">
      <c r="A121" t="s">
        <v>274</v>
      </c>
      <c r="B121">
        <f t="shared" si="4"/>
        <v>3</v>
      </c>
      <c r="C121" t="s">
        <v>143</v>
      </c>
      <c r="D121" t="s">
        <v>142</v>
      </c>
      <c r="E121" t="s">
        <v>222</v>
      </c>
      <c r="F121">
        <v>127</v>
      </c>
      <c r="G121">
        <v>128</v>
      </c>
      <c r="H121">
        <v>175</v>
      </c>
      <c r="I121">
        <v>154</v>
      </c>
      <c r="J121">
        <v>188</v>
      </c>
      <c r="K121">
        <v>179</v>
      </c>
      <c r="L121">
        <v>169</v>
      </c>
      <c r="M121">
        <v>156</v>
      </c>
      <c r="N121">
        <v>183</v>
      </c>
      <c r="O121">
        <v>189</v>
      </c>
      <c r="P121">
        <v>198</v>
      </c>
      <c r="Q121">
        <v>220</v>
      </c>
      <c r="R121">
        <v>220</v>
      </c>
      <c r="S121">
        <v>194</v>
      </c>
      <c r="T121">
        <v>209</v>
      </c>
      <c r="U121">
        <v>182</v>
      </c>
      <c r="V121">
        <v>148</v>
      </c>
      <c r="W121">
        <v>245</v>
      </c>
      <c r="X121">
        <v>180</v>
      </c>
      <c r="Y121">
        <v>240</v>
      </c>
      <c r="Z121">
        <v>163</v>
      </c>
      <c r="AA121">
        <v>201</v>
      </c>
      <c r="AB121">
        <v>216</v>
      </c>
      <c r="AC121">
        <v>222</v>
      </c>
      <c r="AD121">
        <v>271</v>
      </c>
      <c r="AE121">
        <v>273</v>
      </c>
      <c r="AF121">
        <v>279</v>
      </c>
      <c r="AG121">
        <v>326</v>
      </c>
      <c r="AH121">
        <v>358</v>
      </c>
      <c r="AI121">
        <v>407</v>
      </c>
      <c r="AJ121">
        <v>295</v>
      </c>
      <c r="AK121">
        <v>378</v>
      </c>
      <c r="AL121">
        <v>355</v>
      </c>
      <c r="AM121">
        <v>333</v>
      </c>
      <c r="AN121">
        <v>396</v>
      </c>
      <c r="AO121">
        <v>414</v>
      </c>
      <c r="AP121">
        <v>457</v>
      </c>
      <c r="AQ121">
        <v>426</v>
      </c>
      <c r="AR121">
        <v>582</v>
      </c>
      <c r="AS121">
        <v>725</v>
      </c>
      <c r="AT121">
        <v>826</v>
      </c>
      <c r="AU121">
        <v>964</v>
      </c>
      <c r="AV121">
        <v>1128</v>
      </c>
      <c r="AW121">
        <v>675</v>
      </c>
      <c r="AX121">
        <v>859</v>
      </c>
      <c r="AY121">
        <v>1008</v>
      </c>
    </row>
    <row r="122" spans="1:51" x14ac:dyDescent="0.35">
      <c r="A122" t="s">
        <v>274</v>
      </c>
      <c r="B122">
        <f t="shared" si="4"/>
        <v>3</v>
      </c>
      <c r="C122" t="s">
        <v>143</v>
      </c>
      <c r="D122" t="s">
        <v>142</v>
      </c>
      <c r="E122" t="s">
        <v>221</v>
      </c>
      <c r="F122">
        <v>126</v>
      </c>
      <c r="G122">
        <v>97</v>
      </c>
      <c r="H122">
        <v>131</v>
      </c>
      <c r="I122">
        <v>120</v>
      </c>
      <c r="J122">
        <v>146</v>
      </c>
      <c r="K122">
        <v>138</v>
      </c>
      <c r="L122">
        <v>130</v>
      </c>
      <c r="M122">
        <v>114</v>
      </c>
      <c r="N122">
        <v>131</v>
      </c>
      <c r="O122">
        <v>135</v>
      </c>
      <c r="P122">
        <v>140</v>
      </c>
      <c r="Q122">
        <v>143</v>
      </c>
      <c r="R122">
        <v>156</v>
      </c>
      <c r="S122">
        <v>122</v>
      </c>
      <c r="T122">
        <v>132</v>
      </c>
      <c r="U122">
        <v>124</v>
      </c>
      <c r="V122">
        <v>94</v>
      </c>
      <c r="W122">
        <v>157</v>
      </c>
      <c r="X122">
        <v>119</v>
      </c>
      <c r="Y122">
        <v>127</v>
      </c>
      <c r="Z122">
        <v>100</v>
      </c>
      <c r="AA122">
        <v>109</v>
      </c>
      <c r="AB122">
        <v>121</v>
      </c>
      <c r="AC122">
        <v>125</v>
      </c>
      <c r="AD122">
        <v>146</v>
      </c>
      <c r="AE122">
        <v>148</v>
      </c>
      <c r="AF122">
        <v>136</v>
      </c>
      <c r="AG122">
        <v>157</v>
      </c>
      <c r="AH122">
        <v>190</v>
      </c>
      <c r="AI122">
        <v>214</v>
      </c>
      <c r="AJ122">
        <v>150</v>
      </c>
      <c r="AK122">
        <v>180</v>
      </c>
      <c r="AL122">
        <v>178</v>
      </c>
      <c r="AM122">
        <v>165</v>
      </c>
      <c r="AN122">
        <v>181</v>
      </c>
      <c r="AO122">
        <v>196</v>
      </c>
      <c r="AP122">
        <v>207</v>
      </c>
      <c r="AQ122">
        <v>143</v>
      </c>
      <c r="AR122">
        <v>171</v>
      </c>
      <c r="AS122">
        <v>185</v>
      </c>
      <c r="AT122">
        <v>196</v>
      </c>
      <c r="AU122">
        <v>211</v>
      </c>
      <c r="AV122">
        <v>398</v>
      </c>
      <c r="AW122">
        <v>239</v>
      </c>
      <c r="AX122">
        <v>271</v>
      </c>
      <c r="AY122">
        <v>318</v>
      </c>
    </row>
    <row r="123" spans="1:51" x14ac:dyDescent="0.35">
      <c r="A123" t="s">
        <v>274</v>
      </c>
      <c r="B123">
        <f t="shared" si="4"/>
        <v>3</v>
      </c>
      <c r="C123" t="s">
        <v>143</v>
      </c>
      <c r="D123" t="s">
        <v>142</v>
      </c>
      <c r="E123" t="s">
        <v>220</v>
      </c>
      <c r="F123">
        <v>125</v>
      </c>
      <c r="G123">
        <v>31</v>
      </c>
      <c r="H123">
        <v>44</v>
      </c>
      <c r="I123">
        <v>34</v>
      </c>
      <c r="J123">
        <v>41</v>
      </c>
      <c r="K123">
        <v>40</v>
      </c>
      <c r="L123">
        <v>38</v>
      </c>
      <c r="M123">
        <v>41</v>
      </c>
      <c r="N123">
        <v>50</v>
      </c>
      <c r="O123">
        <v>52</v>
      </c>
      <c r="P123">
        <v>55</v>
      </c>
      <c r="Q123">
        <v>68</v>
      </c>
      <c r="R123">
        <v>58</v>
      </c>
      <c r="S123">
        <v>69</v>
      </c>
      <c r="T123">
        <v>73</v>
      </c>
      <c r="U123">
        <v>56</v>
      </c>
      <c r="V123">
        <v>52</v>
      </c>
      <c r="W123">
        <v>82</v>
      </c>
      <c r="X123">
        <v>57</v>
      </c>
      <c r="Y123">
        <v>104</v>
      </c>
      <c r="Z123">
        <v>61</v>
      </c>
      <c r="AA123">
        <v>85</v>
      </c>
      <c r="AB123">
        <v>86</v>
      </c>
      <c r="AC123">
        <v>89</v>
      </c>
      <c r="AD123">
        <v>115</v>
      </c>
      <c r="AE123">
        <v>114</v>
      </c>
      <c r="AF123">
        <v>132</v>
      </c>
      <c r="AG123">
        <v>157</v>
      </c>
      <c r="AH123">
        <v>156</v>
      </c>
      <c r="AI123">
        <v>178</v>
      </c>
      <c r="AJ123">
        <v>134</v>
      </c>
      <c r="AK123">
        <v>183</v>
      </c>
      <c r="AL123">
        <v>157</v>
      </c>
      <c r="AM123">
        <v>149</v>
      </c>
      <c r="AN123">
        <v>194</v>
      </c>
      <c r="AO123">
        <v>193</v>
      </c>
      <c r="AP123">
        <v>223</v>
      </c>
      <c r="AQ123">
        <v>260</v>
      </c>
      <c r="AR123">
        <v>377</v>
      </c>
      <c r="AS123">
        <v>497</v>
      </c>
      <c r="AT123">
        <v>590</v>
      </c>
      <c r="AU123">
        <v>704</v>
      </c>
      <c r="AV123">
        <v>636</v>
      </c>
      <c r="AW123">
        <v>388</v>
      </c>
      <c r="AX123">
        <v>539</v>
      </c>
      <c r="AY123">
        <v>625</v>
      </c>
    </row>
    <row r="124" spans="1:51" x14ac:dyDescent="0.35">
      <c r="A124" t="s">
        <v>274</v>
      </c>
      <c r="B124">
        <f t="shared" si="4"/>
        <v>3</v>
      </c>
      <c r="C124" t="s">
        <v>143</v>
      </c>
      <c r="D124" t="s">
        <v>142</v>
      </c>
      <c r="E124" t="s">
        <v>219</v>
      </c>
      <c r="F124">
        <v>124</v>
      </c>
      <c r="G124">
        <v>55</v>
      </c>
      <c r="H124">
        <v>73</v>
      </c>
      <c r="I124">
        <v>66</v>
      </c>
      <c r="J124">
        <v>85</v>
      </c>
      <c r="K124">
        <v>79</v>
      </c>
      <c r="L124">
        <v>73</v>
      </c>
      <c r="M124">
        <v>61</v>
      </c>
      <c r="N124">
        <v>72</v>
      </c>
      <c r="O124">
        <v>76</v>
      </c>
      <c r="P124">
        <v>81</v>
      </c>
      <c r="Q124">
        <v>85</v>
      </c>
      <c r="R124">
        <v>92</v>
      </c>
      <c r="S124">
        <v>67</v>
      </c>
      <c r="T124">
        <v>71</v>
      </c>
      <c r="U124">
        <v>65</v>
      </c>
      <c r="V124">
        <v>43</v>
      </c>
      <c r="W124">
        <v>89</v>
      </c>
      <c r="X124">
        <v>57</v>
      </c>
      <c r="Y124">
        <v>59</v>
      </c>
      <c r="Z124">
        <v>41</v>
      </c>
      <c r="AA124">
        <v>40</v>
      </c>
      <c r="AB124">
        <v>43</v>
      </c>
      <c r="AC124">
        <v>42</v>
      </c>
      <c r="AD124">
        <v>51</v>
      </c>
      <c r="AE124">
        <v>50</v>
      </c>
      <c r="AF124">
        <v>44</v>
      </c>
      <c r="AG124">
        <v>52</v>
      </c>
      <c r="AH124">
        <v>54</v>
      </c>
      <c r="AI124">
        <v>60</v>
      </c>
      <c r="AJ124">
        <v>40</v>
      </c>
      <c r="AK124">
        <v>51</v>
      </c>
      <c r="AL124">
        <v>51</v>
      </c>
      <c r="AM124">
        <v>40</v>
      </c>
      <c r="AN124">
        <v>39</v>
      </c>
      <c r="AO124">
        <v>43</v>
      </c>
      <c r="AP124">
        <v>65</v>
      </c>
      <c r="AQ124">
        <v>37</v>
      </c>
      <c r="AR124">
        <v>44</v>
      </c>
      <c r="AS124">
        <v>50</v>
      </c>
      <c r="AT124">
        <v>43</v>
      </c>
      <c r="AU124">
        <v>61</v>
      </c>
      <c r="AV124">
        <v>113</v>
      </c>
      <c r="AW124">
        <v>82</v>
      </c>
      <c r="AX124">
        <v>80</v>
      </c>
      <c r="AY124">
        <v>92</v>
      </c>
    </row>
    <row r="125" spans="1:51" x14ac:dyDescent="0.35">
      <c r="A125" t="s">
        <v>274</v>
      </c>
      <c r="B125">
        <f t="shared" si="4"/>
        <v>3</v>
      </c>
      <c r="C125" t="s">
        <v>143</v>
      </c>
      <c r="D125" t="s">
        <v>142</v>
      </c>
      <c r="E125" t="s">
        <v>217</v>
      </c>
      <c r="F125">
        <v>122</v>
      </c>
      <c r="G125">
        <v>23</v>
      </c>
      <c r="H125">
        <v>33</v>
      </c>
      <c r="I125">
        <v>22</v>
      </c>
      <c r="J125">
        <v>27</v>
      </c>
      <c r="K125">
        <v>27</v>
      </c>
      <c r="L125">
        <v>25</v>
      </c>
      <c r="M125">
        <v>29</v>
      </c>
      <c r="N125">
        <v>38</v>
      </c>
      <c r="O125">
        <v>37</v>
      </c>
      <c r="P125">
        <v>36</v>
      </c>
      <c r="Q125">
        <v>43</v>
      </c>
      <c r="R125">
        <v>37</v>
      </c>
      <c r="S125">
        <v>44</v>
      </c>
      <c r="T125">
        <v>51</v>
      </c>
      <c r="U125">
        <v>33</v>
      </c>
      <c r="V125">
        <v>37</v>
      </c>
      <c r="W125">
        <v>64</v>
      </c>
      <c r="X125">
        <v>39</v>
      </c>
      <c r="Y125">
        <v>84</v>
      </c>
      <c r="Z125">
        <v>40</v>
      </c>
      <c r="AA125">
        <v>57</v>
      </c>
      <c r="AB125">
        <v>53</v>
      </c>
      <c r="AC125">
        <v>55</v>
      </c>
      <c r="AD125">
        <v>69</v>
      </c>
      <c r="AE125">
        <v>68</v>
      </c>
      <c r="AF125">
        <v>87</v>
      </c>
      <c r="AG125">
        <v>105</v>
      </c>
      <c r="AH125">
        <v>106</v>
      </c>
      <c r="AI125">
        <v>115</v>
      </c>
      <c r="AJ125">
        <v>91</v>
      </c>
      <c r="AK125">
        <v>134</v>
      </c>
      <c r="AL125">
        <v>110</v>
      </c>
      <c r="AM125">
        <v>97</v>
      </c>
      <c r="AN125">
        <v>125</v>
      </c>
      <c r="AO125">
        <v>123</v>
      </c>
      <c r="AP125">
        <v>151</v>
      </c>
      <c r="AQ125">
        <v>189</v>
      </c>
      <c r="AR125">
        <v>274</v>
      </c>
      <c r="AS125">
        <v>359</v>
      </c>
      <c r="AT125">
        <v>434</v>
      </c>
      <c r="AU125">
        <v>550</v>
      </c>
      <c r="AV125">
        <v>417</v>
      </c>
      <c r="AW125">
        <v>322</v>
      </c>
      <c r="AX125">
        <v>456</v>
      </c>
      <c r="AY125">
        <v>528</v>
      </c>
    </row>
    <row r="126" spans="1:51" x14ac:dyDescent="0.35">
      <c r="A126" t="s">
        <v>274</v>
      </c>
      <c r="B126">
        <f t="shared" si="4"/>
        <v>3</v>
      </c>
      <c r="C126" t="s">
        <v>143</v>
      </c>
      <c r="D126" t="s">
        <v>142</v>
      </c>
      <c r="E126" t="s">
        <v>216</v>
      </c>
      <c r="F126">
        <v>121</v>
      </c>
      <c r="G126">
        <v>42</v>
      </c>
      <c r="H126">
        <v>58</v>
      </c>
      <c r="I126">
        <v>54</v>
      </c>
      <c r="J126">
        <v>62</v>
      </c>
      <c r="K126">
        <v>59</v>
      </c>
      <c r="L126">
        <v>57</v>
      </c>
      <c r="M126">
        <v>53</v>
      </c>
      <c r="N126">
        <v>58</v>
      </c>
      <c r="O126">
        <v>58</v>
      </c>
      <c r="P126">
        <v>59</v>
      </c>
      <c r="Q126">
        <v>57</v>
      </c>
      <c r="R126">
        <v>63</v>
      </c>
      <c r="S126">
        <v>55</v>
      </c>
      <c r="T126">
        <v>62</v>
      </c>
      <c r="U126">
        <v>59</v>
      </c>
      <c r="V126">
        <v>51</v>
      </c>
      <c r="W126">
        <v>68</v>
      </c>
      <c r="X126">
        <v>62</v>
      </c>
      <c r="Y126">
        <v>68</v>
      </c>
      <c r="Z126">
        <v>59</v>
      </c>
      <c r="AA126">
        <v>68</v>
      </c>
      <c r="AB126">
        <v>78</v>
      </c>
      <c r="AC126">
        <v>83</v>
      </c>
      <c r="AD126">
        <v>94</v>
      </c>
      <c r="AE126">
        <v>98</v>
      </c>
      <c r="AF126">
        <v>91</v>
      </c>
      <c r="AG126">
        <v>105</v>
      </c>
      <c r="AH126">
        <v>136</v>
      </c>
      <c r="AI126">
        <v>154</v>
      </c>
      <c r="AJ126">
        <v>111</v>
      </c>
      <c r="AK126">
        <v>129</v>
      </c>
      <c r="AL126">
        <v>127</v>
      </c>
      <c r="AM126">
        <v>125</v>
      </c>
      <c r="AN126">
        <v>142</v>
      </c>
      <c r="AO126">
        <v>153</v>
      </c>
      <c r="AP126">
        <v>142</v>
      </c>
      <c r="AQ126">
        <v>106</v>
      </c>
      <c r="AR126">
        <v>127</v>
      </c>
      <c r="AS126">
        <v>135</v>
      </c>
      <c r="AT126">
        <v>153</v>
      </c>
      <c r="AU126">
        <v>150</v>
      </c>
      <c r="AV126">
        <v>285</v>
      </c>
      <c r="AW126">
        <v>157</v>
      </c>
      <c r="AX126">
        <v>191</v>
      </c>
      <c r="AY126">
        <v>227</v>
      </c>
    </row>
    <row r="127" spans="1:51" x14ac:dyDescent="0.35">
      <c r="A127" t="s">
        <v>274</v>
      </c>
      <c r="B127">
        <f t="shared" si="4"/>
        <v>3</v>
      </c>
      <c r="C127" t="s">
        <v>143</v>
      </c>
      <c r="D127" t="s">
        <v>142</v>
      </c>
      <c r="E127" t="s">
        <v>215</v>
      </c>
      <c r="F127">
        <v>120</v>
      </c>
      <c r="G127">
        <v>8</v>
      </c>
      <c r="H127">
        <v>10</v>
      </c>
      <c r="I127">
        <v>12</v>
      </c>
      <c r="J127">
        <v>13</v>
      </c>
      <c r="K127">
        <v>13</v>
      </c>
      <c r="L127">
        <v>13</v>
      </c>
      <c r="M127">
        <v>12</v>
      </c>
      <c r="N127">
        <v>11</v>
      </c>
      <c r="O127">
        <v>14</v>
      </c>
      <c r="P127">
        <v>19</v>
      </c>
      <c r="Q127">
        <v>25</v>
      </c>
      <c r="R127">
        <v>21</v>
      </c>
      <c r="S127">
        <v>25</v>
      </c>
      <c r="T127">
        <v>22</v>
      </c>
      <c r="U127">
        <v>23</v>
      </c>
      <c r="V127">
        <v>15</v>
      </c>
      <c r="W127">
        <v>18</v>
      </c>
      <c r="X127">
        <v>18</v>
      </c>
      <c r="Y127">
        <v>19</v>
      </c>
      <c r="Z127">
        <v>22</v>
      </c>
      <c r="AA127">
        <v>28</v>
      </c>
      <c r="AB127">
        <v>34</v>
      </c>
      <c r="AC127">
        <v>34</v>
      </c>
      <c r="AD127">
        <v>47</v>
      </c>
      <c r="AE127">
        <v>46</v>
      </c>
      <c r="AF127">
        <v>45</v>
      </c>
      <c r="AG127">
        <v>52</v>
      </c>
      <c r="AH127">
        <v>50</v>
      </c>
      <c r="AI127">
        <v>64</v>
      </c>
      <c r="AJ127">
        <v>44</v>
      </c>
      <c r="AK127">
        <v>49</v>
      </c>
      <c r="AL127">
        <v>46</v>
      </c>
      <c r="AM127">
        <v>52</v>
      </c>
      <c r="AN127">
        <v>68</v>
      </c>
      <c r="AO127">
        <v>70</v>
      </c>
      <c r="AP127">
        <v>72</v>
      </c>
      <c r="AQ127">
        <v>71</v>
      </c>
      <c r="AR127">
        <v>103</v>
      </c>
      <c r="AS127">
        <v>138</v>
      </c>
      <c r="AT127">
        <v>156</v>
      </c>
      <c r="AU127">
        <v>154</v>
      </c>
      <c r="AV127">
        <v>219</v>
      </c>
      <c r="AW127">
        <v>67</v>
      </c>
      <c r="AX127">
        <v>83</v>
      </c>
      <c r="AY127">
        <v>97</v>
      </c>
    </row>
    <row r="128" spans="1:51" x14ac:dyDescent="0.35">
      <c r="A128" t="s">
        <v>274</v>
      </c>
      <c r="B128">
        <f t="shared" si="4"/>
        <v>3</v>
      </c>
      <c r="C128" t="s">
        <v>143</v>
      </c>
      <c r="D128" t="s">
        <v>142</v>
      </c>
      <c r="E128" t="s">
        <v>213</v>
      </c>
      <c r="F128">
        <v>118</v>
      </c>
      <c r="G128">
        <v>15</v>
      </c>
      <c r="H128">
        <v>17</v>
      </c>
      <c r="I128">
        <v>17</v>
      </c>
      <c r="J128">
        <v>25</v>
      </c>
      <c r="K128">
        <v>21</v>
      </c>
      <c r="L128">
        <v>18</v>
      </c>
      <c r="M128">
        <v>17</v>
      </c>
      <c r="N128">
        <v>21</v>
      </c>
      <c r="O128">
        <v>20</v>
      </c>
      <c r="P128">
        <v>21</v>
      </c>
      <c r="Q128">
        <v>22</v>
      </c>
      <c r="R128">
        <v>26</v>
      </c>
      <c r="S128">
        <v>25</v>
      </c>
      <c r="T128">
        <v>23</v>
      </c>
      <c r="U128">
        <v>26</v>
      </c>
      <c r="V128">
        <v>26</v>
      </c>
      <c r="W128">
        <v>28</v>
      </c>
      <c r="X128">
        <v>22</v>
      </c>
      <c r="Y128">
        <v>28</v>
      </c>
      <c r="Z128">
        <v>31</v>
      </c>
      <c r="AA128">
        <v>41</v>
      </c>
      <c r="AB128">
        <v>37</v>
      </c>
      <c r="AC128">
        <v>40</v>
      </c>
      <c r="AD128">
        <v>36</v>
      </c>
      <c r="AE128">
        <v>46</v>
      </c>
      <c r="AF128">
        <v>57</v>
      </c>
      <c r="AG128">
        <v>64</v>
      </c>
      <c r="AH128">
        <v>71</v>
      </c>
      <c r="AI128">
        <v>71</v>
      </c>
      <c r="AJ128">
        <v>60</v>
      </c>
      <c r="AK128">
        <v>101</v>
      </c>
      <c r="AL128">
        <v>144</v>
      </c>
      <c r="AM128">
        <v>123</v>
      </c>
      <c r="AN128">
        <v>149</v>
      </c>
      <c r="AO128">
        <v>117</v>
      </c>
      <c r="AP128">
        <v>111</v>
      </c>
      <c r="AQ128">
        <v>157</v>
      </c>
      <c r="AR128">
        <v>219</v>
      </c>
      <c r="AS128">
        <v>309</v>
      </c>
      <c r="AT128">
        <v>234</v>
      </c>
      <c r="AU128">
        <v>330</v>
      </c>
      <c r="AV128">
        <v>385</v>
      </c>
      <c r="AW128">
        <v>129</v>
      </c>
      <c r="AX128">
        <v>171</v>
      </c>
      <c r="AY128">
        <v>282</v>
      </c>
    </row>
    <row r="129" spans="1:51" x14ac:dyDescent="0.35">
      <c r="A129" t="s">
        <v>274</v>
      </c>
      <c r="B129">
        <f t="shared" si="4"/>
        <v>3</v>
      </c>
      <c r="C129" t="s">
        <v>143</v>
      </c>
      <c r="D129" t="s">
        <v>142</v>
      </c>
      <c r="E129" t="s">
        <v>210</v>
      </c>
      <c r="F129">
        <v>115</v>
      </c>
      <c r="G129">
        <v>20</v>
      </c>
      <c r="H129">
        <v>31</v>
      </c>
      <c r="I129">
        <v>30</v>
      </c>
      <c r="J129">
        <v>27</v>
      </c>
      <c r="K129">
        <v>23</v>
      </c>
      <c r="L129">
        <v>29</v>
      </c>
      <c r="M129">
        <v>27</v>
      </c>
      <c r="N129">
        <v>33</v>
      </c>
      <c r="O129">
        <v>31</v>
      </c>
      <c r="P129">
        <v>31</v>
      </c>
      <c r="Q129">
        <v>29</v>
      </c>
      <c r="R129">
        <v>32</v>
      </c>
      <c r="S129">
        <v>29</v>
      </c>
      <c r="T129">
        <v>32</v>
      </c>
      <c r="U129">
        <v>26</v>
      </c>
      <c r="V129">
        <v>21</v>
      </c>
      <c r="W129">
        <v>42</v>
      </c>
      <c r="X129">
        <v>25</v>
      </c>
      <c r="Y129">
        <v>38</v>
      </c>
      <c r="Z129">
        <v>44</v>
      </c>
      <c r="AA129">
        <v>56</v>
      </c>
      <c r="AB129">
        <v>56</v>
      </c>
      <c r="AC129">
        <v>61</v>
      </c>
      <c r="AD129">
        <v>63</v>
      </c>
      <c r="AE129">
        <v>59</v>
      </c>
      <c r="AF129">
        <v>63</v>
      </c>
      <c r="AG129">
        <v>80</v>
      </c>
      <c r="AH129">
        <v>92</v>
      </c>
      <c r="AI129">
        <v>87</v>
      </c>
      <c r="AJ129">
        <v>66</v>
      </c>
      <c r="AK129">
        <v>116</v>
      </c>
      <c r="AL129">
        <v>99</v>
      </c>
      <c r="AM129">
        <v>92</v>
      </c>
      <c r="AN129">
        <v>132</v>
      </c>
      <c r="AO129">
        <v>119</v>
      </c>
      <c r="AP129">
        <v>121</v>
      </c>
      <c r="AQ129">
        <v>134</v>
      </c>
      <c r="AR129">
        <v>179</v>
      </c>
      <c r="AS129">
        <v>218</v>
      </c>
      <c r="AT129">
        <v>115</v>
      </c>
      <c r="AU129">
        <v>316</v>
      </c>
      <c r="AV129">
        <v>256</v>
      </c>
      <c r="AW129">
        <v>74</v>
      </c>
      <c r="AX129">
        <v>113</v>
      </c>
      <c r="AY129">
        <v>127</v>
      </c>
    </row>
    <row r="130" spans="1:51" x14ac:dyDescent="0.35">
      <c r="A130" t="s">
        <v>274</v>
      </c>
      <c r="B130">
        <f t="shared" si="4"/>
        <v>3</v>
      </c>
      <c r="C130" t="s">
        <v>143</v>
      </c>
      <c r="D130" t="s">
        <v>142</v>
      </c>
      <c r="E130" t="s">
        <v>209</v>
      </c>
      <c r="F130">
        <v>114</v>
      </c>
      <c r="G130">
        <v>30</v>
      </c>
      <c r="H130">
        <v>43</v>
      </c>
      <c r="I130">
        <v>42</v>
      </c>
      <c r="J130">
        <v>40</v>
      </c>
      <c r="K130">
        <v>35</v>
      </c>
      <c r="L130">
        <v>33</v>
      </c>
      <c r="M130">
        <v>34</v>
      </c>
      <c r="N130">
        <v>38</v>
      </c>
      <c r="O130">
        <v>35</v>
      </c>
      <c r="P130">
        <v>37</v>
      </c>
      <c r="Q130">
        <v>34</v>
      </c>
      <c r="R130">
        <v>39</v>
      </c>
      <c r="S130">
        <v>38</v>
      </c>
      <c r="T130">
        <v>43</v>
      </c>
      <c r="U130">
        <v>36</v>
      </c>
      <c r="V130">
        <v>29</v>
      </c>
      <c r="W130">
        <v>52</v>
      </c>
      <c r="X130">
        <v>32</v>
      </c>
      <c r="Y130">
        <v>46</v>
      </c>
      <c r="Z130">
        <v>51</v>
      </c>
      <c r="AA130">
        <v>63</v>
      </c>
      <c r="AB130">
        <v>65</v>
      </c>
      <c r="AC130">
        <v>67</v>
      </c>
      <c r="AD130">
        <v>69</v>
      </c>
      <c r="AE130">
        <v>65</v>
      </c>
      <c r="AF130">
        <v>68</v>
      </c>
      <c r="AG130">
        <v>86</v>
      </c>
      <c r="AH130">
        <v>102</v>
      </c>
      <c r="AI130">
        <v>97</v>
      </c>
      <c r="AJ130">
        <v>69</v>
      </c>
      <c r="AK130">
        <v>120</v>
      </c>
      <c r="AL130">
        <v>103</v>
      </c>
      <c r="AM130">
        <v>96</v>
      </c>
      <c r="AN130">
        <v>139</v>
      </c>
      <c r="AO130">
        <v>126</v>
      </c>
      <c r="AP130">
        <v>138</v>
      </c>
      <c r="AQ130">
        <v>144</v>
      </c>
      <c r="AR130">
        <v>195</v>
      </c>
      <c r="AS130">
        <v>237</v>
      </c>
      <c r="AT130">
        <v>128</v>
      </c>
      <c r="AU130">
        <v>335</v>
      </c>
      <c r="AV130">
        <v>280</v>
      </c>
      <c r="AW130">
        <v>92</v>
      </c>
      <c r="AX130">
        <v>130</v>
      </c>
      <c r="AY130">
        <v>147</v>
      </c>
    </row>
    <row r="131" spans="1:51" x14ac:dyDescent="0.35">
      <c r="A131" t="s">
        <v>274</v>
      </c>
      <c r="B131">
        <f t="shared" si="4"/>
        <v>3</v>
      </c>
      <c r="C131" t="s">
        <v>143</v>
      </c>
      <c r="D131" t="s">
        <v>142</v>
      </c>
      <c r="E131" t="s">
        <v>208</v>
      </c>
      <c r="F131">
        <v>113</v>
      </c>
      <c r="G131">
        <v>78</v>
      </c>
      <c r="H131">
        <v>104</v>
      </c>
      <c r="I131">
        <v>106</v>
      </c>
      <c r="J131">
        <v>126</v>
      </c>
      <c r="K131">
        <v>118</v>
      </c>
      <c r="L131">
        <v>103</v>
      </c>
      <c r="M131">
        <v>96</v>
      </c>
      <c r="N131">
        <v>104</v>
      </c>
      <c r="O131">
        <v>91</v>
      </c>
      <c r="P131">
        <v>106</v>
      </c>
      <c r="Q131">
        <v>123</v>
      </c>
      <c r="R131">
        <v>120</v>
      </c>
      <c r="S131">
        <v>161</v>
      </c>
      <c r="T131">
        <v>131</v>
      </c>
      <c r="U131">
        <v>143</v>
      </c>
      <c r="V131">
        <v>126</v>
      </c>
      <c r="W131">
        <v>88</v>
      </c>
      <c r="X131">
        <v>109</v>
      </c>
      <c r="Y131">
        <v>96</v>
      </c>
      <c r="Z131">
        <v>96</v>
      </c>
      <c r="AA131">
        <v>131</v>
      </c>
      <c r="AB131">
        <v>115</v>
      </c>
      <c r="AC131">
        <v>104</v>
      </c>
      <c r="AD131">
        <v>92</v>
      </c>
      <c r="AE131">
        <v>94</v>
      </c>
      <c r="AF131">
        <v>118</v>
      </c>
      <c r="AG131">
        <v>138</v>
      </c>
      <c r="AH131">
        <v>123</v>
      </c>
      <c r="AI131">
        <v>135</v>
      </c>
      <c r="AJ131">
        <v>134</v>
      </c>
      <c r="AK131">
        <v>145</v>
      </c>
      <c r="AL131">
        <v>169</v>
      </c>
      <c r="AM131">
        <v>157</v>
      </c>
      <c r="AN131">
        <v>183</v>
      </c>
      <c r="AO131">
        <v>169</v>
      </c>
      <c r="AP131">
        <v>226</v>
      </c>
      <c r="AQ131">
        <v>247</v>
      </c>
      <c r="AR131">
        <v>306</v>
      </c>
      <c r="AS131">
        <v>319</v>
      </c>
      <c r="AT131">
        <v>372</v>
      </c>
      <c r="AU131">
        <v>534</v>
      </c>
      <c r="AV131">
        <v>1197</v>
      </c>
      <c r="AW131">
        <v>333</v>
      </c>
      <c r="AX131">
        <v>345</v>
      </c>
      <c r="AY131">
        <v>490</v>
      </c>
    </row>
    <row r="132" spans="1:51" x14ac:dyDescent="0.35">
      <c r="A132" t="s">
        <v>274</v>
      </c>
      <c r="B132">
        <f t="shared" si="4"/>
        <v>3</v>
      </c>
      <c r="C132" t="s">
        <v>143</v>
      </c>
      <c r="D132" t="s">
        <v>142</v>
      </c>
      <c r="E132" t="s">
        <v>201</v>
      </c>
      <c r="F132">
        <v>111</v>
      </c>
      <c r="G132">
        <v>79</v>
      </c>
      <c r="H132">
        <v>105</v>
      </c>
      <c r="I132">
        <v>107</v>
      </c>
      <c r="J132">
        <v>126</v>
      </c>
      <c r="K132">
        <v>119</v>
      </c>
      <c r="L132">
        <v>103</v>
      </c>
      <c r="M132">
        <v>96</v>
      </c>
      <c r="N132">
        <v>103</v>
      </c>
      <c r="O132">
        <v>91</v>
      </c>
      <c r="P132">
        <v>105</v>
      </c>
      <c r="Q132">
        <v>123</v>
      </c>
      <c r="R132">
        <v>121</v>
      </c>
      <c r="S132">
        <v>162</v>
      </c>
      <c r="T132">
        <v>132</v>
      </c>
      <c r="U132">
        <v>145</v>
      </c>
      <c r="V132">
        <v>128</v>
      </c>
      <c r="W132">
        <v>91</v>
      </c>
      <c r="X132">
        <v>115</v>
      </c>
      <c r="Y132">
        <v>102</v>
      </c>
      <c r="Z132">
        <v>98</v>
      </c>
      <c r="AA132">
        <v>133</v>
      </c>
      <c r="AB132">
        <v>117</v>
      </c>
      <c r="AC132">
        <v>108</v>
      </c>
      <c r="AD132">
        <v>92</v>
      </c>
      <c r="AE132">
        <v>94</v>
      </c>
      <c r="AF132">
        <v>119</v>
      </c>
      <c r="AG132">
        <v>139</v>
      </c>
      <c r="AH132">
        <v>123</v>
      </c>
      <c r="AI132">
        <v>134</v>
      </c>
      <c r="AJ132">
        <v>133</v>
      </c>
      <c r="AK132">
        <v>145</v>
      </c>
      <c r="AL132">
        <v>164</v>
      </c>
      <c r="AM132">
        <v>151</v>
      </c>
      <c r="AN132">
        <v>177</v>
      </c>
      <c r="AO132">
        <v>157</v>
      </c>
      <c r="AP132">
        <v>182</v>
      </c>
      <c r="AQ132">
        <v>223</v>
      </c>
      <c r="AR132">
        <v>291</v>
      </c>
      <c r="AS132">
        <v>296</v>
      </c>
      <c r="AT132">
        <v>309</v>
      </c>
      <c r="AU132">
        <v>488</v>
      </c>
      <c r="AV132">
        <v>1129</v>
      </c>
      <c r="AW132">
        <v>296</v>
      </c>
      <c r="AX132">
        <v>304</v>
      </c>
      <c r="AY132">
        <v>430</v>
      </c>
    </row>
    <row r="133" spans="1:51" x14ac:dyDescent="0.35">
      <c r="A133" t="s">
        <v>274</v>
      </c>
      <c r="B133">
        <f t="shared" si="4"/>
        <v>3</v>
      </c>
      <c r="C133" t="s">
        <v>143</v>
      </c>
      <c r="D133" t="s">
        <v>142</v>
      </c>
      <c r="E133" t="s">
        <v>206</v>
      </c>
      <c r="F133">
        <v>110</v>
      </c>
      <c r="G133">
        <v>77</v>
      </c>
      <c r="H133">
        <v>103</v>
      </c>
      <c r="I133">
        <v>105</v>
      </c>
      <c r="J133">
        <v>124</v>
      </c>
      <c r="K133">
        <v>117</v>
      </c>
      <c r="L133">
        <v>101</v>
      </c>
      <c r="M133">
        <v>94</v>
      </c>
      <c r="N133">
        <v>101</v>
      </c>
      <c r="O133">
        <v>89</v>
      </c>
      <c r="P133">
        <v>103</v>
      </c>
      <c r="Q133">
        <v>121</v>
      </c>
      <c r="R133">
        <v>118</v>
      </c>
      <c r="S133">
        <v>159</v>
      </c>
      <c r="T133">
        <v>129</v>
      </c>
      <c r="U133">
        <v>141</v>
      </c>
      <c r="V133">
        <v>124</v>
      </c>
      <c r="W133">
        <v>86</v>
      </c>
      <c r="X133">
        <v>107</v>
      </c>
      <c r="Y133">
        <v>94</v>
      </c>
      <c r="Z133">
        <v>94</v>
      </c>
      <c r="AA133">
        <v>128</v>
      </c>
      <c r="AB133">
        <v>111</v>
      </c>
      <c r="AC133">
        <v>101</v>
      </c>
      <c r="AD133">
        <v>86</v>
      </c>
      <c r="AE133">
        <v>88</v>
      </c>
      <c r="AF133">
        <v>113</v>
      </c>
      <c r="AG133">
        <v>133</v>
      </c>
      <c r="AH133">
        <v>116</v>
      </c>
      <c r="AI133">
        <v>126</v>
      </c>
      <c r="AJ133">
        <v>126</v>
      </c>
      <c r="AK133">
        <v>135</v>
      </c>
      <c r="AL133">
        <v>157</v>
      </c>
      <c r="AM133">
        <v>144</v>
      </c>
      <c r="AN133">
        <v>168</v>
      </c>
      <c r="AO133">
        <v>149</v>
      </c>
      <c r="AP133">
        <v>174</v>
      </c>
      <c r="AQ133">
        <v>217</v>
      </c>
      <c r="AR133">
        <v>282</v>
      </c>
      <c r="AS133">
        <v>287</v>
      </c>
      <c r="AT133">
        <v>308</v>
      </c>
      <c r="AU133">
        <v>487</v>
      </c>
      <c r="AV133">
        <v>1125</v>
      </c>
      <c r="AW133">
        <v>294</v>
      </c>
      <c r="AX133">
        <v>303</v>
      </c>
      <c r="AY133">
        <v>429</v>
      </c>
    </row>
    <row r="134" spans="1:51" x14ac:dyDescent="0.35">
      <c r="A134" t="s">
        <v>274</v>
      </c>
      <c r="B134">
        <f t="shared" si="4"/>
        <v>3</v>
      </c>
      <c r="C134" t="s">
        <v>143</v>
      </c>
      <c r="D134" t="s">
        <v>142</v>
      </c>
      <c r="E134" t="s">
        <v>205</v>
      </c>
      <c r="F134">
        <v>109</v>
      </c>
      <c r="G134">
        <v>3</v>
      </c>
      <c r="H134">
        <v>4</v>
      </c>
      <c r="I134">
        <v>4</v>
      </c>
      <c r="J134">
        <v>5</v>
      </c>
      <c r="K134">
        <v>5</v>
      </c>
      <c r="L134">
        <v>5</v>
      </c>
      <c r="M134">
        <v>5</v>
      </c>
      <c r="N134">
        <v>4</v>
      </c>
      <c r="O134">
        <v>5</v>
      </c>
      <c r="P134">
        <v>6</v>
      </c>
      <c r="Q134">
        <v>9</v>
      </c>
      <c r="R134">
        <v>11</v>
      </c>
      <c r="S134">
        <v>10</v>
      </c>
      <c r="T134">
        <v>9</v>
      </c>
      <c r="U134">
        <v>7</v>
      </c>
      <c r="V134">
        <v>8</v>
      </c>
      <c r="W134">
        <v>8</v>
      </c>
      <c r="X134">
        <v>7</v>
      </c>
      <c r="Y134">
        <v>8</v>
      </c>
      <c r="Z134">
        <v>9</v>
      </c>
      <c r="AA134">
        <v>11</v>
      </c>
      <c r="AB134">
        <v>10</v>
      </c>
      <c r="AC134">
        <v>11</v>
      </c>
      <c r="AD134">
        <v>13</v>
      </c>
      <c r="AE134">
        <v>14</v>
      </c>
      <c r="AF134">
        <v>15</v>
      </c>
      <c r="AG134">
        <v>15</v>
      </c>
      <c r="AH134">
        <v>22</v>
      </c>
      <c r="AI134">
        <v>26</v>
      </c>
      <c r="AJ134">
        <v>23</v>
      </c>
      <c r="AK134">
        <v>24</v>
      </c>
      <c r="AL134">
        <v>27</v>
      </c>
      <c r="AM134">
        <v>29</v>
      </c>
      <c r="AN134">
        <v>34</v>
      </c>
      <c r="AO134">
        <v>36</v>
      </c>
      <c r="AP134">
        <v>35</v>
      </c>
      <c r="AQ134">
        <v>29</v>
      </c>
      <c r="AR134">
        <v>36</v>
      </c>
      <c r="AS134">
        <v>45</v>
      </c>
      <c r="AT134">
        <v>50</v>
      </c>
      <c r="AU134">
        <v>88</v>
      </c>
      <c r="AV134">
        <v>101</v>
      </c>
      <c r="AW134">
        <v>53</v>
      </c>
      <c r="AX134">
        <v>48</v>
      </c>
      <c r="AY134">
        <v>43</v>
      </c>
    </row>
    <row r="135" spans="1:51" x14ac:dyDescent="0.35">
      <c r="A135" t="s">
        <v>274</v>
      </c>
      <c r="B135">
        <f t="shared" si="4"/>
        <v>3</v>
      </c>
      <c r="C135" t="s">
        <v>143</v>
      </c>
      <c r="D135" t="s">
        <v>142</v>
      </c>
      <c r="E135" t="s">
        <v>198</v>
      </c>
      <c r="F135">
        <v>108</v>
      </c>
      <c r="G135">
        <v>4</v>
      </c>
      <c r="H135">
        <v>5</v>
      </c>
      <c r="I135">
        <v>5</v>
      </c>
      <c r="J135">
        <v>7</v>
      </c>
      <c r="K135">
        <v>6</v>
      </c>
      <c r="L135">
        <v>6</v>
      </c>
      <c r="M135">
        <v>5</v>
      </c>
      <c r="N135">
        <v>5</v>
      </c>
      <c r="O135">
        <v>6</v>
      </c>
      <c r="P135">
        <v>6</v>
      </c>
      <c r="Q135">
        <v>5</v>
      </c>
      <c r="R135">
        <v>7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9</v>
      </c>
      <c r="AB135">
        <v>9</v>
      </c>
      <c r="AC135">
        <v>10</v>
      </c>
      <c r="AD135">
        <v>12</v>
      </c>
      <c r="AE135">
        <v>13</v>
      </c>
      <c r="AF135">
        <v>13</v>
      </c>
      <c r="AG135">
        <v>15</v>
      </c>
      <c r="AH135">
        <v>16</v>
      </c>
      <c r="AI135">
        <v>19</v>
      </c>
      <c r="AJ135">
        <v>18</v>
      </c>
      <c r="AK135">
        <v>20</v>
      </c>
      <c r="AL135">
        <v>23</v>
      </c>
      <c r="AM135">
        <v>26</v>
      </c>
      <c r="AN135">
        <v>27</v>
      </c>
      <c r="AO135">
        <v>34</v>
      </c>
      <c r="AP135">
        <v>66</v>
      </c>
      <c r="AQ135">
        <v>40</v>
      </c>
      <c r="AR135">
        <v>37</v>
      </c>
      <c r="AS135">
        <v>45</v>
      </c>
      <c r="AT135">
        <v>81</v>
      </c>
      <c r="AU135">
        <v>69</v>
      </c>
      <c r="AV135">
        <v>92</v>
      </c>
      <c r="AW135">
        <v>54</v>
      </c>
      <c r="AX135">
        <v>59</v>
      </c>
      <c r="AY135">
        <v>74</v>
      </c>
    </row>
    <row r="136" spans="1:51" x14ac:dyDescent="0.35">
      <c r="A136" t="s">
        <v>274</v>
      </c>
      <c r="B136">
        <f t="shared" si="4"/>
        <v>3</v>
      </c>
      <c r="C136" t="s">
        <v>143</v>
      </c>
      <c r="D136" t="s">
        <v>142</v>
      </c>
      <c r="E136" t="s">
        <v>203</v>
      </c>
      <c r="F136">
        <v>106</v>
      </c>
      <c r="G136">
        <v>102</v>
      </c>
      <c r="H136">
        <v>104</v>
      </c>
      <c r="I136">
        <v>111</v>
      </c>
      <c r="J136">
        <v>115</v>
      </c>
      <c r="K136">
        <v>101</v>
      </c>
      <c r="L136">
        <v>100</v>
      </c>
      <c r="M136">
        <v>94</v>
      </c>
      <c r="N136">
        <v>96</v>
      </c>
      <c r="O136">
        <v>119</v>
      </c>
      <c r="P136">
        <v>122</v>
      </c>
      <c r="Q136">
        <v>122</v>
      </c>
      <c r="R136">
        <v>137</v>
      </c>
      <c r="S136">
        <v>138</v>
      </c>
      <c r="T136">
        <v>134</v>
      </c>
      <c r="U136">
        <v>134</v>
      </c>
      <c r="V136">
        <v>136</v>
      </c>
      <c r="W136">
        <v>139</v>
      </c>
      <c r="X136">
        <v>118</v>
      </c>
      <c r="Y136">
        <v>119</v>
      </c>
      <c r="Z136">
        <v>91</v>
      </c>
      <c r="AA136">
        <v>99</v>
      </c>
      <c r="AB136">
        <v>103</v>
      </c>
      <c r="AC136">
        <v>113</v>
      </c>
      <c r="AD136">
        <v>118</v>
      </c>
      <c r="AE136">
        <v>118</v>
      </c>
      <c r="AF136">
        <v>145</v>
      </c>
      <c r="AG136">
        <v>134</v>
      </c>
      <c r="AH136">
        <v>134</v>
      </c>
      <c r="AI136">
        <v>150</v>
      </c>
      <c r="AJ136">
        <v>140</v>
      </c>
      <c r="AK136">
        <v>168</v>
      </c>
      <c r="AL136">
        <v>153</v>
      </c>
      <c r="AM136">
        <v>190</v>
      </c>
      <c r="AN136">
        <v>239</v>
      </c>
      <c r="AO136">
        <v>226</v>
      </c>
      <c r="AP136">
        <v>242</v>
      </c>
      <c r="AQ136">
        <v>244</v>
      </c>
      <c r="AR136">
        <v>259</v>
      </c>
      <c r="AS136">
        <v>371</v>
      </c>
      <c r="AT136">
        <v>327</v>
      </c>
      <c r="AU136">
        <v>542</v>
      </c>
      <c r="AV136">
        <v>583</v>
      </c>
      <c r="AW136">
        <v>302</v>
      </c>
      <c r="AX136">
        <v>334</v>
      </c>
      <c r="AY136">
        <v>365</v>
      </c>
    </row>
    <row r="137" spans="1:51" x14ac:dyDescent="0.35">
      <c r="A137" t="s">
        <v>274</v>
      </c>
      <c r="B137">
        <f t="shared" si="4"/>
        <v>3</v>
      </c>
      <c r="C137" t="s">
        <v>143</v>
      </c>
      <c r="D137" t="s">
        <v>142</v>
      </c>
      <c r="E137" t="s">
        <v>201</v>
      </c>
      <c r="F137">
        <v>104</v>
      </c>
      <c r="G137">
        <v>98</v>
      </c>
      <c r="H137">
        <v>99</v>
      </c>
      <c r="I137">
        <v>105</v>
      </c>
      <c r="J137">
        <v>105</v>
      </c>
      <c r="K137">
        <v>91</v>
      </c>
      <c r="L137">
        <v>93</v>
      </c>
      <c r="M137">
        <v>90</v>
      </c>
      <c r="N137">
        <v>91</v>
      </c>
      <c r="O137">
        <v>114</v>
      </c>
      <c r="P137">
        <v>117</v>
      </c>
      <c r="Q137">
        <v>118</v>
      </c>
      <c r="R137">
        <v>133</v>
      </c>
      <c r="S137">
        <v>136</v>
      </c>
      <c r="T137">
        <v>131</v>
      </c>
      <c r="U137">
        <v>133</v>
      </c>
      <c r="V137">
        <v>134</v>
      </c>
      <c r="W137">
        <v>136</v>
      </c>
      <c r="X137">
        <v>115</v>
      </c>
      <c r="Y137">
        <v>114</v>
      </c>
      <c r="Z137">
        <v>87</v>
      </c>
      <c r="AA137">
        <v>95</v>
      </c>
      <c r="AB137">
        <v>100</v>
      </c>
      <c r="AC137">
        <v>110</v>
      </c>
      <c r="AD137">
        <v>115</v>
      </c>
      <c r="AE137">
        <v>115</v>
      </c>
      <c r="AF137">
        <v>144</v>
      </c>
      <c r="AG137">
        <v>132</v>
      </c>
      <c r="AH137">
        <v>131</v>
      </c>
      <c r="AI137">
        <v>147</v>
      </c>
      <c r="AJ137">
        <v>137</v>
      </c>
      <c r="AK137">
        <v>164</v>
      </c>
      <c r="AL137">
        <v>148</v>
      </c>
      <c r="AM137">
        <v>185</v>
      </c>
      <c r="AN137">
        <v>233</v>
      </c>
      <c r="AO137">
        <v>210</v>
      </c>
      <c r="AP137">
        <v>216</v>
      </c>
      <c r="AQ137">
        <v>223</v>
      </c>
      <c r="AR137">
        <v>247</v>
      </c>
      <c r="AS137">
        <v>350</v>
      </c>
      <c r="AT137">
        <v>298</v>
      </c>
      <c r="AU137">
        <v>484</v>
      </c>
      <c r="AV137">
        <v>552</v>
      </c>
      <c r="AW137">
        <v>293</v>
      </c>
      <c r="AX137">
        <v>326</v>
      </c>
      <c r="AY137">
        <v>358</v>
      </c>
    </row>
    <row r="138" spans="1:51" x14ac:dyDescent="0.35">
      <c r="A138" t="s">
        <v>274</v>
      </c>
      <c r="B138">
        <f t="shared" si="4"/>
        <v>3</v>
      </c>
      <c r="C138" t="s">
        <v>143</v>
      </c>
      <c r="D138" t="s">
        <v>142</v>
      </c>
      <c r="E138" t="s">
        <v>200</v>
      </c>
      <c r="F138">
        <v>103</v>
      </c>
      <c r="G138">
        <v>79</v>
      </c>
      <c r="H138">
        <v>79</v>
      </c>
      <c r="I138">
        <v>76</v>
      </c>
      <c r="J138">
        <v>67</v>
      </c>
      <c r="K138">
        <v>62</v>
      </c>
      <c r="L138">
        <v>66</v>
      </c>
      <c r="M138">
        <v>63</v>
      </c>
      <c r="N138">
        <v>65</v>
      </c>
      <c r="O138">
        <v>82</v>
      </c>
      <c r="P138">
        <v>84</v>
      </c>
      <c r="Q138">
        <v>99</v>
      </c>
      <c r="R138">
        <v>107</v>
      </c>
      <c r="S138">
        <v>114</v>
      </c>
      <c r="T138">
        <v>113</v>
      </c>
      <c r="U138">
        <v>113</v>
      </c>
      <c r="V138">
        <v>118</v>
      </c>
      <c r="W138">
        <v>121</v>
      </c>
      <c r="X138">
        <v>100</v>
      </c>
      <c r="Y138">
        <v>100</v>
      </c>
      <c r="Z138">
        <v>74</v>
      </c>
      <c r="AA138">
        <v>83</v>
      </c>
      <c r="AB138">
        <v>87</v>
      </c>
      <c r="AC138">
        <v>97</v>
      </c>
      <c r="AD138">
        <v>99</v>
      </c>
      <c r="AE138">
        <v>100</v>
      </c>
      <c r="AF138">
        <v>126</v>
      </c>
      <c r="AG138">
        <v>115</v>
      </c>
      <c r="AH138">
        <v>113</v>
      </c>
      <c r="AI138">
        <v>121</v>
      </c>
      <c r="AJ138">
        <v>115</v>
      </c>
      <c r="AK138">
        <v>134</v>
      </c>
      <c r="AL138">
        <v>120</v>
      </c>
      <c r="AM138">
        <v>151</v>
      </c>
      <c r="AN138">
        <v>187</v>
      </c>
      <c r="AO138">
        <v>164</v>
      </c>
      <c r="AP138">
        <v>165</v>
      </c>
      <c r="AQ138">
        <v>185</v>
      </c>
      <c r="AR138">
        <v>195</v>
      </c>
      <c r="AS138">
        <v>216</v>
      </c>
      <c r="AT138">
        <v>198</v>
      </c>
      <c r="AU138">
        <v>368</v>
      </c>
      <c r="AV138">
        <v>364</v>
      </c>
      <c r="AW138">
        <v>207</v>
      </c>
      <c r="AX138">
        <v>246</v>
      </c>
      <c r="AY138">
        <v>285</v>
      </c>
    </row>
    <row r="139" spans="1:51" x14ac:dyDescent="0.35">
      <c r="A139" t="s">
        <v>274</v>
      </c>
      <c r="B139">
        <f t="shared" si="4"/>
        <v>3</v>
      </c>
      <c r="C139" t="s">
        <v>143</v>
      </c>
      <c r="D139" t="s">
        <v>142</v>
      </c>
      <c r="E139" t="s">
        <v>199</v>
      </c>
      <c r="F139">
        <v>102</v>
      </c>
      <c r="G139">
        <v>19</v>
      </c>
      <c r="H139">
        <v>21</v>
      </c>
      <c r="I139">
        <v>28</v>
      </c>
      <c r="J139">
        <v>39</v>
      </c>
      <c r="K139">
        <v>29</v>
      </c>
      <c r="L139">
        <v>27</v>
      </c>
      <c r="M139">
        <v>26</v>
      </c>
      <c r="N139">
        <v>26</v>
      </c>
      <c r="O139">
        <v>32</v>
      </c>
      <c r="P139">
        <v>34</v>
      </c>
      <c r="Q139">
        <v>19</v>
      </c>
      <c r="R139">
        <v>26</v>
      </c>
      <c r="S139">
        <v>22</v>
      </c>
      <c r="T139">
        <v>19</v>
      </c>
      <c r="U139">
        <v>19</v>
      </c>
      <c r="V139">
        <v>16</v>
      </c>
      <c r="W139">
        <v>16</v>
      </c>
      <c r="X139">
        <v>15</v>
      </c>
      <c r="Y139">
        <v>14</v>
      </c>
      <c r="Z139">
        <v>12</v>
      </c>
      <c r="AA139">
        <v>12</v>
      </c>
      <c r="AB139">
        <v>12</v>
      </c>
      <c r="AC139">
        <v>13</v>
      </c>
      <c r="AD139">
        <v>16</v>
      </c>
      <c r="AE139">
        <v>15</v>
      </c>
      <c r="AF139">
        <v>18</v>
      </c>
      <c r="AG139">
        <v>17</v>
      </c>
      <c r="AH139">
        <v>18</v>
      </c>
      <c r="AI139">
        <v>26</v>
      </c>
      <c r="AJ139">
        <v>23</v>
      </c>
      <c r="AK139">
        <v>30</v>
      </c>
      <c r="AL139">
        <v>28</v>
      </c>
      <c r="AM139">
        <v>34</v>
      </c>
      <c r="AN139">
        <v>46</v>
      </c>
      <c r="AO139">
        <v>46</v>
      </c>
      <c r="AP139">
        <v>51</v>
      </c>
      <c r="AQ139">
        <v>38</v>
      </c>
      <c r="AR139">
        <v>52</v>
      </c>
      <c r="AS139">
        <v>134</v>
      </c>
      <c r="AT139">
        <v>101</v>
      </c>
      <c r="AU139">
        <v>116</v>
      </c>
      <c r="AV139">
        <v>188</v>
      </c>
      <c r="AW139">
        <v>86</v>
      </c>
      <c r="AX139">
        <v>79</v>
      </c>
      <c r="AY139">
        <v>73</v>
      </c>
    </row>
    <row r="140" spans="1:51" x14ac:dyDescent="0.35">
      <c r="A140" t="s">
        <v>186</v>
      </c>
      <c r="B140">
        <f t="shared" si="4"/>
        <v>4</v>
      </c>
      <c r="C140" t="s">
        <v>143</v>
      </c>
      <c r="D140" t="s">
        <v>142</v>
      </c>
      <c r="E140" t="s">
        <v>134</v>
      </c>
      <c r="F140">
        <v>86</v>
      </c>
      <c r="G140">
        <v>24.8</v>
      </c>
      <c r="H140">
        <v>31</v>
      </c>
      <c r="I140">
        <v>31.6</v>
      </c>
      <c r="J140">
        <v>34.4</v>
      </c>
      <c r="K140">
        <v>34.4</v>
      </c>
      <c r="L140">
        <v>30.9</v>
      </c>
      <c r="M140">
        <v>28.5</v>
      </c>
      <c r="N140">
        <v>30.6</v>
      </c>
      <c r="O140">
        <v>31.6</v>
      </c>
      <c r="P140">
        <v>30.2</v>
      </c>
      <c r="Q140">
        <v>29.7</v>
      </c>
      <c r="R140">
        <v>34.6</v>
      </c>
      <c r="S140">
        <v>34.1</v>
      </c>
      <c r="T140">
        <v>36.6</v>
      </c>
      <c r="U140">
        <v>34.799999999999997</v>
      </c>
      <c r="V140">
        <v>30.7</v>
      </c>
      <c r="W140">
        <v>33.6</v>
      </c>
      <c r="X140">
        <v>33.4</v>
      </c>
      <c r="Y140">
        <v>34.1</v>
      </c>
      <c r="Z140">
        <v>31.7</v>
      </c>
      <c r="AA140">
        <v>36</v>
      </c>
      <c r="AB140">
        <v>40.1</v>
      </c>
      <c r="AC140">
        <v>43.1</v>
      </c>
      <c r="AD140">
        <v>44.3</v>
      </c>
      <c r="AE140">
        <v>48.9</v>
      </c>
      <c r="AF140">
        <v>48.3</v>
      </c>
      <c r="AG140">
        <v>52.1</v>
      </c>
      <c r="AH140">
        <v>60.5</v>
      </c>
      <c r="AI140">
        <v>64.099999999999994</v>
      </c>
      <c r="AJ140">
        <v>50.5</v>
      </c>
      <c r="AK140">
        <v>64.599999999999994</v>
      </c>
      <c r="AL140">
        <v>72.2</v>
      </c>
      <c r="AM140">
        <v>78.8</v>
      </c>
      <c r="AN140">
        <v>77.2</v>
      </c>
      <c r="AO140">
        <v>85.4</v>
      </c>
      <c r="AP140">
        <v>73.599999999999994</v>
      </c>
      <c r="AQ140">
        <v>69.3</v>
      </c>
      <c r="AR140">
        <v>100</v>
      </c>
      <c r="AS140">
        <v>112.1</v>
      </c>
      <c r="AT140">
        <v>135.5</v>
      </c>
      <c r="AU140">
        <v>77.8</v>
      </c>
      <c r="AV140">
        <v>165.1</v>
      </c>
      <c r="AW140">
        <v>68.5</v>
      </c>
      <c r="AX140">
        <v>87.1</v>
      </c>
      <c r="AY140">
        <v>111.3</v>
      </c>
    </row>
    <row r="141" spans="1:51" x14ac:dyDescent="0.35">
      <c r="A141" t="s">
        <v>186</v>
      </c>
      <c r="B141">
        <f t="shared" si="4"/>
        <v>4</v>
      </c>
      <c r="C141" t="s">
        <v>143</v>
      </c>
      <c r="D141" t="s">
        <v>142</v>
      </c>
      <c r="E141" t="s">
        <v>69</v>
      </c>
      <c r="F141">
        <v>82</v>
      </c>
      <c r="G141">
        <v>6.4</v>
      </c>
      <c r="H141">
        <v>20.7</v>
      </c>
      <c r="I141">
        <v>21</v>
      </c>
      <c r="J141">
        <v>17.399999999999999</v>
      </c>
      <c r="K141">
        <v>9.8000000000000007</v>
      </c>
      <c r="L141">
        <v>7.3</v>
      </c>
      <c r="M141">
        <v>5.2</v>
      </c>
      <c r="N141">
        <v>6.7</v>
      </c>
      <c r="O141">
        <v>10.199999999999999</v>
      </c>
      <c r="P141">
        <v>8.6999999999999993</v>
      </c>
      <c r="Q141">
        <v>7.4</v>
      </c>
      <c r="R141">
        <v>7.8</v>
      </c>
      <c r="S141">
        <v>5.7</v>
      </c>
      <c r="T141">
        <v>6.2</v>
      </c>
      <c r="U141">
        <v>5.2</v>
      </c>
      <c r="V141">
        <v>3.8</v>
      </c>
      <c r="W141">
        <v>6.4</v>
      </c>
      <c r="X141">
        <v>6.2</v>
      </c>
      <c r="Y141">
        <v>4.5</v>
      </c>
      <c r="Z141">
        <v>3.7</v>
      </c>
      <c r="AA141">
        <v>4.8</v>
      </c>
      <c r="AB141">
        <v>5.3</v>
      </c>
      <c r="AC141">
        <v>5.9</v>
      </c>
      <c r="AD141">
        <v>9</v>
      </c>
      <c r="AE141">
        <v>9.9</v>
      </c>
      <c r="AF141">
        <v>7.2</v>
      </c>
      <c r="AG141">
        <v>7.6</v>
      </c>
      <c r="AH141">
        <v>8.6</v>
      </c>
      <c r="AI141">
        <v>10</v>
      </c>
      <c r="AJ141">
        <v>6.9</v>
      </c>
      <c r="AK141">
        <v>9.3000000000000007</v>
      </c>
      <c r="AL141">
        <v>11.7</v>
      </c>
      <c r="AM141">
        <v>11</v>
      </c>
      <c r="AN141">
        <v>11.5</v>
      </c>
      <c r="AO141">
        <v>12.9</v>
      </c>
      <c r="AP141">
        <v>12</v>
      </c>
      <c r="AQ141">
        <v>8.6999999999999993</v>
      </c>
      <c r="AR141">
        <v>7.6</v>
      </c>
      <c r="AS141">
        <v>7.7</v>
      </c>
      <c r="AT141">
        <v>8.6999999999999993</v>
      </c>
      <c r="AU141">
        <v>8.1999999999999993</v>
      </c>
      <c r="AV141">
        <v>19</v>
      </c>
      <c r="AW141">
        <v>13.4</v>
      </c>
      <c r="AX141">
        <v>16.8</v>
      </c>
      <c r="AY141">
        <v>14.7</v>
      </c>
    </row>
    <row r="142" spans="1:51" x14ac:dyDescent="0.35">
      <c r="A142" t="s">
        <v>186</v>
      </c>
      <c r="B142">
        <f t="shared" si="4"/>
        <v>4</v>
      </c>
      <c r="C142" t="s">
        <v>143</v>
      </c>
      <c r="D142" t="s">
        <v>142</v>
      </c>
      <c r="E142" t="s">
        <v>68</v>
      </c>
      <c r="F142">
        <v>81</v>
      </c>
      <c r="G142">
        <v>26.2</v>
      </c>
      <c r="H142">
        <v>58.1</v>
      </c>
      <c r="I142">
        <v>38.9</v>
      </c>
      <c r="J142">
        <v>47.4</v>
      </c>
      <c r="K142">
        <v>36.1</v>
      </c>
      <c r="L142">
        <v>28.6</v>
      </c>
      <c r="M142">
        <v>24.9</v>
      </c>
      <c r="N142">
        <v>33.200000000000003</v>
      </c>
      <c r="O142">
        <v>44.2</v>
      </c>
      <c r="P142">
        <v>31.7</v>
      </c>
      <c r="Q142">
        <v>31.8</v>
      </c>
      <c r="R142">
        <v>34.1</v>
      </c>
      <c r="S142">
        <v>33.1</v>
      </c>
      <c r="T142">
        <v>24.6</v>
      </c>
      <c r="U142">
        <v>21.9</v>
      </c>
      <c r="V142">
        <v>15.8</v>
      </c>
      <c r="W142">
        <v>17.100000000000001</v>
      </c>
      <c r="X142">
        <v>11</v>
      </c>
      <c r="Y142">
        <v>7.9</v>
      </c>
      <c r="Z142">
        <v>6.9</v>
      </c>
      <c r="AA142">
        <v>8.8000000000000007</v>
      </c>
      <c r="AB142">
        <v>11.2</v>
      </c>
      <c r="AC142">
        <v>11.3</v>
      </c>
      <c r="AD142">
        <v>27.4</v>
      </c>
      <c r="AE142">
        <v>26.3</v>
      </c>
      <c r="AF142">
        <v>9.8000000000000007</v>
      </c>
      <c r="AG142">
        <v>14.3</v>
      </c>
      <c r="AH142">
        <v>21.9</v>
      </c>
      <c r="AI142">
        <v>24.2</v>
      </c>
      <c r="AJ142">
        <v>9.8000000000000007</v>
      </c>
      <c r="AK142">
        <v>14.2</v>
      </c>
      <c r="AL142">
        <v>19.100000000000001</v>
      </c>
      <c r="AM142">
        <v>10.6</v>
      </c>
      <c r="AN142">
        <v>10.4</v>
      </c>
      <c r="AO142">
        <v>14.6</v>
      </c>
      <c r="AP142">
        <v>10.5</v>
      </c>
      <c r="AQ142">
        <v>8</v>
      </c>
      <c r="AR142">
        <v>16.3</v>
      </c>
      <c r="AS142">
        <v>15.2</v>
      </c>
      <c r="AT142">
        <v>11.3</v>
      </c>
      <c r="AU142">
        <v>14.6</v>
      </c>
      <c r="AV142">
        <v>22.8</v>
      </c>
      <c r="AW142">
        <v>4.5</v>
      </c>
      <c r="AX142">
        <v>21.2</v>
      </c>
      <c r="AY142">
        <v>26.2</v>
      </c>
    </row>
    <row r="143" spans="1:51" x14ac:dyDescent="0.35">
      <c r="A143" t="s">
        <v>186</v>
      </c>
      <c r="B143">
        <f t="shared" si="4"/>
        <v>4</v>
      </c>
      <c r="C143" t="s">
        <v>143</v>
      </c>
      <c r="D143" t="s">
        <v>142</v>
      </c>
      <c r="E143" t="s">
        <v>65</v>
      </c>
      <c r="F143">
        <v>78</v>
      </c>
      <c r="G143">
        <v>5.2</v>
      </c>
      <c r="H143">
        <v>9.1</v>
      </c>
      <c r="I143">
        <v>6.7</v>
      </c>
      <c r="J143">
        <v>9.8000000000000007</v>
      </c>
      <c r="K143">
        <v>9.1</v>
      </c>
      <c r="L143">
        <v>7.7</v>
      </c>
      <c r="M143">
        <v>7.7</v>
      </c>
      <c r="N143">
        <v>11.3</v>
      </c>
      <c r="O143">
        <v>11.5</v>
      </c>
      <c r="P143">
        <v>13.3</v>
      </c>
      <c r="Q143">
        <v>10.5</v>
      </c>
      <c r="R143">
        <v>12.7</v>
      </c>
      <c r="S143">
        <v>15.7</v>
      </c>
      <c r="T143">
        <v>15.9</v>
      </c>
      <c r="U143">
        <v>14.8</v>
      </c>
      <c r="V143">
        <v>10</v>
      </c>
      <c r="W143">
        <v>13.4</v>
      </c>
      <c r="X143">
        <v>11.6</v>
      </c>
      <c r="Y143">
        <v>13.7</v>
      </c>
      <c r="Z143">
        <v>17.899999999999999</v>
      </c>
      <c r="AA143">
        <v>32.9</v>
      </c>
      <c r="AB143">
        <v>37.700000000000003</v>
      </c>
      <c r="AC143">
        <v>38.1</v>
      </c>
      <c r="AD143">
        <v>42.8</v>
      </c>
      <c r="AE143">
        <v>48.4</v>
      </c>
      <c r="AF143">
        <v>49.6</v>
      </c>
      <c r="AG143">
        <v>59.8</v>
      </c>
      <c r="AH143">
        <v>85.1</v>
      </c>
      <c r="AI143">
        <v>86.4</v>
      </c>
      <c r="AJ143">
        <v>55.1</v>
      </c>
      <c r="AK143">
        <v>71.2</v>
      </c>
      <c r="AL143">
        <v>80.900000000000006</v>
      </c>
      <c r="AM143">
        <v>89.2</v>
      </c>
      <c r="AN143">
        <v>111.8</v>
      </c>
      <c r="AO143">
        <v>107.9</v>
      </c>
      <c r="AP143">
        <v>72</v>
      </c>
      <c r="AQ143">
        <v>79.8</v>
      </c>
      <c r="AR143">
        <v>137.80000000000001</v>
      </c>
      <c r="AS143">
        <v>185.7</v>
      </c>
      <c r="AT143">
        <v>201.6</v>
      </c>
      <c r="AU143">
        <v>131.5</v>
      </c>
      <c r="AV143">
        <v>180.3</v>
      </c>
      <c r="AW143">
        <v>71</v>
      </c>
      <c r="AX143">
        <v>129.4</v>
      </c>
      <c r="AY143">
        <v>172.2</v>
      </c>
    </row>
    <row r="144" spans="1:51" x14ac:dyDescent="0.35">
      <c r="A144" t="s">
        <v>186</v>
      </c>
      <c r="B144">
        <f t="shared" si="4"/>
        <v>4</v>
      </c>
      <c r="C144" t="s">
        <v>143</v>
      </c>
      <c r="D144" t="s">
        <v>142</v>
      </c>
      <c r="E144" t="s">
        <v>64</v>
      </c>
      <c r="F144">
        <v>77</v>
      </c>
      <c r="G144">
        <v>0.1</v>
      </c>
      <c r="H144">
        <v>0.2</v>
      </c>
      <c r="I144">
        <v>0.1</v>
      </c>
      <c r="J144">
        <v>0.2</v>
      </c>
      <c r="K144">
        <v>0.1</v>
      </c>
      <c r="L144">
        <v>0.3</v>
      </c>
      <c r="M144">
        <v>0.4</v>
      </c>
      <c r="N144">
        <v>0.3</v>
      </c>
      <c r="O144">
        <v>0.2</v>
      </c>
      <c r="P144">
        <v>0.4</v>
      </c>
      <c r="Q144">
        <v>0.9</v>
      </c>
      <c r="R144">
        <v>1.7</v>
      </c>
      <c r="S144">
        <v>3.7</v>
      </c>
      <c r="T144">
        <v>5.0999999999999996</v>
      </c>
      <c r="U144">
        <v>7.1</v>
      </c>
      <c r="V144">
        <v>4.5999999999999996</v>
      </c>
      <c r="W144">
        <v>3.3</v>
      </c>
      <c r="X144">
        <v>2.1</v>
      </c>
      <c r="Y144">
        <v>3.3</v>
      </c>
      <c r="Z144">
        <v>4</v>
      </c>
      <c r="AA144">
        <v>6.6</v>
      </c>
      <c r="AB144">
        <v>11.2</v>
      </c>
      <c r="AC144">
        <v>21</v>
      </c>
      <c r="AD144">
        <v>15.1</v>
      </c>
      <c r="AE144">
        <v>8.1</v>
      </c>
      <c r="AF144">
        <v>9.6</v>
      </c>
      <c r="AG144">
        <v>12.9</v>
      </c>
      <c r="AH144">
        <v>13.8</v>
      </c>
      <c r="AI144">
        <v>16.600000000000001</v>
      </c>
      <c r="AJ144">
        <v>15.7</v>
      </c>
      <c r="AK144">
        <v>19.399999999999999</v>
      </c>
      <c r="AL144">
        <v>22.2</v>
      </c>
      <c r="AM144">
        <v>16.7</v>
      </c>
      <c r="AN144">
        <v>25.3</v>
      </c>
      <c r="AO144">
        <v>28.3</v>
      </c>
      <c r="AP144">
        <v>23.4</v>
      </c>
      <c r="AQ144">
        <v>35.1</v>
      </c>
      <c r="AR144">
        <v>80</v>
      </c>
      <c r="AS144">
        <v>82.1</v>
      </c>
      <c r="AT144">
        <v>104.9</v>
      </c>
      <c r="AU144">
        <v>71.599999999999994</v>
      </c>
      <c r="AV144">
        <v>81.2</v>
      </c>
      <c r="AW144">
        <v>31.9</v>
      </c>
      <c r="AX144">
        <v>35.299999999999997</v>
      </c>
      <c r="AY144">
        <v>46.8</v>
      </c>
    </row>
    <row r="145" spans="1:51" x14ac:dyDescent="0.35">
      <c r="A145" t="s">
        <v>186</v>
      </c>
      <c r="B145">
        <f t="shared" si="4"/>
        <v>4</v>
      </c>
      <c r="C145" t="s">
        <v>143</v>
      </c>
      <c r="D145" t="s">
        <v>142</v>
      </c>
      <c r="E145" t="s">
        <v>131</v>
      </c>
      <c r="F145">
        <v>76</v>
      </c>
      <c r="G145">
        <v>10.3</v>
      </c>
      <c r="H145">
        <v>15</v>
      </c>
      <c r="I145">
        <v>14.7</v>
      </c>
      <c r="J145">
        <v>16.600000000000001</v>
      </c>
      <c r="K145">
        <v>16</v>
      </c>
      <c r="L145">
        <v>14</v>
      </c>
      <c r="M145">
        <v>12.3</v>
      </c>
      <c r="N145">
        <v>13.6</v>
      </c>
      <c r="O145">
        <v>15.1</v>
      </c>
      <c r="P145">
        <v>15.5</v>
      </c>
      <c r="Q145">
        <v>14.9</v>
      </c>
      <c r="R145">
        <v>16.7</v>
      </c>
      <c r="S145">
        <v>17.8</v>
      </c>
      <c r="T145">
        <v>18.3</v>
      </c>
      <c r="U145">
        <v>16.2</v>
      </c>
      <c r="V145">
        <v>13.2</v>
      </c>
      <c r="W145">
        <v>18.8</v>
      </c>
      <c r="X145">
        <v>16.2</v>
      </c>
      <c r="Y145">
        <v>13.6</v>
      </c>
      <c r="Z145">
        <v>12</v>
      </c>
      <c r="AA145">
        <v>13.2</v>
      </c>
      <c r="AB145">
        <v>14.8</v>
      </c>
      <c r="AC145">
        <v>16.2</v>
      </c>
      <c r="AD145">
        <v>16.8</v>
      </c>
      <c r="AE145">
        <v>18.899999999999999</v>
      </c>
      <c r="AF145">
        <v>18.100000000000001</v>
      </c>
      <c r="AG145">
        <v>19.2</v>
      </c>
      <c r="AH145">
        <v>21.8</v>
      </c>
      <c r="AI145">
        <v>22.7</v>
      </c>
      <c r="AJ145">
        <v>15.9</v>
      </c>
      <c r="AK145">
        <v>16.899999999999999</v>
      </c>
      <c r="AL145">
        <v>19</v>
      </c>
      <c r="AM145">
        <v>17.7</v>
      </c>
      <c r="AN145">
        <v>16.8</v>
      </c>
      <c r="AO145">
        <v>18.7</v>
      </c>
      <c r="AP145">
        <v>17.3</v>
      </c>
      <c r="AQ145">
        <v>10.199999999999999</v>
      </c>
      <c r="AR145">
        <v>9.3000000000000007</v>
      </c>
      <c r="AS145">
        <v>9.6</v>
      </c>
      <c r="AT145">
        <v>8.9</v>
      </c>
      <c r="AU145">
        <v>10.8</v>
      </c>
      <c r="AV145">
        <v>22.6</v>
      </c>
      <c r="AW145">
        <v>24.9</v>
      </c>
      <c r="AX145">
        <v>28.7</v>
      </c>
      <c r="AY145">
        <v>45.9</v>
      </c>
    </row>
    <row r="146" spans="1:51" x14ac:dyDescent="0.35">
      <c r="A146" t="s">
        <v>186</v>
      </c>
      <c r="B146">
        <f t="shared" si="4"/>
        <v>4</v>
      </c>
      <c r="C146" t="s">
        <v>143</v>
      </c>
      <c r="D146" t="s">
        <v>142</v>
      </c>
      <c r="E146" t="s">
        <v>130</v>
      </c>
      <c r="F146">
        <v>73</v>
      </c>
      <c r="G146">
        <v>5</v>
      </c>
      <c r="H146">
        <v>8.5</v>
      </c>
      <c r="I146">
        <v>9.1999999999999993</v>
      </c>
      <c r="J146">
        <v>9.6999999999999993</v>
      </c>
      <c r="K146">
        <v>9.8000000000000007</v>
      </c>
      <c r="L146">
        <v>7.8</v>
      </c>
      <c r="M146">
        <v>7.9</v>
      </c>
      <c r="N146">
        <v>10.5</v>
      </c>
      <c r="O146">
        <v>12</v>
      </c>
      <c r="P146">
        <v>11.8</v>
      </c>
      <c r="Q146">
        <v>13.6</v>
      </c>
      <c r="R146">
        <v>14.5</v>
      </c>
      <c r="S146">
        <v>13.8</v>
      </c>
      <c r="T146">
        <v>15</v>
      </c>
      <c r="U146">
        <v>11.5</v>
      </c>
      <c r="V146">
        <v>8</v>
      </c>
      <c r="W146">
        <v>7.8</v>
      </c>
      <c r="X146">
        <v>5.9</v>
      </c>
      <c r="Y146">
        <v>7.6</v>
      </c>
      <c r="Z146">
        <v>12</v>
      </c>
      <c r="AA146">
        <v>16.100000000000001</v>
      </c>
      <c r="AB146">
        <v>12.2</v>
      </c>
      <c r="AC146">
        <v>20.8</v>
      </c>
      <c r="AD146">
        <v>20.8</v>
      </c>
      <c r="AE146">
        <v>20</v>
      </c>
      <c r="AF146">
        <v>18.5</v>
      </c>
      <c r="AG146">
        <v>28.2</v>
      </c>
      <c r="AH146">
        <v>34</v>
      </c>
      <c r="AI146">
        <v>25.5</v>
      </c>
      <c r="AJ146">
        <v>13.2</v>
      </c>
      <c r="AK146">
        <v>36.799999999999997</v>
      </c>
      <c r="AL146">
        <v>36.799999999999997</v>
      </c>
      <c r="AM146">
        <v>35.299999999999997</v>
      </c>
      <c r="AN146">
        <v>35</v>
      </c>
      <c r="AO146">
        <v>33.9</v>
      </c>
      <c r="AP146">
        <v>16.8</v>
      </c>
      <c r="AQ146">
        <v>19.399999999999999</v>
      </c>
      <c r="AR146">
        <v>39.200000000000003</v>
      </c>
      <c r="AS146">
        <v>26.2</v>
      </c>
      <c r="AT146">
        <v>10.3</v>
      </c>
      <c r="AU146">
        <v>82.3</v>
      </c>
      <c r="AV146">
        <v>60.1</v>
      </c>
      <c r="AW146">
        <v>34.700000000000003</v>
      </c>
      <c r="AX146">
        <v>57.6</v>
      </c>
      <c r="AY146">
        <v>68.099999999999994</v>
      </c>
    </row>
    <row r="147" spans="1:51" x14ac:dyDescent="0.35">
      <c r="A147" t="s">
        <v>186</v>
      </c>
      <c r="B147">
        <f t="shared" si="4"/>
        <v>4</v>
      </c>
      <c r="C147" t="s">
        <v>143</v>
      </c>
      <c r="D147" t="s">
        <v>142</v>
      </c>
      <c r="E147" t="s">
        <v>129</v>
      </c>
      <c r="F147">
        <v>72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>
        <v>5</v>
      </c>
      <c r="AB147">
        <v>3.8</v>
      </c>
      <c r="AC147">
        <v>6.6</v>
      </c>
      <c r="AD147">
        <v>8.3000000000000007</v>
      </c>
      <c r="AE147">
        <v>10.4</v>
      </c>
      <c r="AF147">
        <v>10.8</v>
      </c>
      <c r="AG147">
        <v>10.6</v>
      </c>
      <c r="AH147">
        <v>12</v>
      </c>
      <c r="AI147">
        <v>9.1</v>
      </c>
      <c r="AJ147">
        <v>2.5</v>
      </c>
      <c r="AK147">
        <v>9.3000000000000007</v>
      </c>
      <c r="AL147">
        <v>9.4</v>
      </c>
      <c r="AM147">
        <v>10</v>
      </c>
      <c r="AN147">
        <v>10</v>
      </c>
      <c r="AO147">
        <v>12.8</v>
      </c>
      <c r="AP147">
        <v>3</v>
      </c>
      <c r="AQ147">
        <v>7.1</v>
      </c>
      <c r="AR147">
        <v>12.4</v>
      </c>
      <c r="AS147">
        <v>14.7</v>
      </c>
      <c r="AT147">
        <v>13.9</v>
      </c>
      <c r="AU147">
        <v>22.9</v>
      </c>
      <c r="AV147">
        <v>15.8</v>
      </c>
      <c r="AW147">
        <v>3.4</v>
      </c>
      <c r="AX147">
        <v>40.299999999999997</v>
      </c>
      <c r="AY147">
        <v>9.6</v>
      </c>
    </row>
    <row r="148" spans="1:51" x14ac:dyDescent="0.35">
      <c r="A148" t="s">
        <v>186</v>
      </c>
      <c r="B148">
        <f t="shared" si="4"/>
        <v>4</v>
      </c>
      <c r="C148" t="s">
        <v>143</v>
      </c>
      <c r="D148" t="s">
        <v>142</v>
      </c>
      <c r="E148" t="s">
        <v>126</v>
      </c>
      <c r="F148">
        <v>69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0.4</v>
      </c>
      <c r="AJ148">
        <v>0.4</v>
      </c>
      <c r="AK148">
        <v>0.2</v>
      </c>
      <c r="AL148">
        <v>1.4</v>
      </c>
      <c r="AM148">
        <v>2.4</v>
      </c>
      <c r="AN148">
        <v>6</v>
      </c>
      <c r="AO148">
        <v>11.5</v>
      </c>
      <c r="AP148">
        <v>10.4</v>
      </c>
      <c r="AQ148">
        <v>10.5</v>
      </c>
      <c r="AR148">
        <v>13.7</v>
      </c>
      <c r="AS148">
        <v>19.2</v>
      </c>
      <c r="AT148">
        <v>23.7</v>
      </c>
      <c r="AU148">
        <v>29.7</v>
      </c>
      <c r="AV148">
        <v>61</v>
      </c>
      <c r="AW148">
        <v>73.7</v>
      </c>
      <c r="AX148">
        <v>82.7</v>
      </c>
      <c r="AY148">
        <v>63.3</v>
      </c>
    </row>
    <row r="149" spans="1:51" x14ac:dyDescent="0.35">
      <c r="A149" t="s">
        <v>186</v>
      </c>
      <c r="B149">
        <f t="shared" si="4"/>
        <v>4</v>
      </c>
      <c r="C149" t="s">
        <v>143</v>
      </c>
      <c r="D149" t="s">
        <v>142</v>
      </c>
      <c r="E149" t="s">
        <v>123</v>
      </c>
      <c r="F149">
        <v>66</v>
      </c>
      <c r="G149">
        <v>3.4</v>
      </c>
      <c r="H149">
        <v>4.8</v>
      </c>
      <c r="I149">
        <v>5.2</v>
      </c>
      <c r="J149">
        <v>6</v>
      </c>
      <c r="K149">
        <v>5.0999999999999996</v>
      </c>
      <c r="L149">
        <v>5</v>
      </c>
      <c r="M149">
        <v>4.8</v>
      </c>
      <c r="N149">
        <v>5.5</v>
      </c>
      <c r="O149">
        <v>6.3</v>
      </c>
      <c r="P149">
        <v>6.5</v>
      </c>
      <c r="Q149">
        <v>6.6</v>
      </c>
      <c r="R149">
        <v>7.1</v>
      </c>
      <c r="S149">
        <v>7.2</v>
      </c>
      <c r="T149">
        <v>7.5</v>
      </c>
      <c r="U149">
        <v>7.5</v>
      </c>
      <c r="V149">
        <v>5.9</v>
      </c>
      <c r="W149">
        <v>6.6</v>
      </c>
      <c r="X149">
        <v>6.2</v>
      </c>
      <c r="Y149">
        <v>6.1</v>
      </c>
      <c r="Z149">
        <v>6</v>
      </c>
      <c r="AA149">
        <v>7.2</v>
      </c>
      <c r="AB149">
        <v>7.9</v>
      </c>
      <c r="AC149">
        <v>8.6</v>
      </c>
      <c r="AD149">
        <v>9.1</v>
      </c>
      <c r="AE149">
        <v>10.3</v>
      </c>
      <c r="AF149">
        <v>10.3</v>
      </c>
      <c r="AG149">
        <v>12.4</v>
      </c>
      <c r="AH149">
        <v>15.5</v>
      </c>
      <c r="AI149">
        <v>20.6</v>
      </c>
      <c r="AJ149">
        <v>16.600000000000001</v>
      </c>
      <c r="AK149">
        <v>19.2</v>
      </c>
      <c r="AL149">
        <v>19.899999999999999</v>
      </c>
      <c r="AM149">
        <v>19.600000000000001</v>
      </c>
      <c r="AN149">
        <v>20.100000000000001</v>
      </c>
      <c r="AO149">
        <v>25.2</v>
      </c>
      <c r="AP149">
        <v>28.5</v>
      </c>
      <c r="AQ149">
        <v>25.5</v>
      </c>
      <c r="AR149">
        <v>30.5</v>
      </c>
      <c r="AS149">
        <v>47.6</v>
      </c>
      <c r="AT149">
        <v>51.6</v>
      </c>
      <c r="AU149">
        <v>59.7</v>
      </c>
      <c r="AV149">
        <v>89.4</v>
      </c>
      <c r="AW149">
        <v>96</v>
      </c>
      <c r="AX149">
        <v>93.2</v>
      </c>
      <c r="AY149">
        <v>125</v>
      </c>
    </row>
    <row r="150" spans="1:51" x14ac:dyDescent="0.35">
      <c r="A150" t="s">
        <v>186</v>
      </c>
      <c r="B150">
        <f t="shared" si="4"/>
        <v>4</v>
      </c>
      <c r="C150" t="s">
        <v>143</v>
      </c>
      <c r="D150" t="s">
        <v>142</v>
      </c>
      <c r="E150" t="s">
        <v>53</v>
      </c>
      <c r="F150">
        <v>65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>
        <v>1.7</v>
      </c>
      <c r="R150">
        <v>1.7</v>
      </c>
      <c r="S150">
        <v>1.9</v>
      </c>
      <c r="T150">
        <v>2.2000000000000002</v>
      </c>
      <c r="U150">
        <v>2.6</v>
      </c>
      <c r="V150">
        <v>1.1000000000000001</v>
      </c>
      <c r="W150">
        <v>1</v>
      </c>
      <c r="X150">
        <v>1</v>
      </c>
      <c r="Y150">
        <v>0.6</v>
      </c>
      <c r="Z150">
        <v>0.7</v>
      </c>
      <c r="AA150">
        <v>1.2</v>
      </c>
      <c r="AB150">
        <v>2.2999999999999998</v>
      </c>
      <c r="AC150">
        <v>1.6</v>
      </c>
      <c r="AD150">
        <v>2.9</v>
      </c>
      <c r="AE150">
        <v>3.5</v>
      </c>
      <c r="AF150">
        <v>4.0999999999999996</v>
      </c>
      <c r="AG150">
        <v>4.5</v>
      </c>
      <c r="AH150">
        <v>5</v>
      </c>
      <c r="AI150">
        <v>8</v>
      </c>
      <c r="AJ150">
        <v>7</v>
      </c>
      <c r="AK150">
        <v>10.3</v>
      </c>
      <c r="AL150">
        <v>13.3</v>
      </c>
      <c r="AM150">
        <v>14.4</v>
      </c>
      <c r="AN150">
        <v>14.9</v>
      </c>
      <c r="AO150">
        <v>15.9</v>
      </c>
      <c r="AP150">
        <v>20.399999999999999</v>
      </c>
      <c r="AQ150">
        <v>16.899999999999999</v>
      </c>
      <c r="AR150">
        <v>27</v>
      </c>
      <c r="AS150">
        <v>42</v>
      </c>
      <c r="AT150">
        <v>31.5</v>
      </c>
      <c r="AU150">
        <v>37</v>
      </c>
      <c r="AV150">
        <v>89.4</v>
      </c>
      <c r="AW150">
        <v>39.4</v>
      </c>
      <c r="AX150">
        <v>63.3</v>
      </c>
      <c r="AY150">
        <v>74.400000000000006</v>
      </c>
    </row>
    <row r="151" spans="1:51" x14ac:dyDescent="0.35">
      <c r="A151" t="s">
        <v>186</v>
      </c>
      <c r="B151">
        <f t="shared" si="4"/>
        <v>4</v>
      </c>
      <c r="C151" t="s">
        <v>143</v>
      </c>
      <c r="D151" t="s">
        <v>142</v>
      </c>
      <c r="E151" t="s">
        <v>121</v>
      </c>
      <c r="F151">
        <v>63</v>
      </c>
      <c r="G151">
        <v>4.5999999999999996</v>
      </c>
      <c r="H151">
        <v>7.4</v>
      </c>
      <c r="I151">
        <v>8.4</v>
      </c>
      <c r="J151">
        <v>10</v>
      </c>
      <c r="K151">
        <v>9.1</v>
      </c>
      <c r="L151">
        <v>9.1999999999999993</v>
      </c>
      <c r="M151">
        <v>7.8</v>
      </c>
      <c r="N151">
        <v>8.4</v>
      </c>
      <c r="O151">
        <v>9.5</v>
      </c>
      <c r="P151">
        <v>9.5</v>
      </c>
      <c r="Q151">
        <v>10.3</v>
      </c>
      <c r="R151">
        <v>10.3</v>
      </c>
      <c r="S151">
        <v>10.4</v>
      </c>
      <c r="T151">
        <v>10.9</v>
      </c>
      <c r="U151">
        <v>10.3</v>
      </c>
      <c r="V151">
        <v>7.4</v>
      </c>
      <c r="W151">
        <v>9.4</v>
      </c>
      <c r="X151">
        <v>9</v>
      </c>
      <c r="Y151">
        <v>8.5</v>
      </c>
      <c r="Z151">
        <v>5.5</v>
      </c>
      <c r="AA151">
        <v>9.3000000000000007</v>
      </c>
      <c r="AB151">
        <v>8.8000000000000007</v>
      </c>
      <c r="AC151">
        <v>10.5</v>
      </c>
      <c r="AD151">
        <v>13.6</v>
      </c>
      <c r="AE151">
        <v>11.9</v>
      </c>
      <c r="AF151">
        <v>12.1</v>
      </c>
      <c r="AG151">
        <v>15</v>
      </c>
      <c r="AH151">
        <v>19.7</v>
      </c>
      <c r="AI151">
        <v>20.9</v>
      </c>
      <c r="AJ151">
        <v>17.2</v>
      </c>
      <c r="AK151">
        <v>21.6</v>
      </c>
      <c r="AL151">
        <v>22.9</v>
      </c>
      <c r="AM151">
        <v>20.2</v>
      </c>
      <c r="AN151">
        <v>22.1</v>
      </c>
      <c r="AO151">
        <v>22.7</v>
      </c>
      <c r="AP151">
        <v>22</v>
      </c>
      <c r="AQ151">
        <v>23.2</v>
      </c>
      <c r="AR151">
        <v>28.7</v>
      </c>
      <c r="AS151">
        <v>32.700000000000003</v>
      </c>
      <c r="AT151">
        <v>38.200000000000003</v>
      </c>
      <c r="AU151">
        <v>43.2</v>
      </c>
      <c r="AV151">
        <v>68.099999999999994</v>
      </c>
      <c r="AW151">
        <v>34.4</v>
      </c>
      <c r="AX151">
        <v>53.4</v>
      </c>
      <c r="AY151">
        <v>70.7</v>
      </c>
    </row>
    <row r="152" spans="1:51" x14ac:dyDescent="0.35">
      <c r="A152" t="s">
        <v>186</v>
      </c>
      <c r="B152">
        <f t="shared" si="4"/>
        <v>4</v>
      </c>
      <c r="C152" t="s">
        <v>143</v>
      </c>
      <c r="D152" t="s">
        <v>142</v>
      </c>
      <c r="E152" t="s">
        <v>120</v>
      </c>
      <c r="F152">
        <v>62</v>
      </c>
      <c r="G152">
        <v>6.2</v>
      </c>
      <c r="H152">
        <v>10.9</v>
      </c>
      <c r="I152">
        <v>9.1</v>
      </c>
      <c r="J152">
        <v>10.9</v>
      </c>
      <c r="K152">
        <v>9.3000000000000007</v>
      </c>
      <c r="L152">
        <v>10.4</v>
      </c>
      <c r="M152">
        <v>8.6</v>
      </c>
      <c r="N152">
        <v>8.1</v>
      </c>
      <c r="O152">
        <v>9.1999999999999993</v>
      </c>
      <c r="P152">
        <v>9.6999999999999993</v>
      </c>
      <c r="Q152">
        <v>9.9</v>
      </c>
      <c r="R152">
        <v>10.199999999999999</v>
      </c>
      <c r="S152">
        <v>10.3</v>
      </c>
      <c r="T152">
        <v>12.2</v>
      </c>
      <c r="U152">
        <v>11.7</v>
      </c>
      <c r="V152">
        <v>9.6999999999999993</v>
      </c>
      <c r="W152">
        <v>10.9</v>
      </c>
      <c r="X152">
        <v>10</v>
      </c>
      <c r="Y152">
        <v>10.199999999999999</v>
      </c>
      <c r="Z152">
        <v>9</v>
      </c>
      <c r="AA152">
        <v>8.1</v>
      </c>
      <c r="AB152">
        <v>9.4</v>
      </c>
      <c r="AC152">
        <v>9.8000000000000007</v>
      </c>
      <c r="AD152">
        <v>10.8</v>
      </c>
      <c r="AE152">
        <v>11.4</v>
      </c>
      <c r="AF152">
        <v>11.5</v>
      </c>
      <c r="AG152">
        <v>12.3</v>
      </c>
      <c r="AH152">
        <v>15.5</v>
      </c>
      <c r="AI152">
        <v>18.3</v>
      </c>
      <c r="AJ152">
        <v>13.8</v>
      </c>
      <c r="AK152">
        <v>18</v>
      </c>
      <c r="AL152">
        <v>20.9</v>
      </c>
      <c r="AM152">
        <v>19.5</v>
      </c>
      <c r="AN152">
        <v>23.4</v>
      </c>
      <c r="AO152">
        <v>25.8</v>
      </c>
      <c r="AP152">
        <v>23.1</v>
      </c>
      <c r="AQ152">
        <v>17.600000000000001</v>
      </c>
      <c r="AR152">
        <v>20.6</v>
      </c>
      <c r="AS152">
        <v>23</v>
      </c>
      <c r="AT152">
        <v>25</v>
      </c>
      <c r="AU152">
        <v>27.4</v>
      </c>
      <c r="AV152">
        <v>51.8</v>
      </c>
      <c r="AW152">
        <v>30.1</v>
      </c>
      <c r="AX152">
        <v>31.5</v>
      </c>
      <c r="AY152">
        <v>40.200000000000003</v>
      </c>
    </row>
    <row r="153" spans="1:51" x14ac:dyDescent="0.35">
      <c r="A153" t="s">
        <v>186</v>
      </c>
      <c r="B153">
        <f t="shared" si="4"/>
        <v>4</v>
      </c>
      <c r="C153" t="s">
        <v>143</v>
      </c>
      <c r="D153" t="s">
        <v>142</v>
      </c>
      <c r="E153" t="s">
        <v>48</v>
      </c>
      <c r="F153">
        <v>59</v>
      </c>
      <c r="G153">
        <v>27</v>
      </c>
      <c r="H153">
        <v>35.9</v>
      </c>
      <c r="I153">
        <v>33.799999999999997</v>
      </c>
      <c r="J153">
        <v>41.8</v>
      </c>
      <c r="K153">
        <v>35.5</v>
      </c>
      <c r="L153">
        <v>33.299999999999997</v>
      </c>
      <c r="M153">
        <v>25.5</v>
      </c>
      <c r="N153">
        <v>29.8</v>
      </c>
      <c r="O153">
        <v>33</v>
      </c>
      <c r="P153">
        <v>33.299999999999997</v>
      </c>
      <c r="Q153">
        <v>36.6</v>
      </c>
      <c r="R153">
        <v>41.4</v>
      </c>
      <c r="S153">
        <v>33.5</v>
      </c>
      <c r="T153">
        <v>33.799999999999997</v>
      </c>
      <c r="U153">
        <v>34.9</v>
      </c>
      <c r="V153">
        <v>26.2</v>
      </c>
      <c r="W153">
        <v>31.9</v>
      </c>
      <c r="X153">
        <v>21.9</v>
      </c>
      <c r="Y153">
        <v>25.5</v>
      </c>
      <c r="Z153">
        <v>25.5</v>
      </c>
      <c r="AA153">
        <v>25.3</v>
      </c>
      <c r="AB153">
        <v>26.6</v>
      </c>
      <c r="AC153">
        <v>26.8</v>
      </c>
      <c r="AD153">
        <v>32.4</v>
      </c>
      <c r="AE153">
        <v>31.1</v>
      </c>
      <c r="AF153">
        <v>28.1</v>
      </c>
      <c r="AG153">
        <v>30.6</v>
      </c>
      <c r="AH153">
        <v>31.3</v>
      </c>
      <c r="AI153">
        <v>36.5</v>
      </c>
      <c r="AJ153">
        <v>24.2</v>
      </c>
      <c r="AK153">
        <v>28.6</v>
      </c>
      <c r="AL153">
        <v>28.2</v>
      </c>
      <c r="AM153">
        <v>23.3</v>
      </c>
      <c r="AN153">
        <v>22.5</v>
      </c>
      <c r="AO153">
        <v>25.9</v>
      </c>
      <c r="AP153">
        <v>24.7</v>
      </c>
      <c r="AQ153">
        <v>20.9</v>
      </c>
      <c r="AR153">
        <v>28.6</v>
      </c>
      <c r="AS153">
        <v>28.5</v>
      </c>
      <c r="AT153">
        <v>21.5</v>
      </c>
      <c r="AU153">
        <v>45.6</v>
      </c>
      <c r="AV153">
        <v>61.6</v>
      </c>
      <c r="AW153">
        <v>42.1</v>
      </c>
      <c r="AX153">
        <v>35.299999999999997</v>
      </c>
      <c r="AY153">
        <v>40</v>
      </c>
    </row>
    <row r="154" spans="1:51" x14ac:dyDescent="0.35">
      <c r="A154" t="s">
        <v>186</v>
      </c>
      <c r="B154">
        <f t="shared" si="4"/>
        <v>4</v>
      </c>
      <c r="C154" t="s">
        <v>143</v>
      </c>
      <c r="D154" t="s">
        <v>142</v>
      </c>
      <c r="E154" t="s">
        <v>116</v>
      </c>
      <c r="F154">
        <v>57</v>
      </c>
      <c r="G154">
        <v>11.1</v>
      </c>
      <c r="H154">
        <v>11.5</v>
      </c>
      <c r="I154">
        <v>11.1</v>
      </c>
      <c r="J154">
        <v>14.6</v>
      </c>
      <c r="K154">
        <v>13.5</v>
      </c>
      <c r="L154">
        <v>13.1</v>
      </c>
      <c r="M154">
        <v>14.1</v>
      </c>
      <c r="N154">
        <v>18.899999999999999</v>
      </c>
      <c r="O154">
        <v>19.3</v>
      </c>
      <c r="P154">
        <v>19.5</v>
      </c>
      <c r="Q154">
        <v>21.5</v>
      </c>
      <c r="R154">
        <v>18.600000000000001</v>
      </c>
      <c r="S154">
        <v>23.4</v>
      </c>
      <c r="T154">
        <v>28.1</v>
      </c>
      <c r="U154">
        <v>17.100000000000001</v>
      </c>
      <c r="V154">
        <v>22.3</v>
      </c>
      <c r="W154">
        <v>28.6</v>
      </c>
      <c r="X154">
        <v>15.8</v>
      </c>
      <c r="Y154">
        <v>28.9</v>
      </c>
      <c r="Z154">
        <v>26.6</v>
      </c>
      <c r="AA154">
        <v>42.8</v>
      </c>
      <c r="AB154">
        <v>31.8</v>
      </c>
      <c r="AC154">
        <v>39.5</v>
      </c>
      <c r="AD154">
        <v>46.7</v>
      </c>
      <c r="AE154">
        <v>43.1</v>
      </c>
      <c r="AF154">
        <v>54.9</v>
      </c>
      <c r="AG154">
        <v>54.8</v>
      </c>
      <c r="AH154">
        <v>64.7</v>
      </c>
      <c r="AI154">
        <v>71.8</v>
      </c>
      <c r="AJ154">
        <v>64.2</v>
      </c>
      <c r="AK154">
        <v>74.099999999999994</v>
      </c>
      <c r="AL154">
        <v>68.099999999999994</v>
      </c>
      <c r="AM154">
        <v>67</v>
      </c>
      <c r="AN154">
        <v>77.5</v>
      </c>
      <c r="AO154">
        <v>89.8</v>
      </c>
      <c r="AP154">
        <v>89.8</v>
      </c>
      <c r="AQ154">
        <v>91.7</v>
      </c>
      <c r="AR154">
        <v>144.80000000000001</v>
      </c>
      <c r="AS154">
        <v>184.4</v>
      </c>
      <c r="AT154">
        <v>180.5</v>
      </c>
      <c r="AU154">
        <v>329.8</v>
      </c>
      <c r="AV154">
        <v>285.2</v>
      </c>
      <c r="AW154">
        <v>259.2</v>
      </c>
      <c r="AX154">
        <v>365.9</v>
      </c>
      <c r="AY154">
        <v>392.3</v>
      </c>
    </row>
    <row r="155" spans="1:51" x14ac:dyDescent="0.35">
      <c r="A155" t="s">
        <v>186</v>
      </c>
      <c r="B155">
        <f t="shared" si="4"/>
        <v>4</v>
      </c>
      <c r="C155" t="s">
        <v>143</v>
      </c>
      <c r="D155" t="s">
        <v>142</v>
      </c>
      <c r="E155" t="s">
        <v>47</v>
      </c>
      <c r="F155">
        <v>56</v>
      </c>
      <c r="G155">
        <v>27.1</v>
      </c>
      <c r="H155">
        <v>36</v>
      </c>
      <c r="I155">
        <v>31.6</v>
      </c>
      <c r="J155">
        <v>41.9</v>
      </c>
      <c r="K155">
        <v>42.8</v>
      </c>
      <c r="L155">
        <v>39.299999999999997</v>
      </c>
      <c r="M155">
        <v>35.6</v>
      </c>
      <c r="N155">
        <v>42.4</v>
      </c>
      <c r="O155">
        <v>43.2</v>
      </c>
      <c r="P155">
        <v>47.8</v>
      </c>
      <c r="Q155">
        <v>48.3</v>
      </c>
      <c r="R155">
        <v>50.9</v>
      </c>
      <c r="S155">
        <v>33.200000000000003</v>
      </c>
      <c r="T155">
        <v>36.700000000000003</v>
      </c>
      <c r="U155">
        <v>29.6</v>
      </c>
      <c r="V155">
        <v>16.5</v>
      </c>
      <c r="W155">
        <v>55.7</v>
      </c>
      <c r="X155">
        <v>34.1</v>
      </c>
      <c r="Y155">
        <v>33.200000000000003</v>
      </c>
      <c r="Z155">
        <v>15</v>
      </c>
      <c r="AA155">
        <v>14.6</v>
      </c>
      <c r="AB155">
        <v>15.8</v>
      </c>
      <c r="AC155">
        <v>15.6</v>
      </c>
      <c r="AD155">
        <v>18.8</v>
      </c>
      <c r="AE155">
        <v>19.3</v>
      </c>
      <c r="AF155">
        <v>16.100000000000001</v>
      </c>
      <c r="AG155">
        <v>21.4</v>
      </c>
      <c r="AH155">
        <v>22.7</v>
      </c>
      <c r="AI155">
        <v>23.4</v>
      </c>
      <c r="AJ155">
        <v>15.6</v>
      </c>
      <c r="AK155">
        <v>22.1</v>
      </c>
      <c r="AL155">
        <v>21.6</v>
      </c>
      <c r="AM155">
        <v>16.2</v>
      </c>
      <c r="AN155">
        <v>15.8</v>
      </c>
      <c r="AO155">
        <v>17.3</v>
      </c>
      <c r="AP155">
        <v>39.700000000000003</v>
      </c>
      <c r="AQ155">
        <v>15.9</v>
      </c>
      <c r="AR155">
        <v>15.1</v>
      </c>
      <c r="AS155">
        <v>20.7</v>
      </c>
      <c r="AT155">
        <v>20.9</v>
      </c>
      <c r="AU155">
        <v>13.5</v>
      </c>
      <c r="AV155">
        <v>44.7</v>
      </c>
      <c r="AW155">
        <v>30.9</v>
      </c>
      <c r="AX155">
        <v>38.5</v>
      </c>
      <c r="AY155">
        <v>47</v>
      </c>
    </row>
    <row r="156" spans="1:51" x14ac:dyDescent="0.35">
      <c r="A156" t="s">
        <v>186</v>
      </c>
      <c r="B156">
        <f t="shared" si="4"/>
        <v>4</v>
      </c>
      <c r="C156" t="s">
        <v>143</v>
      </c>
      <c r="D156" t="s">
        <v>142</v>
      </c>
      <c r="E156" t="s">
        <v>45</v>
      </c>
      <c r="F156">
        <v>54</v>
      </c>
      <c r="G156">
        <v>10.8</v>
      </c>
      <c r="H156">
        <v>20.9</v>
      </c>
      <c r="I156">
        <v>9.6999999999999993</v>
      </c>
      <c r="J156">
        <v>11.5</v>
      </c>
      <c r="K156">
        <v>11.8</v>
      </c>
      <c r="L156">
        <v>10.5</v>
      </c>
      <c r="M156">
        <v>12.9</v>
      </c>
      <c r="N156">
        <v>17.399999999999999</v>
      </c>
      <c r="O156">
        <v>15.6</v>
      </c>
      <c r="P156">
        <v>14.5</v>
      </c>
      <c r="Q156">
        <v>18.7</v>
      </c>
      <c r="R156">
        <v>15.5</v>
      </c>
      <c r="S156">
        <v>18.8</v>
      </c>
      <c r="T156">
        <v>21.2</v>
      </c>
      <c r="U156">
        <v>14</v>
      </c>
      <c r="V156">
        <v>13.3</v>
      </c>
      <c r="W156">
        <v>33.799999999999997</v>
      </c>
      <c r="X156">
        <v>22.4</v>
      </c>
      <c r="Y156">
        <v>53.4</v>
      </c>
      <c r="Z156">
        <v>11.6</v>
      </c>
      <c r="AA156">
        <v>11.7</v>
      </c>
      <c r="AB156">
        <v>19.2</v>
      </c>
      <c r="AC156">
        <v>14</v>
      </c>
      <c r="AD156">
        <v>19.600000000000001</v>
      </c>
      <c r="AE156">
        <v>22.8</v>
      </c>
      <c r="AF156">
        <v>29.4</v>
      </c>
      <c r="AG156">
        <v>46.8</v>
      </c>
      <c r="AH156">
        <v>38.4</v>
      </c>
      <c r="AI156">
        <v>39.700000000000003</v>
      </c>
      <c r="AJ156">
        <v>23.3</v>
      </c>
      <c r="AK156">
        <v>55.5</v>
      </c>
      <c r="AL156">
        <v>36.1</v>
      </c>
      <c r="AM156">
        <v>25.5</v>
      </c>
      <c r="AN156">
        <v>42.2</v>
      </c>
      <c r="AO156">
        <v>28.8</v>
      </c>
      <c r="AP156">
        <v>58.3</v>
      </c>
      <c r="AQ156">
        <v>95</v>
      </c>
      <c r="AR156">
        <v>125.5</v>
      </c>
      <c r="AS156">
        <v>171.6</v>
      </c>
      <c r="AT156">
        <v>251.8</v>
      </c>
      <c r="AU156">
        <v>216.8</v>
      </c>
      <c r="AV156">
        <v>127</v>
      </c>
      <c r="AW156">
        <v>60.5</v>
      </c>
      <c r="AX156">
        <v>86.5</v>
      </c>
      <c r="AY156">
        <v>129.69999999999999</v>
      </c>
    </row>
    <row r="157" spans="1:51" x14ac:dyDescent="0.35">
      <c r="A157" t="s">
        <v>186</v>
      </c>
      <c r="B157">
        <f t="shared" si="4"/>
        <v>4</v>
      </c>
      <c r="C157" t="s">
        <v>143</v>
      </c>
      <c r="D157" t="s">
        <v>142</v>
      </c>
      <c r="E157" t="s">
        <v>44</v>
      </c>
      <c r="F157">
        <v>53</v>
      </c>
      <c r="G157">
        <v>19.3</v>
      </c>
      <c r="H157">
        <v>25.4</v>
      </c>
      <c r="I157">
        <v>22.6</v>
      </c>
      <c r="J157">
        <v>24.6</v>
      </c>
      <c r="K157">
        <v>24.3</v>
      </c>
      <c r="L157">
        <v>26.6</v>
      </c>
      <c r="M157">
        <v>24.7</v>
      </c>
      <c r="N157">
        <v>27.3</v>
      </c>
      <c r="O157">
        <v>28.1</v>
      </c>
      <c r="P157">
        <v>30.6</v>
      </c>
      <c r="Q157">
        <v>22.1</v>
      </c>
      <c r="R157">
        <v>23.6</v>
      </c>
      <c r="S157">
        <v>21.6</v>
      </c>
      <c r="T157">
        <v>24.4</v>
      </c>
      <c r="U157">
        <v>22.8</v>
      </c>
      <c r="V157">
        <v>20.5</v>
      </c>
      <c r="W157">
        <v>25.8</v>
      </c>
      <c r="X157">
        <v>23.9</v>
      </c>
      <c r="Y157">
        <v>25.9</v>
      </c>
      <c r="Z157">
        <v>22.1</v>
      </c>
      <c r="AA157">
        <v>22.6</v>
      </c>
      <c r="AB157">
        <v>24.6</v>
      </c>
      <c r="AC157">
        <v>25.5</v>
      </c>
      <c r="AD157">
        <v>29.6</v>
      </c>
      <c r="AE157">
        <v>31.5</v>
      </c>
      <c r="AF157">
        <v>30.3</v>
      </c>
      <c r="AG157">
        <v>33.799999999999997</v>
      </c>
      <c r="AH157">
        <v>40.299999999999997</v>
      </c>
      <c r="AI157">
        <v>44.6</v>
      </c>
      <c r="AJ157">
        <v>33.9</v>
      </c>
      <c r="AK157">
        <v>41</v>
      </c>
      <c r="AL157">
        <v>42.2</v>
      </c>
      <c r="AM157">
        <v>40.299999999999997</v>
      </c>
      <c r="AN157">
        <v>44.9</v>
      </c>
      <c r="AO157">
        <v>46</v>
      </c>
      <c r="AP157">
        <v>45.8</v>
      </c>
      <c r="AQ157">
        <v>33.9</v>
      </c>
      <c r="AR157">
        <v>38.200000000000003</v>
      </c>
      <c r="AS157">
        <v>35.799999999999997</v>
      </c>
      <c r="AT157">
        <v>32.4</v>
      </c>
      <c r="AU157">
        <v>33</v>
      </c>
      <c r="AV157">
        <v>75.599999999999994</v>
      </c>
      <c r="AW157">
        <v>40</v>
      </c>
      <c r="AX157">
        <v>58.7</v>
      </c>
      <c r="AY157">
        <v>66.3</v>
      </c>
    </row>
    <row r="158" spans="1:51" x14ac:dyDescent="0.35">
      <c r="A158" t="s">
        <v>186</v>
      </c>
      <c r="B158">
        <f t="shared" si="4"/>
        <v>4</v>
      </c>
      <c r="C158" t="s">
        <v>143</v>
      </c>
      <c r="D158" t="s">
        <v>142</v>
      </c>
      <c r="E158" t="s">
        <v>114</v>
      </c>
      <c r="F158">
        <v>51</v>
      </c>
      <c r="G158">
        <v>7.6</v>
      </c>
      <c r="H158">
        <v>9.6</v>
      </c>
      <c r="I158">
        <v>11</v>
      </c>
      <c r="J158">
        <v>12.3</v>
      </c>
      <c r="K158">
        <v>11.8</v>
      </c>
      <c r="L158">
        <v>11.4</v>
      </c>
      <c r="M158">
        <v>11.4</v>
      </c>
      <c r="N158">
        <v>10.8</v>
      </c>
      <c r="O158">
        <v>13.8</v>
      </c>
      <c r="P158">
        <v>18</v>
      </c>
      <c r="Q158">
        <v>20.8</v>
      </c>
      <c r="R158">
        <v>15.4</v>
      </c>
      <c r="S158">
        <v>18</v>
      </c>
      <c r="T158">
        <v>16.2</v>
      </c>
      <c r="U158">
        <v>17.100000000000001</v>
      </c>
      <c r="V158">
        <v>9.4</v>
      </c>
      <c r="W158">
        <v>10.5</v>
      </c>
      <c r="X158">
        <v>10.199999999999999</v>
      </c>
      <c r="Y158">
        <v>11.1</v>
      </c>
      <c r="Z158">
        <v>14.3</v>
      </c>
      <c r="AA158">
        <v>18.600000000000001</v>
      </c>
      <c r="AB158">
        <v>22.1</v>
      </c>
      <c r="AC158">
        <v>20.8</v>
      </c>
      <c r="AD158">
        <v>30.9</v>
      </c>
      <c r="AE158">
        <v>32.9</v>
      </c>
      <c r="AF158">
        <v>32.200000000000003</v>
      </c>
      <c r="AG158">
        <v>36.1</v>
      </c>
      <c r="AH158">
        <v>31.5</v>
      </c>
      <c r="AI158">
        <v>33</v>
      </c>
      <c r="AJ158">
        <v>24.2</v>
      </c>
      <c r="AK158">
        <v>26.9</v>
      </c>
      <c r="AL158">
        <v>25.5</v>
      </c>
      <c r="AM158">
        <v>25.1</v>
      </c>
      <c r="AN158">
        <v>36.700000000000003</v>
      </c>
      <c r="AO158">
        <v>39.700000000000003</v>
      </c>
      <c r="AP158">
        <v>41.4</v>
      </c>
      <c r="AQ158">
        <v>38.6</v>
      </c>
      <c r="AR158">
        <v>56.2</v>
      </c>
      <c r="AS158">
        <v>87.5</v>
      </c>
      <c r="AT158">
        <v>107.9</v>
      </c>
      <c r="AU158">
        <v>73.400000000000006</v>
      </c>
      <c r="AV158">
        <v>70.7</v>
      </c>
      <c r="AW158">
        <v>27.8</v>
      </c>
      <c r="AX158">
        <v>27.2</v>
      </c>
      <c r="AY158">
        <v>37</v>
      </c>
    </row>
    <row r="159" spans="1:51" x14ac:dyDescent="0.35">
      <c r="A159" t="s">
        <v>186</v>
      </c>
      <c r="B159">
        <f t="shared" ref="B159:B222" si="5">IF(A159="Minor",4,IF(A159="Intermediate",3,IF(A159="Major",2,IF(A159="Total",1,0))))</f>
        <v>4</v>
      </c>
      <c r="C159" t="s">
        <v>143</v>
      </c>
      <c r="D159" t="s">
        <v>142</v>
      </c>
      <c r="E159" t="s">
        <v>112</v>
      </c>
      <c r="F159">
        <v>49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>
        <v>6.2</v>
      </c>
      <c r="R159">
        <v>6.1</v>
      </c>
      <c r="S159">
        <v>6.4</v>
      </c>
      <c r="T159">
        <v>6.2</v>
      </c>
      <c r="U159">
        <v>5.7</v>
      </c>
      <c r="V159">
        <v>5.0999999999999996</v>
      </c>
      <c r="W159">
        <v>6.2</v>
      </c>
      <c r="X159">
        <v>6.6</v>
      </c>
      <c r="Y159">
        <v>8.4</v>
      </c>
      <c r="Z159">
        <v>7.1</v>
      </c>
      <c r="AA159">
        <v>9</v>
      </c>
      <c r="AB159">
        <v>11</v>
      </c>
      <c r="AC159">
        <v>15.4</v>
      </c>
      <c r="AD159">
        <v>14.8</v>
      </c>
      <c r="AE159">
        <v>13.8</v>
      </c>
      <c r="AF159">
        <v>14.1</v>
      </c>
      <c r="AG159">
        <v>16.8</v>
      </c>
      <c r="AH159">
        <v>25.3</v>
      </c>
      <c r="AI159">
        <v>28.8</v>
      </c>
      <c r="AJ159">
        <v>19</v>
      </c>
      <c r="AK159">
        <v>20.5</v>
      </c>
      <c r="AL159">
        <v>21.3</v>
      </c>
      <c r="AM159">
        <v>22.1</v>
      </c>
      <c r="AN159">
        <v>31.3</v>
      </c>
      <c r="AO159">
        <v>41.6</v>
      </c>
      <c r="AP159">
        <v>35.799999999999997</v>
      </c>
      <c r="AQ159">
        <v>29.7</v>
      </c>
      <c r="AR159">
        <v>39.1</v>
      </c>
      <c r="AS159">
        <v>53.7</v>
      </c>
      <c r="AT159">
        <v>80.3</v>
      </c>
      <c r="AU159">
        <v>65.8</v>
      </c>
      <c r="AV159">
        <v>89.4</v>
      </c>
      <c r="AW159">
        <v>41.4</v>
      </c>
      <c r="AX159">
        <v>49.3</v>
      </c>
      <c r="AY159">
        <v>67</v>
      </c>
    </row>
    <row r="160" spans="1:51" x14ac:dyDescent="0.35">
      <c r="A160" t="s">
        <v>186</v>
      </c>
      <c r="B160">
        <f t="shared" si="5"/>
        <v>4</v>
      </c>
      <c r="C160" t="s">
        <v>143</v>
      </c>
      <c r="D160" t="s">
        <v>142</v>
      </c>
      <c r="E160" t="s">
        <v>43</v>
      </c>
      <c r="F160">
        <v>47</v>
      </c>
      <c r="G160">
        <v>22.9</v>
      </c>
      <c r="H160">
        <v>32.700000000000003</v>
      </c>
      <c r="I160">
        <v>31.6</v>
      </c>
      <c r="J160">
        <v>37.200000000000003</v>
      </c>
      <c r="K160">
        <v>34.299999999999997</v>
      </c>
      <c r="L160">
        <v>30.2</v>
      </c>
      <c r="M160">
        <v>27.9</v>
      </c>
      <c r="N160">
        <v>30.7</v>
      </c>
      <c r="O160">
        <v>30.2</v>
      </c>
      <c r="P160">
        <v>28.6</v>
      </c>
      <c r="Q160">
        <v>27.8</v>
      </c>
      <c r="R160">
        <v>33</v>
      </c>
      <c r="S160">
        <v>25.8</v>
      </c>
      <c r="T160">
        <v>29.4</v>
      </c>
      <c r="U160">
        <v>29.5</v>
      </c>
      <c r="V160">
        <v>24.5</v>
      </c>
      <c r="W160">
        <v>34.200000000000003</v>
      </c>
      <c r="X160">
        <v>30.3</v>
      </c>
      <c r="Y160">
        <v>31.5</v>
      </c>
      <c r="Z160">
        <v>28.6</v>
      </c>
      <c r="AA160">
        <v>35.299999999999997</v>
      </c>
      <c r="AB160">
        <v>40.299999999999997</v>
      </c>
      <c r="AC160">
        <v>39.4</v>
      </c>
      <c r="AD160">
        <v>46.7</v>
      </c>
      <c r="AE160">
        <v>50.4</v>
      </c>
      <c r="AF160">
        <v>45.2</v>
      </c>
      <c r="AG160">
        <v>52.4</v>
      </c>
      <c r="AH160">
        <v>65.8</v>
      </c>
      <c r="AI160">
        <v>75</v>
      </c>
      <c r="AJ160">
        <v>53.8</v>
      </c>
      <c r="AK160">
        <v>64.3</v>
      </c>
      <c r="AL160">
        <v>60.6</v>
      </c>
      <c r="AM160">
        <v>59</v>
      </c>
      <c r="AN160">
        <v>61.8</v>
      </c>
      <c r="AO160">
        <v>59.8</v>
      </c>
      <c r="AP160">
        <v>55.3</v>
      </c>
      <c r="AQ160">
        <v>38.200000000000003</v>
      </c>
      <c r="AR160">
        <v>44.9</v>
      </c>
      <c r="AS160">
        <v>42.6</v>
      </c>
      <c r="AT160">
        <v>34.299999999999997</v>
      </c>
      <c r="AU160">
        <v>45.4</v>
      </c>
      <c r="AV160">
        <v>111.2</v>
      </c>
      <c r="AW160">
        <v>71.400000000000006</v>
      </c>
      <c r="AX160">
        <v>78.400000000000006</v>
      </c>
      <c r="AY160">
        <v>87.8</v>
      </c>
    </row>
    <row r="161" spans="1:51" x14ac:dyDescent="0.35">
      <c r="A161" t="s">
        <v>186</v>
      </c>
      <c r="B161">
        <f t="shared" si="5"/>
        <v>4</v>
      </c>
      <c r="C161" t="s">
        <v>143</v>
      </c>
      <c r="D161" t="s">
        <v>142</v>
      </c>
      <c r="E161" t="s">
        <v>107</v>
      </c>
      <c r="F161">
        <v>36</v>
      </c>
      <c r="G161">
        <v>8.1999999999999993</v>
      </c>
      <c r="H161">
        <v>10.199999999999999</v>
      </c>
      <c r="I161">
        <v>10.9</v>
      </c>
      <c r="J161">
        <v>17.600000000000001</v>
      </c>
      <c r="K161">
        <v>14.8</v>
      </c>
      <c r="L161">
        <v>10.199999999999999</v>
      </c>
      <c r="M161">
        <v>9.6999999999999993</v>
      </c>
      <c r="N161">
        <v>14.2</v>
      </c>
      <c r="O161">
        <v>14.4</v>
      </c>
      <c r="P161">
        <v>14.2</v>
      </c>
      <c r="Q161">
        <v>12.5</v>
      </c>
      <c r="R161">
        <v>16.7</v>
      </c>
      <c r="S161">
        <v>18.5</v>
      </c>
      <c r="T161">
        <v>16.7</v>
      </c>
      <c r="U161">
        <v>19.2</v>
      </c>
      <c r="V161">
        <v>16.2</v>
      </c>
      <c r="W161">
        <v>19.3</v>
      </c>
      <c r="X161">
        <v>15.8</v>
      </c>
      <c r="Y161">
        <v>21.8</v>
      </c>
      <c r="Z161">
        <v>26.1</v>
      </c>
      <c r="AA161">
        <v>34.4</v>
      </c>
      <c r="AB161">
        <v>28.7</v>
      </c>
      <c r="AC161">
        <v>28.3</v>
      </c>
      <c r="AD161">
        <v>25.4</v>
      </c>
      <c r="AE161">
        <v>35.799999999999997</v>
      </c>
      <c r="AF161">
        <v>45.5</v>
      </c>
      <c r="AG161">
        <v>51.2</v>
      </c>
      <c r="AH161">
        <v>56</v>
      </c>
      <c r="AI161">
        <v>54.2</v>
      </c>
      <c r="AJ161">
        <v>46.2</v>
      </c>
      <c r="AK161">
        <v>83.7</v>
      </c>
      <c r="AL161">
        <v>110.4</v>
      </c>
      <c r="AM161">
        <v>87.9</v>
      </c>
      <c r="AN161">
        <v>111.2</v>
      </c>
      <c r="AO161">
        <v>84.9</v>
      </c>
      <c r="AP161">
        <v>74.7</v>
      </c>
      <c r="AQ161">
        <v>115.5</v>
      </c>
      <c r="AR161">
        <v>164.5</v>
      </c>
      <c r="AS161">
        <v>239.5</v>
      </c>
      <c r="AT161">
        <v>149.19999999999999</v>
      </c>
      <c r="AU161">
        <v>221.6</v>
      </c>
      <c r="AV161">
        <v>248.9</v>
      </c>
      <c r="AW161">
        <v>75.7</v>
      </c>
      <c r="AX161">
        <v>103.7</v>
      </c>
      <c r="AY161">
        <v>188.5</v>
      </c>
    </row>
    <row r="162" spans="1:51" x14ac:dyDescent="0.35">
      <c r="A162" t="s">
        <v>186</v>
      </c>
      <c r="B162">
        <f t="shared" si="5"/>
        <v>4</v>
      </c>
      <c r="C162" t="s">
        <v>143</v>
      </c>
      <c r="D162" t="s">
        <v>142</v>
      </c>
      <c r="E162" t="s">
        <v>103</v>
      </c>
      <c r="F162">
        <v>26</v>
      </c>
      <c r="G162">
        <v>20</v>
      </c>
      <c r="H162">
        <v>31.2</v>
      </c>
      <c r="I162">
        <v>29.8</v>
      </c>
      <c r="J162">
        <v>27.2</v>
      </c>
      <c r="K162">
        <v>23.1</v>
      </c>
      <c r="L162">
        <v>22.5</v>
      </c>
      <c r="M162">
        <v>22.6</v>
      </c>
      <c r="N162">
        <v>26.7</v>
      </c>
      <c r="O162">
        <v>23.7</v>
      </c>
      <c r="P162">
        <v>25.1</v>
      </c>
      <c r="Q162">
        <v>22.4</v>
      </c>
      <c r="R162">
        <v>26.1</v>
      </c>
      <c r="S162">
        <v>25.9</v>
      </c>
      <c r="T162">
        <v>28.1</v>
      </c>
      <c r="U162">
        <v>22.8</v>
      </c>
      <c r="V162">
        <v>18.5</v>
      </c>
      <c r="W162">
        <v>36.4</v>
      </c>
      <c r="X162">
        <v>20.7</v>
      </c>
      <c r="Y162">
        <v>33.200000000000003</v>
      </c>
      <c r="Z162">
        <v>39.9</v>
      </c>
      <c r="AA162">
        <v>51.1</v>
      </c>
      <c r="AB162">
        <v>51.6</v>
      </c>
      <c r="AC162">
        <v>55.6</v>
      </c>
      <c r="AD162">
        <v>57.7</v>
      </c>
      <c r="AE162">
        <v>53.3</v>
      </c>
      <c r="AF162">
        <v>57.6</v>
      </c>
      <c r="AG162">
        <v>73.400000000000006</v>
      </c>
      <c r="AH162">
        <v>83.9</v>
      </c>
      <c r="AI162">
        <v>77.7</v>
      </c>
      <c r="AJ162">
        <v>57.7</v>
      </c>
      <c r="AK162">
        <v>103.7</v>
      </c>
      <c r="AL162">
        <v>86.1</v>
      </c>
      <c r="AM162">
        <v>81.5</v>
      </c>
      <c r="AN162">
        <v>121.2</v>
      </c>
      <c r="AO162">
        <v>105.9</v>
      </c>
      <c r="AP162">
        <v>112.3</v>
      </c>
      <c r="AQ162">
        <v>127.4</v>
      </c>
      <c r="AR162">
        <v>172.6</v>
      </c>
      <c r="AS162">
        <v>209.7</v>
      </c>
      <c r="AT162">
        <v>108</v>
      </c>
      <c r="AU162">
        <v>306.5</v>
      </c>
      <c r="AV162">
        <v>243.9</v>
      </c>
      <c r="AW162">
        <v>67.599999999999994</v>
      </c>
      <c r="AX162">
        <v>107</v>
      </c>
      <c r="AY162">
        <v>118.9</v>
      </c>
    </row>
    <row r="163" spans="1:51" x14ac:dyDescent="0.35">
      <c r="A163" t="s">
        <v>186</v>
      </c>
      <c r="B163">
        <f t="shared" si="5"/>
        <v>4</v>
      </c>
      <c r="C163" t="s">
        <v>143</v>
      </c>
      <c r="D163" t="s">
        <v>142</v>
      </c>
      <c r="E163" t="s">
        <v>101</v>
      </c>
      <c r="F163">
        <v>24</v>
      </c>
      <c r="G163">
        <v>3.6</v>
      </c>
      <c r="H163">
        <v>5</v>
      </c>
      <c r="I163">
        <v>5</v>
      </c>
      <c r="J163">
        <v>5.8</v>
      </c>
      <c r="K163">
        <v>8.3000000000000007</v>
      </c>
      <c r="L163">
        <v>6.4</v>
      </c>
      <c r="M163">
        <v>8.5</v>
      </c>
      <c r="N163">
        <v>7.7</v>
      </c>
      <c r="O163">
        <v>10.8</v>
      </c>
      <c r="P163">
        <v>9.1</v>
      </c>
      <c r="Q163">
        <v>13.8</v>
      </c>
      <c r="R163">
        <v>18.399999999999999</v>
      </c>
      <c r="S163">
        <v>8.3000000000000007</v>
      </c>
      <c r="T163">
        <v>13.8</v>
      </c>
      <c r="U163">
        <v>11.5</v>
      </c>
      <c r="V163">
        <v>15.1</v>
      </c>
      <c r="W163">
        <v>15.2</v>
      </c>
      <c r="X163">
        <v>10.5</v>
      </c>
      <c r="Y163">
        <v>9.1</v>
      </c>
      <c r="Z163">
        <v>8.6</v>
      </c>
      <c r="AA163">
        <v>11.8</v>
      </c>
      <c r="AB163">
        <v>14.9</v>
      </c>
      <c r="AC163">
        <v>16.2</v>
      </c>
      <c r="AD163">
        <v>16.2</v>
      </c>
      <c r="AE163">
        <v>17.3</v>
      </c>
      <c r="AF163">
        <v>16.7</v>
      </c>
      <c r="AG163">
        <v>18.7</v>
      </c>
      <c r="AH163">
        <v>26.6</v>
      </c>
      <c r="AI163">
        <v>24.3</v>
      </c>
      <c r="AJ163">
        <v>24.5</v>
      </c>
      <c r="AK163">
        <v>25.9</v>
      </c>
      <c r="AL163">
        <v>24.7</v>
      </c>
      <c r="AM163">
        <v>32.1</v>
      </c>
      <c r="AN163">
        <v>33.1</v>
      </c>
      <c r="AO163">
        <v>36.299999999999997</v>
      </c>
      <c r="AP163">
        <v>34.799999999999997</v>
      </c>
      <c r="AQ163">
        <v>21</v>
      </c>
      <c r="AR163">
        <v>26.9</v>
      </c>
      <c r="AS163">
        <v>33.5</v>
      </c>
      <c r="AT163">
        <v>52.1</v>
      </c>
      <c r="AU163">
        <v>75.099999999999994</v>
      </c>
      <c r="AV163">
        <v>81.599999999999994</v>
      </c>
      <c r="AW163">
        <v>54.2</v>
      </c>
      <c r="AX163">
        <v>66</v>
      </c>
      <c r="AY163">
        <v>57.2</v>
      </c>
    </row>
    <row r="164" spans="1:51" x14ac:dyDescent="0.35">
      <c r="A164" t="s">
        <v>186</v>
      </c>
      <c r="B164">
        <f t="shared" si="5"/>
        <v>4</v>
      </c>
      <c r="C164" t="s">
        <v>143</v>
      </c>
      <c r="D164" t="s">
        <v>142</v>
      </c>
      <c r="E164" t="s">
        <v>96</v>
      </c>
      <c r="F164">
        <v>19</v>
      </c>
      <c r="G164">
        <v>68.400000000000006</v>
      </c>
      <c r="H164">
        <v>92.8</v>
      </c>
      <c r="I164">
        <v>92.8</v>
      </c>
      <c r="J164">
        <v>109.1</v>
      </c>
      <c r="K164">
        <v>101.8</v>
      </c>
      <c r="L164">
        <v>88.8</v>
      </c>
      <c r="M164">
        <v>81.7</v>
      </c>
      <c r="N164">
        <v>89</v>
      </c>
      <c r="O164">
        <v>76</v>
      </c>
      <c r="P164">
        <v>88</v>
      </c>
      <c r="Q164">
        <v>102.1</v>
      </c>
      <c r="R164">
        <v>95</v>
      </c>
      <c r="S164">
        <v>138.19999999999999</v>
      </c>
      <c r="T164">
        <v>108.1</v>
      </c>
      <c r="U164">
        <v>123.7</v>
      </c>
      <c r="V164">
        <v>107.1</v>
      </c>
      <c r="W164">
        <v>68.7</v>
      </c>
      <c r="X164">
        <v>91.3</v>
      </c>
      <c r="Y164">
        <v>77.7</v>
      </c>
      <c r="Z164">
        <v>76.5</v>
      </c>
      <c r="AA164">
        <v>107.9</v>
      </c>
      <c r="AB164">
        <v>91</v>
      </c>
      <c r="AC164">
        <v>77.8</v>
      </c>
      <c r="AD164">
        <v>60.9</v>
      </c>
      <c r="AE164">
        <v>61.5</v>
      </c>
      <c r="AF164">
        <v>84.7</v>
      </c>
      <c r="AG164">
        <v>103.1</v>
      </c>
      <c r="AH164">
        <v>79.5</v>
      </c>
      <c r="AI164">
        <v>83.8</v>
      </c>
      <c r="AJ164">
        <v>89.4</v>
      </c>
      <c r="AK164">
        <v>91.3</v>
      </c>
      <c r="AL164">
        <v>114.9</v>
      </c>
      <c r="AM164">
        <v>101.3</v>
      </c>
      <c r="AN164">
        <v>119.6</v>
      </c>
      <c r="AO164">
        <v>98.8</v>
      </c>
      <c r="AP164">
        <v>129</v>
      </c>
      <c r="AQ164">
        <v>181.4</v>
      </c>
      <c r="AR164">
        <v>235.3</v>
      </c>
      <c r="AS164">
        <v>232.7</v>
      </c>
      <c r="AT164">
        <v>252.7</v>
      </c>
      <c r="AU164">
        <v>398.4</v>
      </c>
      <c r="AV164">
        <v>1022.2</v>
      </c>
      <c r="AW164">
        <v>237.4</v>
      </c>
      <c r="AX164">
        <v>254</v>
      </c>
      <c r="AY164">
        <v>384.8</v>
      </c>
    </row>
    <row r="165" spans="1:51" x14ac:dyDescent="0.35">
      <c r="A165" t="s">
        <v>186</v>
      </c>
      <c r="B165">
        <f t="shared" si="5"/>
        <v>4</v>
      </c>
      <c r="C165" t="s">
        <v>143</v>
      </c>
      <c r="D165" t="s">
        <v>142</v>
      </c>
      <c r="E165" t="s">
        <v>91</v>
      </c>
      <c r="F165">
        <v>11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>
        <v>3.8</v>
      </c>
      <c r="R165">
        <v>5.8</v>
      </c>
      <c r="S165">
        <v>5.2</v>
      </c>
      <c r="T165">
        <v>5</v>
      </c>
      <c r="U165">
        <v>5.4</v>
      </c>
      <c r="V165">
        <v>5</v>
      </c>
      <c r="W165">
        <v>4.5</v>
      </c>
      <c r="X165">
        <v>4.2</v>
      </c>
      <c r="Y165">
        <v>4.3</v>
      </c>
      <c r="Z165">
        <v>4.4000000000000004</v>
      </c>
      <c r="AA165">
        <v>6.6</v>
      </c>
      <c r="AB165">
        <v>5.6</v>
      </c>
      <c r="AC165">
        <v>6.8</v>
      </c>
      <c r="AD165">
        <v>8</v>
      </c>
      <c r="AE165">
        <v>8.6999999999999993</v>
      </c>
      <c r="AF165">
        <v>8.1999999999999993</v>
      </c>
      <c r="AG165">
        <v>9.8000000000000007</v>
      </c>
      <c r="AH165">
        <v>11.7</v>
      </c>
      <c r="AI165">
        <v>11.9</v>
      </c>
      <c r="AJ165">
        <v>10.7</v>
      </c>
      <c r="AK165">
        <v>11.9</v>
      </c>
      <c r="AL165">
        <v>12.4</v>
      </c>
      <c r="AM165">
        <v>14.7</v>
      </c>
      <c r="AN165">
        <v>14.2</v>
      </c>
      <c r="AO165">
        <v>15.4</v>
      </c>
      <c r="AP165">
        <v>15.9</v>
      </c>
      <c r="AQ165">
        <v>12.7</v>
      </c>
      <c r="AR165">
        <v>12.2</v>
      </c>
      <c r="AS165">
        <v>14</v>
      </c>
      <c r="AT165">
        <v>15.4</v>
      </c>
      <c r="AU165">
        <v>15.9</v>
      </c>
      <c r="AV165">
        <v>19.100000000000001</v>
      </c>
      <c r="AW165">
        <v>19.399999999999999</v>
      </c>
      <c r="AX165">
        <v>19.100000000000001</v>
      </c>
      <c r="AY165">
        <v>19.7</v>
      </c>
    </row>
    <row r="166" spans="1:51" x14ac:dyDescent="0.35">
      <c r="A166" t="s">
        <v>186</v>
      </c>
      <c r="B166">
        <f t="shared" si="5"/>
        <v>4</v>
      </c>
      <c r="C166" t="s">
        <v>143</v>
      </c>
      <c r="D166" t="s">
        <v>142</v>
      </c>
      <c r="E166" t="s">
        <v>90</v>
      </c>
      <c r="F166">
        <v>10</v>
      </c>
      <c r="G166">
        <v>1.3</v>
      </c>
      <c r="H166">
        <v>0.9</v>
      </c>
      <c r="I166">
        <v>1.4</v>
      </c>
      <c r="J166">
        <v>1.3</v>
      </c>
      <c r="K166">
        <v>1.4</v>
      </c>
      <c r="L166">
        <v>1.5</v>
      </c>
      <c r="M166">
        <v>1.4</v>
      </c>
      <c r="N166">
        <v>1.9</v>
      </c>
      <c r="O166">
        <v>1.8</v>
      </c>
      <c r="P166">
        <v>2.4</v>
      </c>
      <c r="Q166">
        <v>1.9</v>
      </c>
      <c r="R166">
        <v>2.6</v>
      </c>
      <c r="S166">
        <v>2.9</v>
      </c>
      <c r="T166">
        <v>3.6</v>
      </c>
      <c r="U166">
        <v>3.5</v>
      </c>
      <c r="V166">
        <v>2.5</v>
      </c>
      <c r="W166">
        <v>3.2</v>
      </c>
      <c r="X166">
        <v>2.6</v>
      </c>
      <c r="Y166">
        <v>2.9</v>
      </c>
      <c r="Z166">
        <v>4.0999999999999996</v>
      </c>
      <c r="AA166">
        <v>5.2</v>
      </c>
      <c r="AB166">
        <v>6.5</v>
      </c>
      <c r="AC166">
        <v>6.7</v>
      </c>
      <c r="AD166">
        <v>7.3</v>
      </c>
      <c r="AE166">
        <v>7.6</v>
      </c>
      <c r="AF166">
        <v>8.9</v>
      </c>
      <c r="AG166">
        <v>9</v>
      </c>
      <c r="AH166">
        <v>10.199999999999999</v>
      </c>
      <c r="AI166">
        <v>15.2</v>
      </c>
      <c r="AJ166">
        <v>13</v>
      </c>
      <c r="AK166">
        <v>13.4</v>
      </c>
      <c r="AL166">
        <v>12.1</v>
      </c>
      <c r="AM166">
        <v>14.6</v>
      </c>
      <c r="AN166">
        <v>16.899999999999999</v>
      </c>
      <c r="AO166">
        <v>19.7</v>
      </c>
      <c r="AP166">
        <v>19.100000000000001</v>
      </c>
      <c r="AQ166">
        <v>31.3</v>
      </c>
      <c r="AR166">
        <v>33.9</v>
      </c>
      <c r="AS166">
        <v>41.4</v>
      </c>
      <c r="AT166">
        <v>38</v>
      </c>
      <c r="AU166">
        <v>58</v>
      </c>
      <c r="AV166">
        <v>54.3</v>
      </c>
      <c r="AW166">
        <v>23.1</v>
      </c>
      <c r="AX166">
        <v>32</v>
      </c>
      <c r="AY166">
        <v>33.799999999999997</v>
      </c>
    </row>
    <row r="167" spans="1:51" x14ac:dyDescent="0.35">
      <c r="A167" t="s">
        <v>186</v>
      </c>
      <c r="B167">
        <f t="shared" si="5"/>
        <v>4</v>
      </c>
      <c r="C167" t="s">
        <v>143</v>
      </c>
      <c r="D167" t="s">
        <v>142</v>
      </c>
      <c r="E167" t="s">
        <v>89</v>
      </c>
      <c r="F167">
        <v>9</v>
      </c>
      <c r="G167">
        <v>55.6</v>
      </c>
      <c r="H167">
        <v>56.8</v>
      </c>
      <c r="I167">
        <v>50.9</v>
      </c>
      <c r="J167">
        <v>45.9</v>
      </c>
      <c r="K167">
        <v>43.4</v>
      </c>
      <c r="L167">
        <v>46.9</v>
      </c>
      <c r="M167">
        <v>44.4</v>
      </c>
      <c r="N167">
        <v>44.1</v>
      </c>
      <c r="O167">
        <v>61.9</v>
      </c>
      <c r="P167">
        <v>64.400000000000006</v>
      </c>
      <c r="Q167">
        <v>77.900000000000006</v>
      </c>
      <c r="R167">
        <v>80.599999999999994</v>
      </c>
      <c r="S167">
        <v>88.6</v>
      </c>
      <c r="T167">
        <v>86.1</v>
      </c>
      <c r="U167">
        <v>88.2</v>
      </c>
      <c r="V167">
        <v>93.5</v>
      </c>
      <c r="W167">
        <v>96.5</v>
      </c>
      <c r="X167">
        <v>80</v>
      </c>
      <c r="Y167">
        <v>75.7</v>
      </c>
      <c r="Z167">
        <v>53.7</v>
      </c>
      <c r="AA167">
        <v>56.1</v>
      </c>
      <c r="AB167">
        <v>59.5</v>
      </c>
      <c r="AC167">
        <v>70.2</v>
      </c>
      <c r="AD167">
        <v>64.2</v>
      </c>
      <c r="AE167">
        <v>61.3</v>
      </c>
      <c r="AF167">
        <v>87.4</v>
      </c>
      <c r="AG167">
        <v>75.3</v>
      </c>
      <c r="AH167">
        <v>72.3</v>
      </c>
      <c r="AI167">
        <v>71.8</v>
      </c>
      <c r="AJ167">
        <v>71.8</v>
      </c>
      <c r="AK167">
        <v>86.5</v>
      </c>
      <c r="AL167">
        <v>73.7</v>
      </c>
      <c r="AM167">
        <v>97.2</v>
      </c>
      <c r="AN167">
        <v>130.5</v>
      </c>
      <c r="AO167">
        <v>104.7</v>
      </c>
      <c r="AP167">
        <v>104.8</v>
      </c>
      <c r="AQ167">
        <v>113.8</v>
      </c>
      <c r="AR167">
        <v>118.8</v>
      </c>
      <c r="AS167">
        <v>122.6</v>
      </c>
      <c r="AT167">
        <v>99.4</v>
      </c>
      <c r="AU167">
        <v>261.3</v>
      </c>
      <c r="AV167">
        <v>252.5</v>
      </c>
      <c r="AW167">
        <v>142.80000000000001</v>
      </c>
      <c r="AX167">
        <v>160.9</v>
      </c>
      <c r="AY167">
        <v>190.2</v>
      </c>
    </row>
    <row r="168" spans="1:51" x14ac:dyDescent="0.35">
      <c r="A168" t="s">
        <v>186</v>
      </c>
      <c r="B168">
        <f t="shared" si="5"/>
        <v>4</v>
      </c>
      <c r="C168" t="s">
        <v>143</v>
      </c>
      <c r="D168" t="s">
        <v>142</v>
      </c>
      <c r="E168" t="s">
        <v>88</v>
      </c>
      <c r="F168">
        <v>8</v>
      </c>
      <c r="G168">
        <v>19.899999999999999</v>
      </c>
      <c r="H168">
        <v>18.899999999999999</v>
      </c>
      <c r="I168">
        <v>21.6</v>
      </c>
      <c r="J168">
        <v>17.3</v>
      </c>
      <c r="K168">
        <v>15.3</v>
      </c>
      <c r="L168">
        <v>14.8</v>
      </c>
      <c r="M168">
        <v>14.6</v>
      </c>
      <c r="N168">
        <v>15.9</v>
      </c>
      <c r="O168">
        <v>14.6</v>
      </c>
      <c r="P168">
        <v>13.7</v>
      </c>
      <c r="Q168">
        <v>12</v>
      </c>
      <c r="R168">
        <v>14.1</v>
      </c>
      <c r="S168">
        <v>14.2</v>
      </c>
      <c r="T168">
        <v>14.4</v>
      </c>
      <c r="U168">
        <v>13.1</v>
      </c>
      <c r="V168">
        <v>13.9</v>
      </c>
      <c r="W168">
        <v>13.3</v>
      </c>
      <c r="X168">
        <v>10.8</v>
      </c>
      <c r="Y168">
        <v>13.4</v>
      </c>
      <c r="Z168">
        <v>9.5</v>
      </c>
      <c r="AA168">
        <v>10.9</v>
      </c>
      <c r="AB168">
        <v>11.8</v>
      </c>
      <c r="AC168">
        <v>8.6999999999999993</v>
      </c>
      <c r="AD168">
        <v>14.6</v>
      </c>
      <c r="AE168">
        <v>17.100000000000001</v>
      </c>
      <c r="AF168">
        <v>16.899999999999999</v>
      </c>
      <c r="AG168">
        <v>15</v>
      </c>
      <c r="AH168">
        <v>14</v>
      </c>
      <c r="AI168">
        <v>16.7</v>
      </c>
      <c r="AJ168">
        <v>14.9</v>
      </c>
      <c r="AK168">
        <v>16.600000000000001</v>
      </c>
      <c r="AL168">
        <v>16.600000000000001</v>
      </c>
      <c r="AM168">
        <v>18.3</v>
      </c>
      <c r="AN168">
        <v>17.899999999999999</v>
      </c>
      <c r="AO168">
        <v>16.399999999999999</v>
      </c>
      <c r="AP168">
        <v>17.8</v>
      </c>
      <c r="AQ168">
        <v>19.600000000000001</v>
      </c>
      <c r="AR168">
        <v>19.399999999999999</v>
      </c>
      <c r="AS168">
        <v>25.8</v>
      </c>
      <c r="AT168">
        <v>29.5</v>
      </c>
      <c r="AU168">
        <v>20.100000000000001</v>
      </c>
      <c r="AV168">
        <v>24.4</v>
      </c>
      <c r="AW168">
        <v>14.2</v>
      </c>
      <c r="AX168">
        <v>23.8</v>
      </c>
      <c r="AY168">
        <v>29.7</v>
      </c>
    </row>
    <row r="169" spans="1:51" x14ac:dyDescent="0.35">
      <c r="A169" t="s">
        <v>186</v>
      </c>
      <c r="B169">
        <f t="shared" si="5"/>
        <v>4</v>
      </c>
      <c r="C169" t="s">
        <v>143</v>
      </c>
      <c r="D169" t="s">
        <v>142</v>
      </c>
      <c r="E169" t="s">
        <v>87</v>
      </c>
      <c r="F169">
        <v>7</v>
      </c>
      <c r="G169">
        <v>11.7</v>
      </c>
      <c r="H169">
        <v>13.4</v>
      </c>
      <c r="I169">
        <v>15.3</v>
      </c>
      <c r="J169">
        <v>20</v>
      </c>
      <c r="K169">
        <v>19</v>
      </c>
      <c r="L169">
        <v>18.5</v>
      </c>
      <c r="M169">
        <v>17.7</v>
      </c>
      <c r="N169">
        <v>17.399999999999999</v>
      </c>
      <c r="O169">
        <v>21.4</v>
      </c>
      <c r="P169">
        <v>20.6</v>
      </c>
      <c r="Q169">
        <v>11</v>
      </c>
      <c r="R169">
        <v>16.100000000000001</v>
      </c>
      <c r="S169">
        <v>13.8</v>
      </c>
      <c r="T169">
        <v>14.5</v>
      </c>
      <c r="U169">
        <v>13.9</v>
      </c>
      <c r="V169">
        <v>11.4</v>
      </c>
      <c r="W169">
        <v>11.6</v>
      </c>
      <c r="X169">
        <v>12.8</v>
      </c>
      <c r="Y169">
        <v>10.1</v>
      </c>
      <c r="Z169">
        <v>9.5</v>
      </c>
      <c r="AA169">
        <v>10.6</v>
      </c>
      <c r="AB169">
        <v>9.6999999999999993</v>
      </c>
      <c r="AC169">
        <v>9.6999999999999993</v>
      </c>
      <c r="AD169">
        <v>10.8</v>
      </c>
      <c r="AE169">
        <v>12</v>
      </c>
      <c r="AF169">
        <v>12.5</v>
      </c>
      <c r="AG169">
        <v>12.6</v>
      </c>
      <c r="AH169">
        <v>15.3</v>
      </c>
      <c r="AI169">
        <v>22.7</v>
      </c>
      <c r="AJ169">
        <v>15.8</v>
      </c>
      <c r="AK169">
        <v>18.899999999999999</v>
      </c>
      <c r="AL169">
        <v>22.9</v>
      </c>
      <c r="AM169">
        <v>25</v>
      </c>
      <c r="AN169">
        <v>24.5</v>
      </c>
      <c r="AO169">
        <v>27.1</v>
      </c>
      <c r="AP169">
        <v>26.5</v>
      </c>
      <c r="AQ169">
        <v>20.5</v>
      </c>
      <c r="AR169">
        <v>28</v>
      </c>
      <c r="AS169">
        <v>28.2</v>
      </c>
      <c r="AT169">
        <v>28.2</v>
      </c>
      <c r="AU169">
        <v>48.8</v>
      </c>
      <c r="AV169">
        <v>55.9</v>
      </c>
      <c r="AW169">
        <v>37.4</v>
      </c>
      <c r="AX169">
        <v>40.4</v>
      </c>
      <c r="AY169">
        <v>38.6</v>
      </c>
    </row>
    <row r="170" spans="1:51" x14ac:dyDescent="0.35">
      <c r="A170" t="s">
        <v>186</v>
      </c>
      <c r="B170">
        <f t="shared" si="5"/>
        <v>4</v>
      </c>
      <c r="C170" t="s">
        <v>140</v>
      </c>
      <c r="D170" t="s">
        <v>83</v>
      </c>
      <c r="E170" t="s">
        <v>74</v>
      </c>
      <c r="F170">
        <v>75</v>
      </c>
      <c r="G170">
        <v>98.2</v>
      </c>
      <c r="H170">
        <v>105.1</v>
      </c>
      <c r="I170">
        <v>104.3</v>
      </c>
      <c r="J170">
        <v>106.3</v>
      </c>
      <c r="K170">
        <v>103</v>
      </c>
      <c r="L170">
        <v>100.5</v>
      </c>
      <c r="M170">
        <v>89.4</v>
      </c>
      <c r="N170">
        <v>87.4</v>
      </c>
      <c r="O170">
        <v>87.5</v>
      </c>
      <c r="P170">
        <v>87.3</v>
      </c>
      <c r="Q170">
        <v>85.9</v>
      </c>
      <c r="R170">
        <v>89.4</v>
      </c>
      <c r="S170">
        <v>89.3</v>
      </c>
      <c r="T170">
        <v>86.7</v>
      </c>
      <c r="U170">
        <v>89.4</v>
      </c>
      <c r="V170">
        <v>81.5</v>
      </c>
      <c r="W170">
        <v>75.599999999999994</v>
      </c>
      <c r="X170">
        <v>79.099999999999994</v>
      </c>
      <c r="Y170">
        <v>76.5</v>
      </c>
      <c r="Z170">
        <v>76.8</v>
      </c>
      <c r="AA170">
        <v>78.5</v>
      </c>
      <c r="AB170">
        <v>84.4</v>
      </c>
      <c r="AC170">
        <v>79.5</v>
      </c>
      <c r="AD170">
        <v>82.6</v>
      </c>
      <c r="AE170">
        <v>86.3</v>
      </c>
      <c r="AF170">
        <v>86.4</v>
      </c>
      <c r="AG170">
        <v>88.3</v>
      </c>
      <c r="AH170">
        <v>92.1</v>
      </c>
      <c r="AI170">
        <v>93</v>
      </c>
      <c r="AJ170">
        <v>93.5</v>
      </c>
      <c r="AK170">
        <v>93.1</v>
      </c>
      <c r="AL170">
        <v>98.5</v>
      </c>
      <c r="AM170">
        <v>101.6</v>
      </c>
      <c r="AN170">
        <v>99.5</v>
      </c>
      <c r="AO170">
        <v>100</v>
      </c>
      <c r="AP170">
        <v>98.9</v>
      </c>
      <c r="AQ170">
        <v>161.69999999999999</v>
      </c>
      <c r="AR170">
        <v>199.2</v>
      </c>
      <c r="AS170">
        <v>208</v>
      </c>
      <c r="AT170">
        <v>224.7</v>
      </c>
      <c r="AU170">
        <v>186.1</v>
      </c>
      <c r="AV170">
        <v>218.4</v>
      </c>
      <c r="AW170">
        <v>167.7</v>
      </c>
      <c r="AX170">
        <v>147.1</v>
      </c>
      <c r="AY170">
        <v>143.69999999999999</v>
      </c>
    </row>
    <row r="171" spans="1:51" x14ac:dyDescent="0.35">
      <c r="A171" t="s">
        <v>186</v>
      </c>
      <c r="B171">
        <f t="shared" si="5"/>
        <v>4</v>
      </c>
      <c r="C171" t="s">
        <v>140</v>
      </c>
      <c r="D171" t="s">
        <v>83</v>
      </c>
      <c r="E171" t="s">
        <v>73</v>
      </c>
      <c r="F171">
        <v>74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>
        <v>87.9</v>
      </c>
      <c r="AB171">
        <v>95.7</v>
      </c>
      <c r="AC171">
        <v>95.1</v>
      </c>
      <c r="AD171">
        <v>91.4</v>
      </c>
      <c r="AE171">
        <v>91.7</v>
      </c>
      <c r="AF171">
        <v>92.4</v>
      </c>
      <c r="AG171">
        <v>101</v>
      </c>
      <c r="AH171">
        <v>100.6</v>
      </c>
      <c r="AI171">
        <v>101.6</v>
      </c>
      <c r="AJ171">
        <v>87.4</v>
      </c>
      <c r="AK171">
        <v>85.6</v>
      </c>
      <c r="AL171">
        <v>93.5</v>
      </c>
      <c r="AM171">
        <v>94.2</v>
      </c>
      <c r="AN171">
        <v>97.7</v>
      </c>
      <c r="AO171">
        <v>100</v>
      </c>
      <c r="AP171">
        <v>101.7</v>
      </c>
      <c r="AQ171">
        <v>163.80000000000001</v>
      </c>
      <c r="AR171">
        <v>239.6</v>
      </c>
      <c r="AS171">
        <v>252</v>
      </c>
      <c r="AT171">
        <v>266.5</v>
      </c>
      <c r="AU171">
        <v>223</v>
      </c>
      <c r="AV171">
        <v>247.8</v>
      </c>
      <c r="AW171">
        <v>192.5</v>
      </c>
      <c r="AX171">
        <v>170.5</v>
      </c>
      <c r="AY171">
        <v>171.5</v>
      </c>
    </row>
    <row r="172" spans="1:51" x14ac:dyDescent="0.35">
      <c r="A172" t="s">
        <v>186</v>
      </c>
      <c r="B172">
        <f t="shared" si="5"/>
        <v>4</v>
      </c>
      <c r="C172" t="s">
        <v>140</v>
      </c>
      <c r="D172" t="s">
        <v>83</v>
      </c>
      <c r="E172" t="s">
        <v>71</v>
      </c>
      <c r="F172">
        <v>72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>
        <v>155</v>
      </c>
      <c r="AB172">
        <v>153.5</v>
      </c>
      <c r="AC172">
        <v>153.5</v>
      </c>
      <c r="AD172">
        <v>151.6</v>
      </c>
      <c r="AE172">
        <v>151.9</v>
      </c>
      <c r="AF172">
        <v>138.5</v>
      </c>
      <c r="AG172">
        <v>134.4</v>
      </c>
      <c r="AH172">
        <v>131.4</v>
      </c>
      <c r="AI172">
        <v>129</v>
      </c>
      <c r="AJ172">
        <v>134.6</v>
      </c>
      <c r="AK172">
        <v>130.69999999999999</v>
      </c>
      <c r="AL172">
        <v>146</v>
      </c>
      <c r="AM172">
        <v>120.4</v>
      </c>
      <c r="AN172">
        <v>105.3</v>
      </c>
      <c r="AO172">
        <v>100</v>
      </c>
      <c r="AP172">
        <v>84.6</v>
      </c>
      <c r="AQ172">
        <v>77.7</v>
      </c>
      <c r="AR172">
        <v>72.5</v>
      </c>
      <c r="AS172">
        <v>74.7</v>
      </c>
      <c r="AT172">
        <v>81.400000000000006</v>
      </c>
      <c r="AU172">
        <v>96.9</v>
      </c>
      <c r="AV172">
        <v>109.2</v>
      </c>
      <c r="AW172">
        <v>98.6</v>
      </c>
      <c r="AX172">
        <v>78.400000000000006</v>
      </c>
      <c r="AY172">
        <v>73.3</v>
      </c>
    </row>
    <row r="173" spans="1:51" x14ac:dyDescent="0.35">
      <c r="A173" t="s">
        <v>186</v>
      </c>
      <c r="B173">
        <f t="shared" si="5"/>
        <v>4</v>
      </c>
      <c r="C173" t="s">
        <v>140</v>
      </c>
      <c r="D173" t="s">
        <v>83</v>
      </c>
      <c r="E173" t="s">
        <v>70</v>
      </c>
      <c r="F173">
        <v>71</v>
      </c>
      <c r="G173">
        <v>116.2</v>
      </c>
      <c r="H173">
        <v>123.4</v>
      </c>
      <c r="I173">
        <v>112.1</v>
      </c>
      <c r="J173">
        <v>122.6</v>
      </c>
      <c r="K173">
        <v>124.3</v>
      </c>
      <c r="L173">
        <v>128.5</v>
      </c>
      <c r="M173">
        <v>116.9</v>
      </c>
      <c r="N173">
        <v>113.3</v>
      </c>
      <c r="O173">
        <v>111.5</v>
      </c>
      <c r="P173">
        <v>116.7</v>
      </c>
      <c r="Q173">
        <v>115.8</v>
      </c>
      <c r="R173">
        <v>112.9</v>
      </c>
      <c r="S173">
        <v>111.8</v>
      </c>
      <c r="T173">
        <v>105.9</v>
      </c>
      <c r="U173">
        <v>104.8</v>
      </c>
      <c r="V173">
        <v>102.3</v>
      </c>
      <c r="W173">
        <v>109.1</v>
      </c>
      <c r="X173">
        <v>127.5</v>
      </c>
      <c r="Y173">
        <v>114.5</v>
      </c>
      <c r="Z173">
        <v>104.2</v>
      </c>
      <c r="AA173">
        <v>105.2</v>
      </c>
      <c r="AB173">
        <v>103.2</v>
      </c>
      <c r="AC173">
        <v>101.5</v>
      </c>
      <c r="AD173">
        <v>102.6</v>
      </c>
      <c r="AE173">
        <v>101.5</v>
      </c>
      <c r="AF173">
        <v>101</v>
      </c>
      <c r="AG173">
        <v>98.6</v>
      </c>
      <c r="AH173">
        <v>99.1</v>
      </c>
      <c r="AI173">
        <v>101.2</v>
      </c>
      <c r="AJ173">
        <v>102.6</v>
      </c>
      <c r="AK173">
        <v>103.2</v>
      </c>
      <c r="AL173">
        <v>103.4</v>
      </c>
      <c r="AM173">
        <v>101.4</v>
      </c>
      <c r="AN173">
        <v>102.6</v>
      </c>
      <c r="AO173">
        <v>100</v>
      </c>
      <c r="AP173">
        <v>99</v>
      </c>
      <c r="AQ173">
        <v>97.9</v>
      </c>
      <c r="AR173">
        <v>110.4</v>
      </c>
      <c r="AS173">
        <v>129.5</v>
      </c>
      <c r="AT173">
        <v>158.80000000000001</v>
      </c>
      <c r="AU173">
        <v>170</v>
      </c>
      <c r="AV173">
        <v>177.5</v>
      </c>
      <c r="AW173">
        <v>163.5</v>
      </c>
      <c r="AX173">
        <v>144</v>
      </c>
      <c r="AY173">
        <v>146.80000000000001</v>
      </c>
    </row>
    <row r="174" spans="1:51" x14ac:dyDescent="0.35">
      <c r="A174" t="s">
        <v>186</v>
      </c>
      <c r="B174">
        <f t="shared" si="5"/>
        <v>4</v>
      </c>
      <c r="C174" t="s">
        <v>140</v>
      </c>
      <c r="D174" t="s">
        <v>83</v>
      </c>
      <c r="E174" t="s">
        <v>69</v>
      </c>
      <c r="F174">
        <v>70</v>
      </c>
      <c r="G174">
        <v>124.2</v>
      </c>
      <c r="H174">
        <v>138.69999999999999</v>
      </c>
      <c r="I174">
        <v>126.6</v>
      </c>
      <c r="J174">
        <v>125.4</v>
      </c>
      <c r="K174">
        <v>116.9</v>
      </c>
      <c r="L174">
        <v>119.2</v>
      </c>
      <c r="M174">
        <v>113</v>
      </c>
      <c r="N174">
        <v>103.1</v>
      </c>
      <c r="O174">
        <v>102</v>
      </c>
      <c r="P174">
        <v>97.5</v>
      </c>
      <c r="Q174">
        <v>96.1</v>
      </c>
      <c r="R174">
        <v>97.9</v>
      </c>
      <c r="S174">
        <v>94.6</v>
      </c>
      <c r="T174">
        <v>89.1</v>
      </c>
      <c r="U174">
        <v>87.5</v>
      </c>
      <c r="V174">
        <v>79.7</v>
      </c>
      <c r="W174">
        <v>81.099999999999994</v>
      </c>
      <c r="X174">
        <v>81.7</v>
      </c>
      <c r="Y174">
        <v>74</v>
      </c>
      <c r="Z174">
        <v>70</v>
      </c>
      <c r="AA174">
        <v>77.099999999999994</v>
      </c>
      <c r="AB174">
        <v>99</v>
      </c>
      <c r="AC174">
        <v>96.5</v>
      </c>
      <c r="AD174">
        <v>96.3</v>
      </c>
      <c r="AE174">
        <v>102.5</v>
      </c>
      <c r="AF174">
        <v>98.4</v>
      </c>
      <c r="AG174">
        <v>98.7</v>
      </c>
      <c r="AH174">
        <v>107.4</v>
      </c>
      <c r="AI174">
        <v>116</v>
      </c>
      <c r="AJ174">
        <v>111.9</v>
      </c>
      <c r="AK174">
        <v>104.2</v>
      </c>
      <c r="AL174">
        <v>106.2</v>
      </c>
      <c r="AM174">
        <v>99.2</v>
      </c>
      <c r="AN174">
        <v>97.7</v>
      </c>
      <c r="AO174">
        <v>100</v>
      </c>
      <c r="AP174">
        <v>92.1</v>
      </c>
      <c r="AQ174">
        <v>99.7</v>
      </c>
      <c r="AR174">
        <v>138.9</v>
      </c>
      <c r="AS174">
        <v>192.4</v>
      </c>
      <c r="AT174">
        <v>216.8</v>
      </c>
      <c r="AU174">
        <v>212.4</v>
      </c>
      <c r="AV174">
        <v>226.2</v>
      </c>
      <c r="AW174">
        <v>204.4</v>
      </c>
      <c r="AX174">
        <v>151.1</v>
      </c>
      <c r="AY174">
        <v>175.7</v>
      </c>
    </row>
    <row r="175" spans="1:51" x14ac:dyDescent="0.35">
      <c r="A175" t="s">
        <v>186</v>
      </c>
      <c r="B175">
        <f t="shared" si="5"/>
        <v>4</v>
      </c>
      <c r="C175" t="s">
        <v>140</v>
      </c>
      <c r="D175" t="s">
        <v>83</v>
      </c>
      <c r="E175" t="s">
        <v>68</v>
      </c>
      <c r="F175">
        <v>69</v>
      </c>
      <c r="G175">
        <v>169</v>
      </c>
      <c r="H175">
        <v>232.5</v>
      </c>
      <c r="I175">
        <v>194</v>
      </c>
      <c r="J175">
        <v>202.1</v>
      </c>
      <c r="K175">
        <v>176</v>
      </c>
      <c r="L175">
        <v>146.1</v>
      </c>
      <c r="M175">
        <v>125.8</v>
      </c>
      <c r="N175">
        <v>117.8</v>
      </c>
      <c r="O175">
        <v>125.1</v>
      </c>
      <c r="P175">
        <v>121.7</v>
      </c>
      <c r="Q175">
        <v>114.6</v>
      </c>
      <c r="R175">
        <v>115.1</v>
      </c>
      <c r="S175">
        <v>117.8</v>
      </c>
      <c r="T175">
        <v>122.3</v>
      </c>
      <c r="U175">
        <v>102.9</v>
      </c>
      <c r="V175">
        <v>84.9</v>
      </c>
      <c r="W175">
        <v>94.4</v>
      </c>
      <c r="X175">
        <v>100.2</v>
      </c>
      <c r="Y175">
        <v>78.5</v>
      </c>
      <c r="Z175">
        <v>72.8</v>
      </c>
      <c r="AA175">
        <v>92.4</v>
      </c>
      <c r="AB175">
        <v>105.1</v>
      </c>
      <c r="AC175">
        <v>104.6</v>
      </c>
      <c r="AD175">
        <v>120.8</v>
      </c>
      <c r="AE175">
        <v>114.6</v>
      </c>
      <c r="AF175">
        <v>97.5</v>
      </c>
      <c r="AG175">
        <v>106.3</v>
      </c>
      <c r="AH175">
        <v>109.7</v>
      </c>
      <c r="AI175">
        <v>121.9</v>
      </c>
      <c r="AJ175">
        <v>118.3</v>
      </c>
      <c r="AK175">
        <v>102.9</v>
      </c>
      <c r="AL175">
        <v>102.8</v>
      </c>
      <c r="AM175">
        <v>98.3</v>
      </c>
      <c r="AN175">
        <v>97.6</v>
      </c>
      <c r="AO175">
        <v>100</v>
      </c>
      <c r="AP175">
        <v>95.6</v>
      </c>
      <c r="AQ175">
        <v>98</v>
      </c>
      <c r="AR175">
        <v>152.30000000000001</v>
      </c>
      <c r="AS175">
        <v>257.39999999999998</v>
      </c>
      <c r="AT175">
        <v>270.5</v>
      </c>
      <c r="AU175">
        <v>226.7</v>
      </c>
      <c r="AV175">
        <v>233</v>
      </c>
      <c r="AW175">
        <v>198.6</v>
      </c>
      <c r="AX175">
        <v>141.19999999999999</v>
      </c>
      <c r="AY175">
        <v>175.8</v>
      </c>
    </row>
    <row r="176" spans="1:51" x14ac:dyDescent="0.35">
      <c r="A176" t="s">
        <v>186</v>
      </c>
      <c r="B176">
        <f t="shared" si="5"/>
        <v>4</v>
      </c>
      <c r="C176" t="s">
        <v>140</v>
      </c>
      <c r="D176" t="s">
        <v>83</v>
      </c>
      <c r="E176" t="s">
        <v>66</v>
      </c>
      <c r="F176">
        <v>67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>
        <v>100</v>
      </c>
      <c r="AP176">
        <v>80.8</v>
      </c>
      <c r="AQ176">
        <v>131.30000000000001</v>
      </c>
      <c r="AR176">
        <v>228.3</v>
      </c>
      <c r="AS176">
        <v>237.7</v>
      </c>
      <c r="AT176">
        <v>191.5</v>
      </c>
      <c r="AU176">
        <v>152.69999999999999</v>
      </c>
      <c r="AV176">
        <v>154.19999999999999</v>
      </c>
      <c r="AW176">
        <v>106.7</v>
      </c>
      <c r="AX176">
        <v>101.5</v>
      </c>
      <c r="AY176">
        <v>115.2</v>
      </c>
    </row>
    <row r="177" spans="1:51" x14ac:dyDescent="0.35">
      <c r="A177" t="s">
        <v>186</v>
      </c>
      <c r="B177">
        <f t="shared" si="5"/>
        <v>4</v>
      </c>
      <c r="C177" t="s">
        <v>140</v>
      </c>
      <c r="D177" t="s">
        <v>83</v>
      </c>
      <c r="E177" t="s">
        <v>65</v>
      </c>
      <c r="F177">
        <v>66</v>
      </c>
      <c r="G177">
        <v>79.900000000000006</v>
      </c>
      <c r="H177">
        <v>80.099999999999994</v>
      </c>
      <c r="I177">
        <v>83.4</v>
      </c>
      <c r="J177">
        <v>83.1</v>
      </c>
      <c r="K177">
        <v>86.1</v>
      </c>
      <c r="L177">
        <v>79.5</v>
      </c>
      <c r="M177">
        <v>68.2</v>
      </c>
      <c r="N177">
        <v>64.599999999999994</v>
      </c>
      <c r="O177">
        <v>65</v>
      </c>
      <c r="P177">
        <v>96.8</v>
      </c>
      <c r="Q177">
        <v>73.2</v>
      </c>
      <c r="R177">
        <v>79.599999999999994</v>
      </c>
      <c r="S177">
        <v>81.2</v>
      </c>
      <c r="T177">
        <v>74.099999999999994</v>
      </c>
      <c r="U177">
        <v>66</v>
      </c>
      <c r="V177">
        <v>60.2</v>
      </c>
      <c r="W177">
        <v>65.400000000000006</v>
      </c>
      <c r="X177">
        <v>69.5</v>
      </c>
      <c r="Y177">
        <v>71.5</v>
      </c>
      <c r="Z177">
        <v>74.5</v>
      </c>
      <c r="AA177">
        <v>105.6</v>
      </c>
      <c r="AB177">
        <v>103.3</v>
      </c>
      <c r="AC177">
        <v>103.4</v>
      </c>
      <c r="AD177">
        <v>79.3</v>
      </c>
      <c r="AE177">
        <v>85.7</v>
      </c>
      <c r="AF177">
        <v>83.4</v>
      </c>
      <c r="AG177">
        <v>97.2</v>
      </c>
      <c r="AH177">
        <v>119.1</v>
      </c>
      <c r="AI177">
        <v>119.3</v>
      </c>
      <c r="AJ177">
        <v>86</v>
      </c>
      <c r="AK177">
        <v>85.4</v>
      </c>
      <c r="AL177">
        <v>83</v>
      </c>
      <c r="AM177">
        <v>81.900000000000006</v>
      </c>
      <c r="AN177">
        <v>102.4</v>
      </c>
      <c r="AO177">
        <v>100</v>
      </c>
      <c r="AP177">
        <v>89.5</v>
      </c>
      <c r="AQ177">
        <v>115.6</v>
      </c>
      <c r="AR177">
        <v>174.3</v>
      </c>
      <c r="AS177">
        <v>192.1</v>
      </c>
      <c r="AT177">
        <v>163.6</v>
      </c>
      <c r="AU177">
        <v>138.5</v>
      </c>
      <c r="AV177">
        <v>129</v>
      </c>
      <c r="AW177">
        <v>88.6</v>
      </c>
      <c r="AX177">
        <v>89.9</v>
      </c>
      <c r="AY177">
        <v>100.8</v>
      </c>
    </row>
    <row r="178" spans="1:51" x14ac:dyDescent="0.35">
      <c r="A178" t="s">
        <v>186</v>
      </c>
      <c r="B178">
        <f t="shared" si="5"/>
        <v>4</v>
      </c>
      <c r="C178" t="s">
        <v>140</v>
      </c>
      <c r="D178" t="s">
        <v>83</v>
      </c>
      <c r="E178" t="s">
        <v>60</v>
      </c>
      <c r="F178">
        <v>61</v>
      </c>
      <c r="G178">
        <v>127.4</v>
      </c>
      <c r="H178">
        <v>143.5</v>
      </c>
      <c r="I178">
        <v>136.5</v>
      </c>
      <c r="J178">
        <v>127</v>
      </c>
      <c r="K178">
        <v>128.4</v>
      </c>
      <c r="L178">
        <v>130.1</v>
      </c>
      <c r="M178">
        <v>126.9</v>
      </c>
      <c r="N178">
        <v>116.2</v>
      </c>
      <c r="O178">
        <v>109.8</v>
      </c>
      <c r="P178">
        <v>116.6</v>
      </c>
      <c r="Q178">
        <v>107.5</v>
      </c>
      <c r="R178">
        <v>103.1</v>
      </c>
      <c r="S178">
        <v>95.1</v>
      </c>
      <c r="T178">
        <v>80.599999999999994</v>
      </c>
      <c r="U178">
        <v>68.3</v>
      </c>
      <c r="V178">
        <v>63.7</v>
      </c>
      <c r="W178">
        <v>90.8</v>
      </c>
      <c r="X178">
        <v>93.4</v>
      </c>
      <c r="Y178">
        <v>84.1</v>
      </c>
      <c r="Z178">
        <v>74.099999999999994</v>
      </c>
      <c r="AA178">
        <v>94.4</v>
      </c>
      <c r="AB178">
        <v>104.3</v>
      </c>
      <c r="AC178">
        <v>93.2</v>
      </c>
      <c r="AD178">
        <v>90.1</v>
      </c>
      <c r="AE178">
        <v>105.6</v>
      </c>
      <c r="AF178">
        <v>106.5</v>
      </c>
      <c r="AG178">
        <v>88.8</v>
      </c>
      <c r="AH178">
        <v>89.6</v>
      </c>
      <c r="AI178">
        <v>94.6</v>
      </c>
      <c r="AJ178">
        <v>96.4</v>
      </c>
      <c r="AK178">
        <v>90.5</v>
      </c>
      <c r="AL178">
        <v>84.7</v>
      </c>
      <c r="AM178">
        <v>80.5</v>
      </c>
      <c r="AN178">
        <v>89</v>
      </c>
      <c r="AO178">
        <v>100</v>
      </c>
      <c r="AP178">
        <v>91.2</v>
      </c>
      <c r="AQ178">
        <v>88.5</v>
      </c>
      <c r="AR178">
        <v>119.5</v>
      </c>
      <c r="AS178">
        <v>142.19999999999999</v>
      </c>
      <c r="AT178">
        <v>181.4</v>
      </c>
      <c r="AU178">
        <v>188.6</v>
      </c>
      <c r="AV178">
        <v>224.3</v>
      </c>
      <c r="AW178">
        <v>191.7</v>
      </c>
      <c r="AX178">
        <v>153.6</v>
      </c>
      <c r="AY178">
        <v>131.30000000000001</v>
      </c>
    </row>
    <row r="179" spans="1:51" x14ac:dyDescent="0.35">
      <c r="A179" t="s">
        <v>186</v>
      </c>
      <c r="B179">
        <f t="shared" si="5"/>
        <v>4</v>
      </c>
      <c r="C179" t="s">
        <v>140</v>
      </c>
      <c r="D179" t="s">
        <v>83</v>
      </c>
      <c r="E179" t="s">
        <v>59</v>
      </c>
      <c r="F179">
        <v>60</v>
      </c>
      <c r="G179" t="e">
        <v>#N/A</v>
      </c>
      <c r="H179" t="e">
        <v>#N/A</v>
      </c>
      <c r="I179" t="e">
        <v>#N/A</v>
      </c>
      <c r="J179">
        <v>186.7</v>
      </c>
      <c r="K179">
        <v>195.8</v>
      </c>
      <c r="L179">
        <v>206.3</v>
      </c>
      <c r="M179">
        <v>212.6</v>
      </c>
      <c r="N179">
        <v>193.9</v>
      </c>
      <c r="O179">
        <v>178.4</v>
      </c>
      <c r="P179">
        <v>174.8</v>
      </c>
      <c r="Q179">
        <v>161.19999999999999</v>
      </c>
      <c r="R179">
        <v>141.19999999999999</v>
      </c>
      <c r="S179">
        <v>176.5</v>
      </c>
      <c r="T179">
        <v>171.8</v>
      </c>
      <c r="U179">
        <v>132.6</v>
      </c>
      <c r="V179">
        <v>111.3</v>
      </c>
      <c r="W179">
        <v>113.8</v>
      </c>
      <c r="X179">
        <v>117.1</v>
      </c>
      <c r="Y179">
        <v>112.1</v>
      </c>
      <c r="Z179">
        <v>110.4</v>
      </c>
      <c r="AA179">
        <v>121.4</v>
      </c>
      <c r="AB179">
        <v>150.4</v>
      </c>
      <c r="AC179">
        <v>151.5</v>
      </c>
      <c r="AD179">
        <v>138.30000000000001</v>
      </c>
      <c r="AE179">
        <v>135.69999999999999</v>
      </c>
      <c r="AF179">
        <v>136.80000000000001</v>
      </c>
      <c r="AG179">
        <v>141.30000000000001</v>
      </c>
      <c r="AH179">
        <v>140.80000000000001</v>
      </c>
      <c r="AI179">
        <v>142</v>
      </c>
      <c r="AJ179">
        <v>141.1</v>
      </c>
      <c r="AK179">
        <v>121.1</v>
      </c>
      <c r="AL179">
        <v>105.8</v>
      </c>
      <c r="AM179">
        <v>95.1</v>
      </c>
      <c r="AN179">
        <v>94.1</v>
      </c>
      <c r="AO179">
        <v>100</v>
      </c>
      <c r="AP179">
        <v>100.7</v>
      </c>
      <c r="AQ179">
        <v>96.9</v>
      </c>
      <c r="AR179">
        <v>104.6</v>
      </c>
      <c r="AS179">
        <v>150.1</v>
      </c>
      <c r="AT179">
        <v>214.4</v>
      </c>
      <c r="AU179">
        <v>213.1</v>
      </c>
      <c r="AV179">
        <v>240.6</v>
      </c>
      <c r="AW179">
        <v>180.5</v>
      </c>
      <c r="AX179">
        <v>122.2</v>
      </c>
      <c r="AY179">
        <v>102.9</v>
      </c>
    </row>
    <row r="180" spans="1:51" x14ac:dyDescent="0.35">
      <c r="A180" t="s">
        <v>186</v>
      </c>
      <c r="B180">
        <f t="shared" si="5"/>
        <v>4</v>
      </c>
      <c r="C180" t="s">
        <v>140</v>
      </c>
      <c r="D180" t="s">
        <v>83</v>
      </c>
      <c r="E180" t="s">
        <v>58</v>
      </c>
      <c r="F180">
        <v>59</v>
      </c>
      <c r="G180">
        <v>124.7</v>
      </c>
      <c r="H180">
        <v>130.19999999999999</v>
      </c>
      <c r="I180">
        <v>131.69999999999999</v>
      </c>
      <c r="J180">
        <v>129.19999999999999</v>
      </c>
      <c r="K180">
        <v>129.69999999999999</v>
      </c>
      <c r="L180">
        <v>132</v>
      </c>
      <c r="M180">
        <v>127.9</v>
      </c>
      <c r="N180">
        <v>114.4</v>
      </c>
      <c r="O180">
        <v>109.9</v>
      </c>
      <c r="P180">
        <v>121.3</v>
      </c>
      <c r="Q180">
        <v>124.1</v>
      </c>
      <c r="R180">
        <v>116.7</v>
      </c>
      <c r="S180">
        <v>95.6</v>
      </c>
      <c r="T180">
        <v>77.5</v>
      </c>
      <c r="U180">
        <v>59.4</v>
      </c>
      <c r="V180">
        <v>70</v>
      </c>
      <c r="W180">
        <v>93.3</v>
      </c>
      <c r="X180">
        <v>88</v>
      </c>
      <c r="Y180">
        <v>71.400000000000006</v>
      </c>
      <c r="Z180">
        <v>71.8</v>
      </c>
      <c r="AA180">
        <v>87.3</v>
      </c>
      <c r="AB180">
        <v>91.6</v>
      </c>
      <c r="AC180">
        <v>81.900000000000006</v>
      </c>
      <c r="AD180">
        <v>75.099999999999994</v>
      </c>
      <c r="AE180">
        <v>82.5</v>
      </c>
      <c r="AF180">
        <v>92.5</v>
      </c>
      <c r="AG180">
        <v>78.099999999999994</v>
      </c>
      <c r="AH180">
        <v>83.8</v>
      </c>
      <c r="AI180">
        <v>83.4</v>
      </c>
      <c r="AJ180">
        <v>82</v>
      </c>
      <c r="AK180">
        <v>77.3</v>
      </c>
      <c r="AL180">
        <v>70.7</v>
      </c>
      <c r="AM180">
        <v>70.8</v>
      </c>
      <c r="AN180">
        <v>84.4</v>
      </c>
      <c r="AO180">
        <v>100</v>
      </c>
      <c r="AP180">
        <v>87.8</v>
      </c>
      <c r="AQ180">
        <v>66.3</v>
      </c>
      <c r="AR180">
        <v>102.3</v>
      </c>
      <c r="AS180">
        <v>110.7</v>
      </c>
      <c r="AT180">
        <v>147.19999999999999</v>
      </c>
      <c r="AU180">
        <v>147.5</v>
      </c>
      <c r="AV180">
        <v>201.9</v>
      </c>
      <c r="AW180">
        <v>124.8</v>
      </c>
      <c r="AX180">
        <v>117</v>
      </c>
      <c r="AY180">
        <v>94.2</v>
      </c>
    </row>
    <row r="181" spans="1:51" x14ac:dyDescent="0.35">
      <c r="A181" t="s">
        <v>186</v>
      </c>
      <c r="B181">
        <f t="shared" si="5"/>
        <v>4</v>
      </c>
      <c r="C181" t="s">
        <v>140</v>
      </c>
      <c r="D181" t="s">
        <v>83</v>
      </c>
      <c r="E181" t="s">
        <v>56</v>
      </c>
      <c r="F181">
        <v>57</v>
      </c>
      <c r="G181">
        <v>81.099999999999994</v>
      </c>
      <c r="H181">
        <v>106.9</v>
      </c>
      <c r="I181">
        <v>109.6</v>
      </c>
      <c r="J181">
        <v>109.2</v>
      </c>
      <c r="K181">
        <v>108.2</v>
      </c>
      <c r="L181">
        <v>100.9</v>
      </c>
      <c r="M181">
        <v>93</v>
      </c>
      <c r="N181">
        <v>90.9</v>
      </c>
      <c r="O181">
        <v>95.1</v>
      </c>
      <c r="P181">
        <v>100</v>
      </c>
      <c r="Q181">
        <v>97.5</v>
      </c>
      <c r="R181">
        <v>100.8</v>
      </c>
      <c r="S181">
        <v>102.5</v>
      </c>
      <c r="T181">
        <v>102.2</v>
      </c>
      <c r="U181">
        <v>95.9</v>
      </c>
      <c r="V181">
        <v>87</v>
      </c>
      <c r="W181">
        <v>81.599999999999994</v>
      </c>
      <c r="X181">
        <v>86.1</v>
      </c>
      <c r="Y181">
        <v>87</v>
      </c>
      <c r="Z181">
        <v>82.5</v>
      </c>
      <c r="AA181">
        <v>82</v>
      </c>
      <c r="AB181">
        <v>87.7</v>
      </c>
      <c r="AC181">
        <v>91.8</v>
      </c>
      <c r="AD181">
        <v>100.9</v>
      </c>
      <c r="AE181">
        <v>103.1</v>
      </c>
      <c r="AF181">
        <v>102.2</v>
      </c>
      <c r="AG181">
        <v>98.9</v>
      </c>
      <c r="AH181">
        <v>98.6</v>
      </c>
      <c r="AI181">
        <v>98.9</v>
      </c>
      <c r="AJ181">
        <v>98.5</v>
      </c>
      <c r="AK181">
        <v>97.4</v>
      </c>
      <c r="AL181">
        <v>96.1</v>
      </c>
      <c r="AM181">
        <v>97.7</v>
      </c>
      <c r="AN181">
        <v>100.4</v>
      </c>
      <c r="AO181">
        <v>100</v>
      </c>
      <c r="AP181">
        <v>98.6</v>
      </c>
      <c r="AQ181">
        <v>100.2</v>
      </c>
      <c r="AR181">
        <v>97.6</v>
      </c>
      <c r="AS181">
        <v>134.69999999999999</v>
      </c>
      <c r="AT181">
        <v>145.80000000000001</v>
      </c>
      <c r="AU181">
        <v>175</v>
      </c>
      <c r="AV181">
        <v>301.39999999999998</v>
      </c>
      <c r="AW181">
        <v>225.9</v>
      </c>
      <c r="AX181">
        <v>224.8</v>
      </c>
      <c r="AY181">
        <v>212.8</v>
      </c>
    </row>
    <row r="182" spans="1:51" x14ac:dyDescent="0.35">
      <c r="A182" t="s">
        <v>186</v>
      </c>
      <c r="B182">
        <f t="shared" si="5"/>
        <v>4</v>
      </c>
      <c r="C182" t="s">
        <v>140</v>
      </c>
      <c r="D182" t="s">
        <v>83</v>
      </c>
      <c r="E182" t="s">
        <v>54</v>
      </c>
      <c r="F182">
        <v>55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>
        <v>126</v>
      </c>
      <c r="AB182">
        <v>123.4</v>
      </c>
      <c r="AC182">
        <v>103.4</v>
      </c>
      <c r="AD182">
        <v>107.8</v>
      </c>
      <c r="AE182">
        <v>109.2</v>
      </c>
      <c r="AF182">
        <v>114</v>
      </c>
      <c r="AG182">
        <v>113.2</v>
      </c>
      <c r="AH182">
        <v>104.1</v>
      </c>
      <c r="AI182">
        <v>109</v>
      </c>
      <c r="AJ182">
        <v>108.9</v>
      </c>
      <c r="AK182">
        <v>93.6</v>
      </c>
      <c r="AL182">
        <v>92.9</v>
      </c>
      <c r="AM182">
        <v>92.9</v>
      </c>
      <c r="AN182">
        <v>97</v>
      </c>
      <c r="AO182">
        <v>100</v>
      </c>
      <c r="AP182">
        <v>95</v>
      </c>
      <c r="AQ182">
        <v>94.6</v>
      </c>
      <c r="AR182">
        <v>124.9</v>
      </c>
      <c r="AS182">
        <v>169.4</v>
      </c>
      <c r="AT182">
        <v>180.9</v>
      </c>
      <c r="AU182">
        <v>196.8</v>
      </c>
      <c r="AV182">
        <v>284.89999999999998</v>
      </c>
      <c r="AW182">
        <v>233.8</v>
      </c>
      <c r="AX182">
        <v>171.1</v>
      </c>
      <c r="AY182">
        <v>203.6</v>
      </c>
    </row>
    <row r="183" spans="1:51" x14ac:dyDescent="0.35">
      <c r="A183" t="s">
        <v>186</v>
      </c>
      <c r="B183">
        <f t="shared" si="5"/>
        <v>4</v>
      </c>
      <c r="C183" t="s">
        <v>140</v>
      </c>
      <c r="D183" t="s">
        <v>83</v>
      </c>
      <c r="E183" t="s">
        <v>51</v>
      </c>
      <c r="F183">
        <v>52</v>
      </c>
      <c r="G183">
        <v>60.1</v>
      </c>
      <c r="H183">
        <v>65.7</v>
      </c>
      <c r="I183">
        <v>70.099999999999994</v>
      </c>
      <c r="J183">
        <v>71.8</v>
      </c>
      <c r="K183">
        <v>72.5</v>
      </c>
      <c r="L183">
        <v>67.8</v>
      </c>
      <c r="M183">
        <v>65</v>
      </c>
      <c r="N183">
        <v>64</v>
      </c>
      <c r="O183">
        <v>69.099999999999994</v>
      </c>
      <c r="P183">
        <v>71.599999999999994</v>
      </c>
      <c r="Q183">
        <v>70.7</v>
      </c>
      <c r="R183">
        <v>69.3</v>
      </c>
      <c r="S183">
        <v>69.2</v>
      </c>
      <c r="T183">
        <v>65.5</v>
      </c>
      <c r="U183">
        <v>65.8</v>
      </c>
      <c r="V183">
        <v>65.3</v>
      </c>
      <c r="W183">
        <v>60.4</v>
      </c>
      <c r="X183">
        <v>62.7</v>
      </c>
      <c r="Y183">
        <v>62.6</v>
      </c>
      <c r="Z183">
        <v>61.4</v>
      </c>
      <c r="AA183">
        <v>67</v>
      </c>
      <c r="AB183">
        <v>72.2</v>
      </c>
      <c r="AC183">
        <v>71.5</v>
      </c>
      <c r="AD183">
        <v>77.099999999999994</v>
      </c>
      <c r="AE183">
        <v>81.5</v>
      </c>
      <c r="AF183">
        <v>80.2</v>
      </c>
      <c r="AG183">
        <v>80.3</v>
      </c>
      <c r="AH183">
        <v>97.4</v>
      </c>
      <c r="AI183">
        <v>102.4</v>
      </c>
      <c r="AJ183">
        <v>96.3</v>
      </c>
      <c r="AK183">
        <v>92.6</v>
      </c>
      <c r="AL183">
        <v>94</v>
      </c>
      <c r="AM183">
        <v>93.3</v>
      </c>
      <c r="AN183">
        <v>95.9</v>
      </c>
      <c r="AO183">
        <v>100</v>
      </c>
      <c r="AP183">
        <v>94.1</v>
      </c>
      <c r="AQ183">
        <v>92.5</v>
      </c>
      <c r="AR183">
        <v>93.9</v>
      </c>
      <c r="AS183">
        <v>117.8</v>
      </c>
      <c r="AT183">
        <v>163.9</v>
      </c>
      <c r="AU183">
        <v>195.3</v>
      </c>
      <c r="AV183">
        <v>259.2</v>
      </c>
      <c r="AW183">
        <v>167.3</v>
      </c>
      <c r="AX183">
        <v>153.6</v>
      </c>
      <c r="AY183">
        <v>183.1</v>
      </c>
    </row>
    <row r="184" spans="1:51" x14ac:dyDescent="0.35">
      <c r="A184" t="s">
        <v>186</v>
      </c>
      <c r="B184">
        <f t="shared" si="5"/>
        <v>4</v>
      </c>
      <c r="C184" t="s">
        <v>140</v>
      </c>
      <c r="D184" t="s">
        <v>83</v>
      </c>
      <c r="E184" t="s">
        <v>43</v>
      </c>
      <c r="F184">
        <v>44</v>
      </c>
      <c r="G184">
        <v>106.7</v>
      </c>
      <c r="H184">
        <v>122.1</v>
      </c>
      <c r="I184">
        <v>113</v>
      </c>
      <c r="J184">
        <v>118.8</v>
      </c>
      <c r="K184">
        <v>112.5</v>
      </c>
      <c r="L184">
        <v>105</v>
      </c>
      <c r="M184">
        <v>94.7</v>
      </c>
      <c r="N184">
        <v>92.4</v>
      </c>
      <c r="O184">
        <v>94.1</v>
      </c>
      <c r="P184">
        <v>101.3</v>
      </c>
      <c r="Q184">
        <v>103.8</v>
      </c>
      <c r="R184">
        <v>100.3</v>
      </c>
      <c r="S184">
        <v>94.1</v>
      </c>
      <c r="T184">
        <v>87.1</v>
      </c>
      <c r="U184">
        <v>93.5</v>
      </c>
      <c r="V184">
        <v>85.7</v>
      </c>
      <c r="W184">
        <v>81.3</v>
      </c>
      <c r="X184">
        <v>83.8</v>
      </c>
      <c r="Y184">
        <v>74.900000000000006</v>
      </c>
      <c r="Z184">
        <v>67.900000000000006</v>
      </c>
      <c r="AA184">
        <v>68.3</v>
      </c>
      <c r="AB184">
        <v>90.6</v>
      </c>
      <c r="AC184">
        <v>76.400000000000006</v>
      </c>
      <c r="AD184">
        <v>73.8</v>
      </c>
      <c r="AE184">
        <v>76.2</v>
      </c>
      <c r="AF184">
        <v>84.8</v>
      </c>
      <c r="AG184">
        <v>86</v>
      </c>
      <c r="AH184">
        <v>90.5</v>
      </c>
      <c r="AI184">
        <v>99.9</v>
      </c>
      <c r="AJ184">
        <v>89.6</v>
      </c>
      <c r="AK184">
        <v>87.8</v>
      </c>
      <c r="AL184">
        <v>99.9</v>
      </c>
      <c r="AM184">
        <v>99.8</v>
      </c>
      <c r="AN184">
        <v>96.2</v>
      </c>
      <c r="AO184">
        <v>100</v>
      </c>
      <c r="AP184">
        <v>103.8</v>
      </c>
      <c r="AQ184">
        <v>107.8</v>
      </c>
      <c r="AR184">
        <v>133.4</v>
      </c>
      <c r="AS184">
        <v>176.9</v>
      </c>
      <c r="AT184">
        <v>273.2</v>
      </c>
      <c r="AU184">
        <v>306.39999999999998</v>
      </c>
      <c r="AV184">
        <v>390</v>
      </c>
      <c r="AW184">
        <v>202</v>
      </c>
      <c r="AX184">
        <v>207.9</v>
      </c>
      <c r="AY184">
        <v>235.2</v>
      </c>
    </row>
    <row r="185" spans="1:51" x14ac:dyDescent="0.35">
      <c r="A185" t="s">
        <v>186</v>
      </c>
      <c r="B185">
        <f t="shared" si="5"/>
        <v>4</v>
      </c>
      <c r="C185" t="s">
        <v>140</v>
      </c>
      <c r="D185" t="s">
        <v>83</v>
      </c>
      <c r="E185" t="s">
        <v>41</v>
      </c>
      <c r="F185">
        <v>42</v>
      </c>
      <c r="G185">
        <v>81.2</v>
      </c>
      <c r="H185">
        <v>91</v>
      </c>
      <c r="I185">
        <v>87.9</v>
      </c>
      <c r="J185">
        <v>87.7</v>
      </c>
      <c r="K185">
        <v>81.599999999999994</v>
      </c>
      <c r="L185">
        <v>82.8</v>
      </c>
      <c r="M185">
        <v>80.8</v>
      </c>
      <c r="N185">
        <v>74.7</v>
      </c>
      <c r="O185">
        <v>75.099999999999994</v>
      </c>
      <c r="P185">
        <v>77.7</v>
      </c>
      <c r="Q185">
        <v>78</v>
      </c>
      <c r="R185">
        <v>78.900000000000006</v>
      </c>
      <c r="S185">
        <v>72.8</v>
      </c>
      <c r="T185">
        <v>65.599999999999994</v>
      </c>
      <c r="U185">
        <v>64.7</v>
      </c>
      <c r="V185">
        <v>50.8</v>
      </c>
      <c r="W185">
        <v>53.3</v>
      </c>
      <c r="X185">
        <v>59.8</v>
      </c>
      <c r="Y185">
        <v>50.6</v>
      </c>
      <c r="Z185">
        <v>43.2</v>
      </c>
      <c r="AA185">
        <v>50.2</v>
      </c>
      <c r="AB185">
        <v>71.7</v>
      </c>
      <c r="AC185">
        <v>65.599999999999994</v>
      </c>
      <c r="AD185">
        <v>65.900000000000006</v>
      </c>
      <c r="AE185">
        <v>80.900000000000006</v>
      </c>
      <c r="AF185">
        <v>84.8</v>
      </c>
      <c r="AG185">
        <v>73.7</v>
      </c>
      <c r="AH185">
        <v>83.6</v>
      </c>
      <c r="AI185">
        <v>87.3</v>
      </c>
      <c r="AJ185">
        <v>78.099999999999994</v>
      </c>
      <c r="AK185">
        <v>92.3</v>
      </c>
      <c r="AL185">
        <v>113.4</v>
      </c>
      <c r="AM185">
        <v>90.3</v>
      </c>
      <c r="AN185">
        <v>87</v>
      </c>
      <c r="AO185">
        <v>100</v>
      </c>
      <c r="AP185">
        <v>81.5</v>
      </c>
      <c r="AQ185">
        <v>74.400000000000006</v>
      </c>
      <c r="AR185">
        <v>116.5</v>
      </c>
      <c r="AS185">
        <v>180.9</v>
      </c>
      <c r="AT185">
        <v>247.9</v>
      </c>
      <c r="AU185">
        <v>263</v>
      </c>
      <c r="AV185">
        <v>278.39999999999998</v>
      </c>
      <c r="AW185">
        <v>124.6</v>
      </c>
      <c r="AX185">
        <v>166.3</v>
      </c>
      <c r="AY185">
        <v>229.2</v>
      </c>
    </row>
    <row r="186" spans="1:51" x14ac:dyDescent="0.35">
      <c r="A186" t="s">
        <v>186</v>
      </c>
      <c r="B186">
        <f t="shared" si="5"/>
        <v>4</v>
      </c>
      <c r="C186" t="s">
        <v>140</v>
      </c>
      <c r="D186" t="s">
        <v>83</v>
      </c>
      <c r="E186" t="s">
        <v>27</v>
      </c>
      <c r="F186">
        <v>28</v>
      </c>
      <c r="G186">
        <v>85.8</v>
      </c>
      <c r="H186">
        <v>93.6</v>
      </c>
      <c r="I186">
        <v>87.5</v>
      </c>
      <c r="J186">
        <v>84.3</v>
      </c>
      <c r="K186">
        <v>86.8</v>
      </c>
      <c r="L186">
        <v>90.9</v>
      </c>
      <c r="M186">
        <v>90.3</v>
      </c>
      <c r="N186">
        <v>83.3</v>
      </c>
      <c r="O186">
        <v>83.5</v>
      </c>
      <c r="P186">
        <v>74.3</v>
      </c>
      <c r="Q186">
        <v>71</v>
      </c>
      <c r="R186">
        <v>70.599999999999994</v>
      </c>
      <c r="S186">
        <v>71.5</v>
      </c>
      <c r="T186">
        <v>73.400000000000006</v>
      </c>
      <c r="U186">
        <v>71.599999999999994</v>
      </c>
      <c r="V186">
        <v>68.099999999999994</v>
      </c>
      <c r="W186">
        <v>81.900000000000006</v>
      </c>
      <c r="X186">
        <v>73.900000000000006</v>
      </c>
      <c r="Y186">
        <v>72.900000000000006</v>
      </c>
      <c r="Z186">
        <v>77.7</v>
      </c>
      <c r="AA186">
        <v>78.400000000000006</v>
      </c>
      <c r="AB186">
        <v>79.5</v>
      </c>
      <c r="AC186">
        <v>72.900000000000006</v>
      </c>
      <c r="AD186">
        <v>78.099999999999994</v>
      </c>
      <c r="AE186">
        <v>81.599999999999994</v>
      </c>
      <c r="AF186">
        <v>82.9</v>
      </c>
      <c r="AG186">
        <v>86.9</v>
      </c>
      <c r="AH186">
        <v>86.5</v>
      </c>
      <c r="AI186">
        <v>93.7</v>
      </c>
      <c r="AJ186">
        <v>87.6</v>
      </c>
      <c r="AK186">
        <v>93.6</v>
      </c>
      <c r="AL186">
        <v>92.1</v>
      </c>
      <c r="AM186">
        <v>97.4</v>
      </c>
      <c r="AN186">
        <v>99.3</v>
      </c>
      <c r="AO186">
        <v>100</v>
      </c>
      <c r="AP186">
        <v>104.8</v>
      </c>
      <c r="AQ186">
        <v>118.3</v>
      </c>
      <c r="AR186">
        <v>147.80000000000001</v>
      </c>
      <c r="AS186">
        <v>210.7</v>
      </c>
      <c r="AT186">
        <v>216.1</v>
      </c>
      <c r="AU186">
        <v>260.7</v>
      </c>
      <c r="AV186">
        <v>287.8</v>
      </c>
      <c r="AW186">
        <v>146.30000000000001</v>
      </c>
      <c r="AX186">
        <v>128.30000000000001</v>
      </c>
      <c r="AY186">
        <v>131.1</v>
      </c>
    </row>
    <row r="187" spans="1:51" x14ac:dyDescent="0.35">
      <c r="A187" t="s">
        <v>186</v>
      </c>
      <c r="B187">
        <f t="shared" si="5"/>
        <v>4</v>
      </c>
      <c r="C187" t="s">
        <v>140</v>
      </c>
      <c r="D187" t="s">
        <v>83</v>
      </c>
      <c r="E187" t="s">
        <v>24</v>
      </c>
      <c r="F187">
        <v>25</v>
      </c>
      <c r="G187">
        <v>64.599999999999994</v>
      </c>
      <c r="H187">
        <v>69.099999999999994</v>
      </c>
      <c r="I187">
        <v>72.8</v>
      </c>
      <c r="J187">
        <v>72.099999999999994</v>
      </c>
      <c r="K187">
        <v>71.8</v>
      </c>
      <c r="L187">
        <v>83.9</v>
      </c>
      <c r="M187">
        <v>79.099999999999994</v>
      </c>
      <c r="N187">
        <v>77.2</v>
      </c>
      <c r="O187">
        <v>69.2</v>
      </c>
      <c r="P187">
        <v>74.8</v>
      </c>
      <c r="Q187">
        <v>71.3</v>
      </c>
      <c r="R187">
        <v>71.3</v>
      </c>
      <c r="S187">
        <v>71.5</v>
      </c>
      <c r="T187">
        <v>73.3</v>
      </c>
      <c r="U187">
        <v>74.5</v>
      </c>
      <c r="V187">
        <v>71.900000000000006</v>
      </c>
      <c r="W187">
        <v>71.5</v>
      </c>
      <c r="X187">
        <v>68.8</v>
      </c>
      <c r="Y187">
        <v>69.400000000000006</v>
      </c>
      <c r="Z187">
        <v>76</v>
      </c>
      <c r="AA187">
        <v>73.7</v>
      </c>
      <c r="AB187">
        <v>75</v>
      </c>
      <c r="AC187">
        <v>74.3</v>
      </c>
      <c r="AD187">
        <v>81.2</v>
      </c>
      <c r="AE187">
        <v>80.2</v>
      </c>
      <c r="AF187">
        <v>76.099999999999994</v>
      </c>
      <c r="AG187">
        <v>77.8</v>
      </c>
      <c r="AH187">
        <v>82.1</v>
      </c>
      <c r="AI187">
        <v>87.5</v>
      </c>
      <c r="AJ187">
        <v>90.4</v>
      </c>
      <c r="AK187">
        <v>88.2</v>
      </c>
      <c r="AL187">
        <v>92.5</v>
      </c>
      <c r="AM187">
        <v>95.9</v>
      </c>
      <c r="AN187">
        <v>96.1</v>
      </c>
      <c r="AO187">
        <v>100</v>
      </c>
      <c r="AP187">
        <v>105.8</v>
      </c>
      <c r="AQ187">
        <v>101.6</v>
      </c>
      <c r="AR187">
        <v>109.5</v>
      </c>
      <c r="AS187">
        <v>151.19999999999999</v>
      </c>
      <c r="AT187">
        <v>253.3</v>
      </c>
      <c r="AU187">
        <v>282.60000000000002</v>
      </c>
      <c r="AV187">
        <v>437</v>
      </c>
      <c r="AW187">
        <v>331.5</v>
      </c>
      <c r="AX187">
        <v>282.7</v>
      </c>
      <c r="AY187">
        <v>267.8</v>
      </c>
    </row>
    <row r="188" spans="1:51" x14ac:dyDescent="0.35">
      <c r="A188" t="s">
        <v>186</v>
      </c>
      <c r="B188">
        <f t="shared" si="5"/>
        <v>4</v>
      </c>
      <c r="C188" t="s">
        <v>140</v>
      </c>
      <c r="D188" t="s">
        <v>83</v>
      </c>
      <c r="E188" t="s">
        <v>14</v>
      </c>
      <c r="F188">
        <v>15</v>
      </c>
      <c r="G188">
        <v>87.1</v>
      </c>
      <c r="H188">
        <v>94.5</v>
      </c>
      <c r="I188">
        <v>96.4</v>
      </c>
      <c r="J188">
        <v>101</v>
      </c>
      <c r="K188">
        <v>89.8</v>
      </c>
      <c r="L188">
        <v>92.7</v>
      </c>
      <c r="M188">
        <v>85.1</v>
      </c>
      <c r="N188">
        <v>77.7</v>
      </c>
      <c r="O188">
        <v>80.599999999999994</v>
      </c>
      <c r="P188">
        <v>81.599999999999994</v>
      </c>
      <c r="Q188">
        <v>81</v>
      </c>
      <c r="R188">
        <v>77.8</v>
      </c>
      <c r="S188">
        <v>78.599999999999994</v>
      </c>
      <c r="T188">
        <v>77.3</v>
      </c>
      <c r="U188">
        <v>86.4</v>
      </c>
      <c r="V188">
        <v>75.8</v>
      </c>
      <c r="W188">
        <v>63.8</v>
      </c>
      <c r="X188">
        <v>60.5</v>
      </c>
      <c r="Y188">
        <v>58.4</v>
      </c>
      <c r="Z188">
        <v>58.1</v>
      </c>
      <c r="AA188">
        <v>60.1</v>
      </c>
      <c r="AB188">
        <v>72.5</v>
      </c>
      <c r="AC188">
        <v>75.2</v>
      </c>
      <c r="AD188">
        <v>83.3</v>
      </c>
      <c r="AE188">
        <v>79.7</v>
      </c>
      <c r="AF188">
        <v>74.3</v>
      </c>
      <c r="AG188">
        <v>72.400000000000006</v>
      </c>
      <c r="AH188">
        <v>81.400000000000006</v>
      </c>
      <c r="AI188">
        <v>88</v>
      </c>
      <c r="AJ188">
        <v>86.7</v>
      </c>
      <c r="AK188">
        <v>90.6</v>
      </c>
      <c r="AL188">
        <v>103.7</v>
      </c>
      <c r="AM188">
        <v>98.8</v>
      </c>
      <c r="AN188">
        <v>98.2</v>
      </c>
      <c r="AO188">
        <v>100</v>
      </c>
      <c r="AP188">
        <v>99.8</v>
      </c>
      <c r="AQ188">
        <v>107.8</v>
      </c>
      <c r="AR188">
        <v>129.4</v>
      </c>
      <c r="AS188">
        <v>169.5</v>
      </c>
      <c r="AT188">
        <v>229</v>
      </c>
      <c r="AU188">
        <v>264.10000000000002</v>
      </c>
      <c r="AV188">
        <v>243.4</v>
      </c>
      <c r="AW188">
        <v>145.5</v>
      </c>
      <c r="AX188">
        <v>152.6</v>
      </c>
      <c r="AY188">
        <v>156.4</v>
      </c>
    </row>
    <row r="189" spans="1:51" x14ac:dyDescent="0.35">
      <c r="A189" t="s">
        <v>186</v>
      </c>
      <c r="B189">
        <f t="shared" si="5"/>
        <v>4</v>
      </c>
      <c r="C189" t="s">
        <v>140</v>
      </c>
      <c r="D189" t="s">
        <v>83</v>
      </c>
      <c r="E189" t="s">
        <v>13</v>
      </c>
      <c r="F189">
        <v>14</v>
      </c>
      <c r="G189">
        <v>115.2</v>
      </c>
      <c r="H189">
        <v>122.3</v>
      </c>
      <c r="I189">
        <v>124.4</v>
      </c>
      <c r="J189">
        <v>129</v>
      </c>
      <c r="K189">
        <v>122</v>
      </c>
      <c r="L189">
        <v>110.8</v>
      </c>
      <c r="M189">
        <v>101.2</v>
      </c>
      <c r="N189">
        <v>95.9</v>
      </c>
      <c r="O189">
        <v>96.7</v>
      </c>
      <c r="P189">
        <v>99.6</v>
      </c>
      <c r="Q189">
        <v>102</v>
      </c>
      <c r="R189">
        <v>98.8</v>
      </c>
      <c r="S189">
        <v>105.8</v>
      </c>
      <c r="T189">
        <v>100.7</v>
      </c>
      <c r="U189">
        <v>92.9</v>
      </c>
      <c r="V189">
        <v>78.599999999999994</v>
      </c>
      <c r="W189">
        <v>74.400000000000006</v>
      </c>
      <c r="X189">
        <v>76.5</v>
      </c>
      <c r="Y189">
        <v>89.9</v>
      </c>
      <c r="Z189">
        <v>91.6</v>
      </c>
      <c r="AA189">
        <v>79.8</v>
      </c>
      <c r="AB189">
        <v>76.7</v>
      </c>
      <c r="AC189">
        <v>79.2</v>
      </c>
      <c r="AD189">
        <v>80.3</v>
      </c>
      <c r="AE189">
        <v>82.7</v>
      </c>
      <c r="AF189">
        <v>90.1</v>
      </c>
      <c r="AG189">
        <v>82.1</v>
      </c>
      <c r="AH189">
        <v>86.9</v>
      </c>
      <c r="AI189">
        <v>90.9</v>
      </c>
      <c r="AJ189">
        <v>100.9</v>
      </c>
      <c r="AK189">
        <v>109.3</v>
      </c>
      <c r="AL189">
        <v>106.5</v>
      </c>
      <c r="AM189">
        <v>92.4</v>
      </c>
      <c r="AN189">
        <v>98.3</v>
      </c>
      <c r="AO189">
        <v>100</v>
      </c>
      <c r="AP189">
        <v>107.5</v>
      </c>
      <c r="AQ189">
        <v>131.4</v>
      </c>
      <c r="AR189">
        <v>129.4</v>
      </c>
      <c r="AS189">
        <v>207.4</v>
      </c>
      <c r="AT189">
        <v>242.9</v>
      </c>
      <c r="AU189">
        <v>241.7</v>
      </c>
      <c r="AV189">
        <v>248.5</v>
      </c>
      <c r="AW189">
        <v>144.69999999999999</v>
      </c>
      <c r="AX189">
        <v>121.8</v>
      </c>
      <c r="AY189">
        <v>117.7</v>
      </c>
    </row>
    <row r="190" spans="1:51" x14ac:dyDescent="0.35">
      <c r="A190" t="s">
        <v>186</v>
      </c>
      <c r="B190">
        <f t="shared" si="5"/>
        <v>4</v>
      </c>
      <c r="C190" t="s">
        <v>140</v>
      </c>
      <c r="D190" t="s">
        <v>83</v>
      </c>
      <c r="E190" t="s">
        <v>11</v>
      </c>
      <c r="F190">
        <v>12</v>
      </c>
      <c r="G190">
        <v>54.5</v>
      </c>
      <c r="H190">
        <v>74.599999999999994</v>
      </c>
      <c r="I190">
        <v>72.099999999999994</v>
      </c>
      <c r="J190">
        <v>72.8</v>
      </c>
      <c r="K190">
        <v>69</v>
      </c>
      <c r="L190">
        <v>65.599999999999994</v>
      </c>
      <c r="M190">
        <v>55.9</v>
      </c>
      <c r="N190">
        <v>57.4</v>
      </c>
      <c r="O190">
        <v>66.599999999999994</v>
      </c>
      <c r="P190">
        <v>61.5</v>
      </c>
      <c r="Q190">
        <v>58.6</v>
      </c>
      <c r="R190">
        <v>55.3</v>
      </c>
      <c r="S190">
        <v>60.8</v>
      </c>
      <c r="T190">
        <v>63.5</v>
      </c>
      <c r="U190">
        <v>66.8</v>
      </c>
      <c r="V190">
        <v>63.9</v>
      </c>
      <c r="W190">
        <v>56.8</v>
      </c>
      <c r="X190">
        <v>55.6</v>
      </c>
      <c r="Y190">
        <v>57.2</v>
      </c>
      <c r="Z190">
        <v>57.9</v>
      </c>
      <c r="AA190">
        <v>63.2</v>
      </c>
      <c r="AB190">
        <v>66.900000000000006</v>
      </c>
      <c r="AC190">
        <v>64.7</v>
      </c>
      <c r="AD190">
        <v>71.400000000000006</v>
      </c>
      <c r="AE190">
        <v>69.900000000000006</v>
      </c>
      <c r="AF190">
        <v>62.3</v>
      </c>
      <c r="AG190">
        <v>70.5</v>
      </c>
      <c r="AH190">
        <v>73.3</v>
      </c>
      <c r="AI190">
        <v>81.900000000000006</v>
      </c>
      <c r="AJ190">
        <v>81.099999999999994</v>
      </c>
      <c r="AK190">
        <v>91.3</v>
      </c>
      <c r="AL190">
        <v>95</v>
      </c>
      <c r="AM190">
        <v>83.2</v>
      </c>
      <c r="AN190">
        <v>99.1</v>
      </c>
      <c r="AO190">
        <v>100</v>
      </c>
      <c r="AP190">
        <v>98.4</v>
      </c>
      <c r="AQ190">
        <v>92.4</v>
      </c>
      <c r="AR190">
        <v>101.9</v>
      </c>
      <c r="AS190">
        <v>143.5</v>
      </c>
      <c r="AT190">
        <v>155.9</v>
      </c>
      <c r="AU190">
        <v>175.4</v>
      </c>
      <c r="AV190">
        <v>190.5</v>
      </c>
      <c r="AW190">
        <v>163.4</v>
      </c>
      <c r="AX190">
        <v>135.5</v>
      </c>
      <c r="AY190">
        <v>156</v>
      </c>
    </row>
    <row r="191" spans="1:51" x14ac:dyDescent="0.35">
      <c r="A191" t="s">
        <v>186</v>
      </c>
      <c r="B191">
        <f t="shared" si="5"/>
        <v>4</v>
      </c>
      <c r="C191" t="s">
        <v>140</v>
      </c>
      <c r="D191" t="s">
        <v>83</v>
      </c>
      <c r="E191" t="s">
        <v>10</v>
      </c>
      <c r="F191">
        <v>11</v>
      </c>
      <c r="G191">
        <v>65.3</v>
      </c>
      <c r="H191">
        <v>77.8</v>
      </c>
      <c r="I191">
        <v>100.9</v>
      </c>
      <c r="J191">
        <v>110.2</v>
      </c>
      <c r="K191">
        <v>94.8</v>
      </c>
      <c r="L191">
        <v>82.8</v>
      </c>
      <c r="M191">
        <v>71.400000000000006</v>
      </c>
      <c r="N191">
        <v>64.400000000000006</v>
      </c>
      <c r="O191">
        <v>68.7</v>
      </c>
      <c r="P191">
        <v>80.3</v>
      </c>
      <c r="Q191">
        <v>70.7</v>
      </c>
      <c r="R191">
        <v>65.7</v>
      </c>
      <c r="S191">
        <v>67.400000000000006</v>
      </c>
      <c r="T191">
        <v>71.900000000000006</v>
      </c>
      <c r="U191">
        <v>90.9</v>
      </c>
      <c r="V191">
        <v>75.099999999999994</v>
      </c>
      <c r="W191">
        <v>66.2</v>
      </c>
      <c r="X191">
        <v>52.2</v>
      </c>
      <c r="Y191">
        <v>47.7</v>
      </c>
      <c r="Z191">
        <v>52.9</v>
      </c>
      <c r="AA191">
        <v>55.2</v>
      </c>
      <c r="AB191">
        <v>62.1</v>
      </c>
      <c r="AC191">
        <v>74.2</v>
      </c>
      <c r="AD191">
        <v>88.5</v>
      </c>
      <c r="AE191">
        <v>81.599999999999994</v>
      </c>
      <c r="AF191">
        <v>69.5</v>
      </c>
      <c r="AG191">
        <v>69.400000000000006</v>
      </c>
      <c r="AH191">
        <v>75.400000000000006</v>
      </c>
      <c r="AI191">
        <v>83.1</v>
      </c>
      <c r="AJ191">
        <v>83.2</v>
      </c>
      <c r="AK191">
        <v>94.4</v>
      </c>
      <c r="AL191">
        <v>108.3</v>
      </c>
      <c r="AM191">
        <v>87.8</v>
      </c>
      <c r="AN191">
        <v>95.1</v>
      </c>
      <c r="AO191">
        <v>100</v>
      </c>
      <c r="AP191">
        <v>97.4</v>
      </c>
      <c r="AQ191">
        <v>96.3</v>
      </c>
      <c r="AR191">
        <v>117.5</v>
      </c>
      <c r="AS191">
        <v>179.1</v>
      </c>
      <c r="AT191">
        <v>231.6</v>
      </c>
      <c r="AU191">
        <v>273.3</v>
      </c>
      <c r="AV191">
        <v>209</v>
      </c>
      <c r="AW191">
        <v>114.7</v>
      </c>
      <c r="AX191">
        <v>105.8</v>
      </c>
      <c r="AY191">
        <v>112.6</v>
      </c>
    </row>
    <row r="192" spans="1:51" x14ac:dyDescent="0.35">
      <c r="A192" t="s">
        <v>186</v>
      </c>
      <c r="B192">
        <f t="shared" si="5"/>
        <v>4</v>
      </c>
      <c r="C192" t="s">
        <v>140</v>
      </c>
      <c r="D192" t="s">
        <v>83</v>
      </c>
      <c r="E192" t="s">
        <v>8</v>
      </c>
      <c r="F192">
        <v>9</v>
      </c>
      <c r="G192">
        <v>52.1</v>
      </c>
      <c r="H192">
        <v>60.1</v>
      </c>
      <c r="I192">
        <v>73.099999999999994</v>
      </c>
      <c r="J192">
        <v>87.9</v>
      </c>
      <c r="K192">
        <v>83.1</v>
      </c>
      <c r="L192">
        <v>79.900000000000006</v>
      </c>
      <c r="M192">
        <v>64.5</v>
      </c>
      <c r="N192">
        <v>59.5</v>
      </c>
      <c r="O192">
        <v>66.099999999999994</v>
      </c>
      <c r="P192">
        <v>71.400000000000006</v>
      </c>
      <c r="Q192">
        <v>63.9</v>
      </c>
      <c r="R192">
        <v>59.9</v>
      </c>
      <c r="S192">
        <v>61</v>
      </c>
      <c r="T192">
        <v>64.900000000000006</v>
      </c>
      <c r="U192">
        <v>82.7</v>
      </c>
      <c r="V192">
        <v>69.400000000000006</v>
      </c>
      <c r="W192">
        <v>65.2</v>
      </c>
      <c r="X192">
        <v>57.8</v>
      </c>
      <c r="Y192">
        <v>56.9</v>
      </c>
      <c r="Z192">
        <v>59.2</v>
      </c>
      <c r="AA192">
        <v>59.9</v>
      </c>
      <c r="AB192">
        <v>65.2</v>
      </c>
      <c r="AC192">
        <v>70.7</v>
      </c>
      <c r="AD192">
        <v>79.599999999999994</v>
      </c>
      <c r="AE192">
        <v>81.5</v>
      </c>
      <c r="AF192">
        <v>75.5</v>
      </c>
      <c r="AG192">
        <v>72.599999999999994</v>
      </c>
      <c r="AH192">
        <v>77.5</v>
      </c>
      <c r="AI192">
        <v>82.7</v>
      </c>
      <c r="AJ192">
        <v>79.099999999999994</v>
      </c>
      <c r="AK192">
        <v>82.1</v>
      </c>
      <c r="AL192">
        <v>101.5</v>
      </c>
      <c r="AM192">
        <v>89.8</v>
      </c>
      <c r="AN192">
        <v>91.4</v>
      </c>
      <c r="AO192">
        <v>100</v>
      </c>
      <c r="AP192">
        <v>105</v>
      </c>
      <c r="AQ192">
        <v>100.9</v>
      </c>
      <c r="AR192">
        <v>112.5</v>
      </c>
      <c r="AS192">
        <v>162.4</v>
      </c>
      <c r="AT192">
        <v>210.5</v>
      </c>
      <c r="AU192">
        <v>237.2</v>
      </c>
      <c r="AV192">
        <v>193.3</v>
      </c>
      <c r="AW192">
        <v>135.4</v>
      </c>
      <c r="AX192">
        <v>128.1</v>
      </c>
      <c r="AY192">
        <v>108.3</v>
      </c>
    </row>
    <row r="193" spans="1:51" x14ac:dyDescent="0.35">
      <c r="A193" t="s">
        <v>186</v>
      </c>
      <c r="B193">
        <f t="shared" si="5"/>
        <v>4</v>
      </c>
      <c r="C193" t="s">
        <v>140</v>
      </c>
      <c r="D193" t="s">
        <v>83</v>
      </c>
      <c r="E193" t="s">
        <v>7</v>
      </c>
      <c r="F193">
        <v>8</v>
      </c>
      <c r="G193">
        <v>70.099999999999994</v>
      </c>
      <c r="H193">
        <v>69.099999999999994</v>
      </c>
      <c r="I193">
        <v>76.400000000000006</v>
      </c>
      <c r="J193">
        <v>83.4</v>
      </c>
      <c r="K193">
        <v>80.2</v>
      </c>
      <c r="L193">
        <v>79</v>
      </c>
      <c r="M193">
        <v>72.8</v>
      </c>
      <c r="N193">
        <v>68.400000000000006</v>
      </c>
      <c r="O193">
        <v>62.3</v>
      </c>
      <c r="P193">
        <v>65.599999999999994</v>
      </c>
      <c r="Q193">
        <v>58.9</v>
      </c>
      <c r="R193">
        <v>58.9</v>
      </c>
      <c r="S193">
        <v>63.1</v>
      </c>
      <c r="T193">
        <v>63.1</v>
      </c>
      <c r="U193">
        <v>67.599999999999994</v>
      </c>
      <c r="V193">
        <v>64.7</v>
      </c>
      <c r="W193">
        <v>67.3</v>
      </c>
      <c r="X193">
        <v>61.2</v>
      </c>
      <c r="Y193">
        <v>60.7</v>
      </c>
      <c r="Z193">
        <v>64.5</v>
      </c>
      <c r="AA193">
        <v>66.2</v>
      </c>
      <c r="AB193">
        <v>68.7</v>
      </c>
      <c r="AC193">
        <v>69.7</v>
      </c>
      <c r="AD193">
        <v>79.400000000000006</v>
      </c>
      <c r="AE193">
        <v>71.900000000000006</v>
      </c>
      <c r="AF193">
        <v>68.3</v>
      </c>
      <c r="AG193">
        <v>69</v>
      </c>
      <c r="AH193">
        <v>69.3</v>
      </c>
      <c r="AI193">
        <v>74.5</v>
      </c>
      <c r="AJ193">
        <v>81.2</v>
      </c>
      <c r="AK193">
        <v>81.099999999999994</v>
      </c>
      <c r="AL193">
        <v>88.3</v>
      </c>
      <c r="AM193">
        <v>80.3</v>
      </c>
      <c r="AN193">
        <v>89.7</v>
      </c>
      <c r="AO193">
        <v>100</v>
      </c>
      <c r="AP193">
        <v>94.7</v>
      </c>
      <c r="AQ193">
        <v>101.2</v>
      </c>
      <c r="AR193">
        <v>106</v>
      </c>
      <c r="AS193">
        <v>126</v>
      </c>
      <c r="AT193">
        <v>177.9</v>
      </c>
      <c r="AU193">
        <v>197.7</v>
      </c>
      <c r="AV193">
        <v>146.4</v>
      </c>
      <c r="AW193">
        <v>117.9</v>
      </c>
      <c r="AX193">
        <v>109.2</v>
      </c>
      <c r="AY193">
        <v>118.6</v>
      </c>
    </row>
    <row r="194" spans="1:51" x14ac:dyDescent="0.35">
      <c r="A194" t="s">
        <v>186</v>
      </c>
      <c r="B194">
        <f t="shared" si="5"/>
        <v>4</v>
      </c>
      <c r="C194" t="s">
        <v>140</v>
      </c>
      <c r="D194" t="s">
        <v>83</v>
      </c>
      <c r="E194" t="s">
        <v>4</v>
      </c>
      <c r="F194">
        <v>5</v>
      </c>
      <c r="G194">
        <v>105.7</v>
      </c>
      <c r="H194">
        <v>111.4</v>
      </c>
      <c r="I194">
        <v>114.6</v>
      </c>
      <c r="J194">
        <v>119.9</v>
      </c>
      <c r="K194">
        <v>114</v>
      </c>
      <c r="L194">
        <v>97.7</v>
      </c>
      <c r="M194">
        <v>92.4</v>
      </c>
      <c r="N194">
        <v>86.4</v>
      </c>
      <c r="O194">
        <v>89.8</v>
      </c>
      <c r="P194">
        <v>93.7</v>
      </c>
      <c r="Q194">
        <v>83.2</v>
      </c>
      <c r="R194">
        <v>83.5</v>
      </c>
      <c r="S194">
        <v>108.4</v>
      </c>
      <c r="T194">
        <v>93.9</v>
      </c>
      <c r="U194">
        <v>80.2</v>
      </c>
      <c r="V194">
        <v>69.7</v>
      </c>
      <c r="W194">
        <v>70.599999999999994</v>
      </c>
      <c r="X194">
        <v>65.900000000000006</v>
      </c>
      <c r="Y194">
        <v>73.5</v>
      </c>
      <c r="Z194">
        <v>79</v>
      </c>
      <c r="AA194">
        <v>74.900000000000006</v>
      </c>
      <c r="AB194">
        <v>75.400000000000006</v>
      </c>
      <c r="AC194">
        <v>77.900000000000006</v>
      </c>
      <c r="AD194">
        <v>83.2</v>
      </c>
      <c r="AE194">
        <v>87.4</v>
      </c>
      <c r="AF194">
        <v>89.9</v>
      </c>
      <c r="AG194">
        <v>88.6</v>
      </c>
      <c r="AH194">
        <v>84.4</v>
      </c>
      <c r="AI194">
        <v>98.9</v>
      </c>
      <c r="AJ194">
        <v>107.2</v>
      </c>
      <c r="AK194">
        <v>112.5</v>
      </c>
      <c r="AL194">
        <v>104.4</v>
      </c>
      <c r="AM194">
        <v>99.4</v>
      </c>
      <c r="AN194">
        <v>106.1</v>
      </c>
      <c r="AO194">
        <v>100</v>
      </c>
      <c r="AP194">
        <v>119.3</v>
      </c>
      <c r="AQ194">
        <v>144.1</v>
      </c>
      <c r="AR194">
        <v>153.19999999999999</v>
      </c>
      <c r="AS194">
        <v>237.6</v>
      </c>
      <c r="AT194">
        <v>254.2</v>
      </c>
      <c r="AU194">
        <v>256.5</v>
      </c>
      <c r="AV194">
        <v>287.2</v>
      </c>
      <c r="AW194">
        <v>158.1</v>
      </c>
      <c r="AX194">
        <v>126</v>
      </c>
      <c r="AY194">
        <v>129.19999999999999</v>
      </c>
    </row>
    <row r="195" spans="1:51" x14ac:dyDescent="0.35">
      <c r="A195" t="s">
        <v>186</v>
      </c>
      <c r="B195">
        <f t="shared" si="5"/>
        <v>4</v>
      </c>
      <c r="C195" t="s">
        <v>140</v>
      </c>
      <c r="D195" t="s">
        <v>83</v>
      </c>
      <c r="E195" t="s">
        <v>0</v>
      </c>
      <c r="F195">
        <v>1</v>
      </c>
      <c r="G195">
        <v>56.2</v>
      </c>
      <c r="H195">
        <v>53.8</v>
      </c>
      <c r="I195">
        <v>68.900000000000006</v>
      </c>
      <c r="J195">
        <v>79.400000000000006</v>
      </c>
      <c r="K195">
        <v>74</v>
      </c>
      <c r="L195">
        <v>75.2</v>
      </c>
      <c r="M195">
        <v>65.099999999999994</v>
      </c>
      <c r="N195">
        <v>64.5</v>
      </c>
      <c r="O195">
        <v>57.9</v>
      </c>
      <c r="P195">
        <v>64.2</v>
      </c>
      <c r="Q195">
        <v>52.2</v>
      </c>
      <c r="R195">
        <v>55.8</v>
      </c>
      <c r="S195">
        <v>68</v>
      </c>
      <c r="T195">
        <v>60.2</v>
      </c>
      <c r="U195">
        <v>64.7</v>
      </c>
      <c r="V195">
        <v>59</v>
      </c>
      <c r="W195">
        <v>64</v>
      </c>
      <c r="X195">
        <v>56.4</v>
      </c>
      <c r="Y195">
        <v>63.5</v>
      </c>
      <c r="Z195">
        <v>65</v>
      </c>
      <c r="AA195">
        <v>71.099999999999994</v>
      </c>
      <c r="AB195">
        <v>70.599999999999994</v>
      </c>
      <c r="AC195">
        <v>73.099999999999994</v>
      </c>
      <c r="AD195">
        <v>84.7</v>
      </c>
      <c r="AE195">
        <v>74.2</v>
      </c>
      <c r="AF195">
        <v>76.3</v>
      </c>
      <c r="AG195">
        <v>77.5</v>
      </c>
      <c r="AH195">
        <v>78.900000000000006</v>
      </c>
      <c r="AI195">
        <v>81.2</v>
      </c>
      <c r="AJ195">
        <v>80.900000000000006</v>
      </c>
      <c r="AK195">
        <v>89.9</v>
      </c>
      <c r="AL195">
        <v>91.7</v>
      </c>
      <c r="AM195">
        <v>84.4</v>
      </c>
      <c r="AN195">
        <v>99</v>
      </c>
      <c r="AO195">
        <v>100</v>
      </c>
      <c r="AP195">
        <v>112.4</v>
      </c>
      <c r="AQ195">
        <v>108.5</v>
      </c>
      <c r="AR195">
        <v>122.4</v>
      </c>
      <c r="AS195">
        <v>170.4</v>
      </c>
      <c r="AT195">
        <v>192.5</v>
      </c>
      <c r="AU195">
        <v>224</v>
      </c>
      <c r="AV195">
        <v>214.6</v>
      </c>
      <c r="AW195">
        <v>133.1</v>
      </c>
      <c r="AX195">
        <v>121.1</v>
      </c>
      <c r="AY195">
        <v>126</v>
      </c>
    </row>
    <row r="196" spans="1:51" x14ac:dyDescent="0.35">
      <c r="A196" t="s">
        <v>186</v>
      </c>
      <c r="B196">
        <f t="shared" si="5"/>
        <v>4</v>
      </c>
      <c r="C196" t="s">
        <v>143</v>
      </c>
      <c r="D196" t="s">
        <v>83</v>
      </c>
      <c r="E196" t="s">
        <v>134</v>
      </c>
      <c r="F196">
        <v>86</v>
      </c>
      <c r="G196">
        <v>132.30000000000001</v>
      </c>
      <c r="H196">
        <v>154.5</v>
      </c>
      <c r="I196">
        <v>138.19999999999999</v>
      </c>
      <c r="J196">
        <v>136.30000000000001</v>
      </c>
      <c r="K196">
        <v>131.6</v>
      </c>
      <c r="L196">
        <v>134.69999999999999</v>
      </c>
      <c r="M196">
        <v>119.5</v>
      </c>
      <c r="N196">
        <v>119.2</v>
      </c>
      <c r="O196">
        <v>115.6</v>
      </c>
      <c r="P196">
        <v>106.8</v>
      </c>
      <c r="Q196">
        <v>103.8</v>
      </c>
      <c r="R196">
        <v>106.7</v>
      </c>
      <c r="S196">
        <v>113.3</v>
      </c>
      <c r="T196">
        <v>114.2</v>
      </c>
      <c r="U196">
        <v>112.6</v>
      </c>
      <c r="V196">
        <v>98.4</v>
      </c>
      <c r="W196">
        <v>91.9</v>
      </c>
      <c r="X196">
        <v>98.9</v>
      </c>
      <c r="Y196">
        <v>94.7</v>
      </c>
      <c r="Z196">
        <v>83.1</v>
      </c>
      <c r="AA196">
        <v>87.5</v>
      </c>
      <c r="AB196">
        <v>93.5</v>
      </c>
      <c r="AC196">
        <v>93.9</v>
      </c>
      <c r="AD196">
        <v>91.4</v>
      </c>
      <c r="AE196">
        <v>94.8</v>
      </c>
      <c r="AF196">
        <v>95.5</v>
      </c>
      <c r="AG196">
        <v>95</v>
      </c>
      <c r="AH196">
        <v>99.6</v>
      </c>
      <c r="AI196">
        <v>104</v>
      </c>
      <c r="AJ196">
        <v>98.2</v>
      </c>
      <c r="AK196">
        <v>91.4</v>
      </c>
      <c r="AL196">
        <v>90</v>
      </c>
      <c r="AM196">
        <v>94</v>
      </c>
      <c r="AN196">
        <v>98.9</v>
      </c>
      <c r="AO196">
        <v>100</v>
      </c>
      <c r="AP196">
        <v>94.2</v>
      </c>
      <c r="AQ196">
        <v>101.3</v>
      </c>
      <c r="AR196">
        <v>149.69999999999999</v>
      </c>
      <c r="AS196">
        <v>160</v>
      </c>
      <c r="AT196">
        <v>187.8</v>
      </c>
      <c r="AU196">
        <v>163.6</v>
      </c>
      <c r="AV196">
        <v>173</v>
      </c>
      <c r="AW196">
        <v>143.4</v>
      </c>
      <c r="AX196">
        <v>128.69999999999999</v>
      </c>
      <c r="AY196">
        <v>133</v>
      </c>
    </row>
    <row r="197" spans="1:51" x14ac:dyDescent="0.35">
      <c r="A197" t="s">
        <v>186</v>
      </c>
      <c r="B197">
        <f t="shared" si="5"/>
        <v>4</v>
      </c>
      <c r="C197" t="s">
        <v>143</v>
      </c>
      <c r="D197" t="s">
        <v>83</v>
      </c>
      <c r="E197" t="s">
        <v>69</v>
      </c>
      <c r="F197">
        <v>82</v>
      </c>
      <c r="G197">
        <v>175</v>
      </c>
      <c r="H197">
        <v>189.2</v>
      </c>
      <c r="I197">
        <v>182.7</v>
      </c>
      <c r="J197">
        <v>175.3</v>
      </c>
      <c r="K197">
        <v>161.4</v>
      </c>
      <c r="L197">
        <v>159</v>
      </c>
      <c r="M197">
        <v>153.5</v>
      </c>
      <c r="N197">
        <v>143.6</v>
      </c>
      <c r="O197">
        <v>133</v>
      </c>
      <c r="P197">
        <v>135.30000000000001</v>
      </c>
      <c r="Q197">
        <v>142.5</v>
      </c>
      <c r="R197">
        <v>137.19999999999999</v>
      </c>
      <c r="S197">
        <v>122.3</v>
      </c>
      <c r="T197">
        <v>124.1</v>
      </c>
      <c r="U197">
        <v>121</v>
      </c>
      <c r="V197">
        <v>112.1</v>
      </c>
      <c r="W197">
        <v>116.6</v>
      </c>
      <c r="X197">
        <v>117.7</v>
      </c>
      <c r="Y197">
        <v>110.1</v>
      </c>
      <c r="Z197">
        <v>103.4</v>
      </c>
      <c r="AA197">
        <v>100.1</v>
      </c>
      <c r="AB197">
        <v>107.7</v>
      </c>
      <c r="AC197">
        <v>111.9</v>
      </c>
      <c r="AD197">
        <v>107.1</v>
      </c>
      <c r="AE197">
        <v>101.3</v>
      </c>
      <c r="AF197">
        <v>98.1</v>
      </c>
      <c r="AG197">
        <v>101.1</v>
      </c>
      <c r="AH197">
        <v>99.2</v>
      </c>
      <c r="AI197">
        <v>99.3</v>
      </c>
      <c r="AJ197">
        <v>102.6</v>
      </c>
      <c r="AK197">
        <v>97.9</v>
      </c>
      <c r="AL197">
        <v>94.5</v>
      </c>
      <c r="AM197">
        <v>94.5</v>
      </c>
      <c r="AN197">
        <v>99.5</v>
      </c>
      <c r="AO197">
        <v>100</v>
      </c>
      <c r="AP197">
        <v>106.8</v>
      </c>
      <c r="AQ197">
        <v>109.3</v>
      </c>
      <c r="AR197">
        <v>132.4</v>
      </c>
      <c r="AS197">
        <v>174.5</v>
      </c>
      <c r="AT197">
        <v>194.5</v>
      </c>
      <c r="AU197">
        <v>188</v>
      </c>
      <c r="AV197">
        <v>201</v>
      </c>
      <c r="AW197">
        <v>184.4</v>
      </c>
      <c r="AX197">
        <v>133.80000000000001</v>
      </c>
      <c r="AY197">
        <v>131.19999999999999</v>
      </c>
    </row>
    <row r="198" spans="1:51" x14ac:dyDescent="0.35">
      <c r="A198" t="s">
        <v>186</v>
      </c>
      <c r="B198">
        <f t="shared" si="5"/>
        <v>4</v>
      </c>
      <c r="C198" t="s">
        <v>143</v>
      </c>
      <c r="D198" t="s">
        <v>83</v>
      </c>
      <c r="E198" t="s">
        <v>68</v>
      </c>
      <c r="F198">
        <v>81</v>
      </c>
      <c r="G198">
        <v>108.2</v>
      </c>
      <c r="H198">
        <v>132.19999999999999</v>
      </c>
      <c r="I198">
        <v>106.7</v>
      </c>
      <c r="J198">
        <v>107</v>
      </c>
      <c r="K198">
        <v>106.8</v>
      </c>
      <c r="L198">
        <v>101.6</v>
      </c>
      <c r="M198">
        <v>92.7</v>
      </c>
      <c r="N198">
        <v>87.1</v>
      </c>
      <c r="O198">
        <v>85.3</v>
      </c>
      <c r="P198">
        <v>85.8</v>
      </c>
      <c r="Q198">
        <v>88.6</v>
      </c>
      <c r="R198">
        <v>102.5</v>
      </c>
      <c r="S198">
        <v>107.8</v>
      </c>
      <c r="T198">
        <v>90.8</v>
      </c>
      <c r="U198">
        <v>88</v>
      </c>
      <c r="V198">
        <v>84.3</v>
      </c>
      <c r="W198">
        <v>80.8</v>
      </c>
      <c r="X198">
        <v>79.099999999999994</v>
      </c>
      <c r="Y198">
        <v>84.4</v>
      </c>
      <c r="Z198">
        <v>84.9</v>
      </c>
      <c r="AA198">
        <v>99.6</v>
      </c>
      <c r="AB198">
        <v>117.4</v>
      </c>
      <c r="AC198">
        <v>99.4</v>
      </c>
      <c r="AD198">
        <v>88.1</v>
      </c>
      <c r="AE198">
        <v>90.1</v>
      </c>
      <c r="AF198">
        <v>86.8</v>
      </c>
      <c r="AG198">
        <v>89.5</v>
      </c>
      <c r="AH198">
        <v>111.2</v>
      </c>
      <c r="AI198">
        <v>114.3</v>
      </c>
      <c r="AJ198">
        <v>92.9</v>
      </c>
      <c r="AK198">
        <v>88.9</v>
      </c>
      <c r="AL198">
        <v>90.9</v>
      </c>
      <c r="AM198">
        <v>91.7</v>
      </c>
      <c r="AN198">
        <v>99.2</v>
      </c>
      <c r="AO198">
        <v>100</v>
      </c>
      <c r="AP198">
        <v>91.7</v>
      </c>
      <c r="AQ198">
        <v>113.7</v>
      </c>
      <c r="AR198">
        <v>160.5</v>
      </c>
      <c r="AS198">
        <v>232.8</v>
      </c>
      <c r="AT198">
        <v>275</v>
      </c>
      <c r="AU198">
        <v>204.1</v>
      </c>
      <c r="AV198">
        <v>232.4</v>
      </c>
      <c r="AW198">
        <v>166.2</v>
      </c>
      <c r="AX198">
        <v>128.5</v>
      </c>
      <c r="AY198">
        <v>141.4</v>
      </c>
    </row>
    <row r="199" spans="1:51" x14ac:dyDescent="0.35">
      <c r="A199" t="s">
        <v>186</v>
      </c>
      <c r="B199">
        <f t="shared" si="5"/>
        <v>4</v>
      </c>
      <c r="C199" t="s">
        <v>143</v>
      </c>
      <c r="D199" t="s">
        <v>83</v>
      </c>
      <c r="E199" t="s">
        <v>65</v>
      </c>
      <c r="F199">
        <v>78</v>
      </c>
      <c r="G199">
        <v>44.3</v>
      </c>
      <c r="H199">
        <v>56.8</v>
      </c>
      <c r="I199">
        <v>58.3</v>
      </c>
      <c r="J199">
        <v>64.099999999999994</v>
      </c>
      <c r="K199">
        <v>58.9</v>
      </c>
      <c r="L199">
        <v>50.9</v>
      </c>
      <c r="M199">
        <v>52.1</v>
      </c>
      <c r="N199">
        <v>60.6</v>
      </c>
      <c r="O199">
        <v>62.3</v>
      </c>
      <c r="P199">
        <v>67.5</v>
      </c>
      <c r="Q199">
        <v>54.2</v>
      </c>
      <c r="R199">
        <v>57.2</v>
      </c>
      <c r="S199">
        <v>54.5</v>
      </c>
      <c r="T199">
        <v>55</v>
      </c>
      <c r="U199">
        <v>55.1</v>
      </c>
      <c r="V199">
        <v>42.8</v>
      </c>
      <c r="W199">
        <v>39.799999999999997</v>
      </c>
      <c r="X199">
        <v>38.799999999999997</v>
      </c>
      <c r="Y199">
        <v>39.799999999999997</v>
      </c>
      <c r="Z199">
        <v>39.299999999999997</v>
      </c>
      <c r="AA199">
        <v>66.900000000000006</v>
      </c>
      <c r="AB199">
        <v>75.2</v>
      </c>
      <c r="AC199">
        <v>74.3</v>
      </c>
      <c r="AD199">
        <v>66.599999999999994</v>
      </c>
      <c r="AE199">
        <v>69.3</v>
      </c>
      <c r="AF199">
        <v>70.400000000000006</v>
      </c>
      <c r="AG199">
        <v>76.599999999999994</v>
      </c>
      <c r="AH199">
        <v>96.3</v>
      </c>
      <c r="AI199">
        <v>109</v>
      </c>
      <c r="AJ199">
        <v>77.3</v>
      </c>
      <c r="AK199">
        <v>73.400000000000006</v>
      </c>
      <c r="AL199">
        <v>76.400000000000006</v>
      </c>
      <c r="AM199">
        <v>86</v>
      </c>
      <c r="AN199">
        <v>96.8</v>
      </c>
      <c r="AO199">
        <v>100</v>
      </c>
      <c r="AP199">
        <v>86.6</v>
      </c>
      <c r="AQ199">
        <v>93.4</v>
      </c>
      <c r="AR199">
        <v>125.8</v>
      </c>
      <c r="AS199">
        <v>148.5</v>
      </c>
      <c r="AT199">
        <v>157.5</v>
      </c>
      <c r="AU199">
        <v>138.6</v>
      </c>
      <c r="AV199">
        <v>131.30000000000001</v>
      </c>
      <c r="AW199">
        <v>80.5</v>
      </c>
      <c r="AX199">
        <v>79.900000000000006</v>
      </c>
      <c r="AY199">
        <v>96.6</v>
      </c>
    </row>
    <row r="200" spans="1:51" x14ac:dyDescent="0.35">
      <c r="A200" t="s">
        <v>186</v>
      </c>
      <c r="B200">
        <f t="shared" si="5"/>
        <v>4</v>
      </c>
      <c r="C200" t="s">
        <v>143</v>
      </c>
      <c r="D200" t="s">
        <v>83</v>
      </c>
      <c r="E200" t="s">
        <v>64</v>
      </c>
      <c r="F200">
        <v>77</v>
      </c>
      <c r="G200">
        <v>73.900000000000006</v>
      </c>
      <c r="H200">
        <v>94.8</v>
      </c>
      <c r="I200">
        <v>97.2</v>
      </c>
      <c r="J200">
        <v>106.9</v>
      </c>
      <c r="K200">
        <v>98.1</v>
      </c>
      <c r="L200">
        <v>84.9</v>
      </c>
      <c r="M200">
        <v>86.8</v>
      </c>
      <c r="N200">
        <v>101.1</v>
      </c>
      <c r="O200">
        <v>103.8</v>
      </c>
      <c r="P200">
        <v>112.5</v>
      </c>
      <c r="Q200">
        <v>90.3</v>
      </c>
      <c r="R200">
        <v>92.5</v>
      </c>
      <c r="S200">
        <v>123.2</v>
      </c>
      <c r="T200">
        <v>121.7</v>
      </c>
      <c r="U200">
        <v>103.2</v>
      </c>
      <c r="V200">
        <v>81.7</v>
      </c>
      <c r="W200">
        <v>72.7</v>
      </c>
      <c r="X200">
        <v>59.6</v>
      </c>
      <c r="Y200">
        <v>67.099999999999994</v>
      </c>
      <c r="Z200">
        <v>69.3</v>
      </c>
      <c r="AA200">
        <v>84.1</v>
      </c>
      <c r="AB200">
        <v>95.5</v>
      </c>
      <c r="AC200">
        <v>105.5</v>
      </c>
      <c r="AD200">
        <v>90.7</v>
      </c>
      <c r="AE200">
        <v>84.1</v>
      </c>
      <c r="AF200">
        <v>83.5</v>
      </c>
      <c r="AG200">
        <v>90.9</v>
      </c>
      <c r="AH200">
        <v>104.4</v>
      </c>
      <c r="AI200">
        <v>113.3</v>
      </c>
      <c r="AJ200">
        <v>97.1</v>
      </c>
      <c r="AK200">
        <v>92.9</v>
      </c>
      <c r="AL200">
        <v>91.5</v>
      </c>
      <c r="AM200">
        <v>91.8</v>
      </c>
      <c r="AN200">
        <v>102.5</v>
      </c>
      <c r="AO200">
        <v>100</v>
      </c>
      <c r="AP200">
        <v>103.2</v>
      </c>
      <c r="AQ200">
        <v>114.2</v>
      </c>
      <c r="AR200">
        <v>160.30000000000001</v>
      </c>
      <c r="AS200">
        <v>168.1</v>
      </c>
      <c r="AT200">
        <v>184.2</v>
      </c>
      <c r="AU200">
        <v>164.4</v>
      </c>
      <c r="AV200">
        <v>159.30000000000001</v>
      </c>
      <c r="AW200">
        <v>102.9</v>
      </c>
      <c r="AX200">
        <v>98.1</v>
      </c>
      <c r="AY200">
        <v>133.9</v>
      </c>
    </row>
    <row r="201" spans="1:51" x14ac:dyDescent="0.35">
      <c r="A201" t="s">
        <v>186</v>
      </c>
      <c r="B201">
        <f t="shared" si="5"/>
        <v>4</v>
      </c>
      <c r="C201" t="s">
        <v>143</v>
      </c>
      <c r="D201" t="s">
        <v>83</v>
      </c>
      <c r="E201" t="s">
        <v>131</v>
      </c>
      <c r="F201">
        <v>76</v>
      </c>
      <c r="G201">
        <v>87.5</v>
      </c>
      <c r="H201">
        <v>97.1</v>
      </c>
      <c r="I201">
        <v>89.2</v>
      </c>
      <c r="J201">
        <v>92.5</v>
      </c>
      <c r="K201">
        <v>90.4</v>
      </c>
      <c r="L201">
        <v>92.3</v>
      </c>
      <c r="M201">
        <v>84.7</v>
      </c>
      <c r="N201">
        <v>79.7</v>
      </c>
      <c r="O201">
        <v>76.400000000000006</v>
      </c>
      <c r="P201">
        <v>74.900000000000006</v>
      </c>
      <c r="Q201">
        <v>79.099999999999994</v>
      </c>
      <c r="R201">
        <v>85.3</v>
      </c>
      <c r="S201">
        <v>88.9</v>
      </c>
      <c r="T201">
        <v>80.5</v>
      </c>
      <c r="U201">
        <v>74.2</v>
      </c>
      <c r="V201">
        <v>64.5</v>
      </c>
      <c r="W201">
        <v>68.599999999999994</v>
      </c>
      <c r="X201">
        <v>68.3</v>
      </c>
      <c r="Y201">
        <v>68.599999999999994</v>
      </c>
      <c r="Z201">
        <v>73.5</v>
      </c>
      <c r="AA201">
        <v>77.8</v>
      </c>
      <c r="AB201">
        <v>82.2</v>
      </c>
      <c r="AC201">
        <v>90.5</v>
      </c>
      <c r="AD201">
        <v>85.9</v>
      </c>
      <c r="AE201">
        <v>80.599999999999994</v>
      </c>
      <c r="AF201">
        <v>80.2</v>
      </c>
      <c r="AG201">
        <v>89.4</v>
      </c>
      <c r="AH201">
        <v>88.2</v>
      </c>
      <c r="AI201">
        <v>87.5</v>
      </c>
      <c r="AJ201">
        <v>87.1</v>
      </c>
      <c r="AK201">
        <v>87.2</v>
      </c>
      <c r="AL201">
        <v>85.6</v>
      </c>
      <c r="AM201">
        <v>88.5</v>
      </c>
      <c r="AN201">
        <v>92.5</v>
      </c>
      <c r="AO201">
        <v>100</v>
      </c>
      <c r="AP201">
        <v>94.2</v>
      </c>
      <c r="AQ201">
        <v>115.8</v>
      </c>
      <c r="AR201">
        <v>142.19999999999999</v>
      </c>
      <c r="AS201">
        <v>164.6</v>
      </c>
      <c r="AT201">
        <v>199.5</v>
      </c>
      <c r="AU201">
        <v>218.7</v>
      </c>
      <c r="AV201">
        <v>258.10000000000002</v>
      </c>
      <c r="AW201">
        <v>238.6</v>
      </c>
      <c r="AX201">
        <v>193.8</v>
      </c>
      <c r="AY201">
        <v>202.1</v>
      </c>
    </row>
    <row r="202" spans="1:51" x14ac:dyDescent="0.35">
      <c r="A202" t="s">
        <v>186</v>
      </c>
      <c r="B202">
        <f t="shared" si="5"/>
        <v>4</v>
      </c>
      <c r="C202" t="s">
        <v>143</v>
      </c>
      <c r="D202" t="s">
        <v>83</v>
      </c>
      <c r="E202" t="s">
        <v>130</v>
      </c>
      <c r="F202">
        <v>73</v>
      </c>
      <c r="G202">
        <v>63.6</v>
      </c>
      <c r="H202">
        <v>67.7</v>
      </c>
      <c r="I202">
        <v>81.3</v>
      </c>
      <c r="J202">
        <v>69.7</v>
      </c>
      <c r="K202">
        <v>53.3</v>
      </c>
      <c r="L202">
        <v>56.6</v>
      </c>
      <c r="M202">
        <v>46.5</v>
      </c>
      <c r="N202">
        <v>50.8</v>
      </c>
      <c r="O202">
        <v>53.8</v>
      </c>
      <c r="P202">
        <v>47.1</v>
      </c>
      <c r="Q202">
        <v>66</v>
      </c>
      <c r="R202">
        <v>74.599999999999994</v>
      </c>
      <c r="S202">
        <v>57.6</v>
      </c>
      <c r="T202">
        <v>57.8</v>
      </c>
      <c r="U202">
        <v>67.099999999999994</v>
      </c>
      <c r="V202">
        <v>54.2</v>
      </c>
      <c r="W202">
        <v>58.5</v>
      </c>
      <c r="X202">
        <v>57.9</v>
      </c>
      <c r="Y202">
        <v>56.5</v>
      </c>
      <c r="Z202">
        <v>59.2</v>
      </c>
      <c r="AA202">
        <v>68.599999999999994</v>
      </c>
      <c r="AB202">
        <v>82.4</v>
      </c>
      <c r="AC202">
        <v>88</v>
      </c>
      <c r="AD202">
        <v>89.8</v>
      </c>
      <c r="AE202">
        <v>90.7</v>
      </c>
      <c r="AF202">
        <v>95.1</v>
      </c>
      <c r="AG202">
        <v>91.9</v>
      </c>
      <c r="AH202">
        <v>106.3</v>
      </c>
      <c r="AI202">
        <v>93</v>
      </c>
      <c r="AJ202">
        <v>44.8</v>
      </c>
      <c r="AK202">
        <v>58.1</v>
      </c>
      <c r="AL202">
        <v>68.7</v>
      </c>
      <c r="AM202">
        <v>79.599999999999994</v>
      </c>
      <c r="AN202">
        <v>93.2</v>
      </c>
      <c r="AO202">
        <v>100</v>
      </c>
      <c r="AP202">
        <v>86.9</v>
      </c>
      <c r="AQ202">
        <v>121.3</v>
      </c>
      <c r="AR202">
        <v>97.3</v>
      </c>
      <c r="AS202">
        <v>109</v>
      </c>
      <c r="AT202">
        <v>117.2</v>
      </c>
      <c r="AU202">
        <v>188.8</v>
      </c>
      <c r="AV202">
        <v>231</v>
      </c>
      <c r="AW202">
        <v>159.30000000000001</v>
      </c>
      <c r="AX202">
        <v>147.19999999999999</v>
      </c>
      <c r="AY202">
        <v>148.9</v>
      </c>
    </row>
    <row r="203" spans="1:51" x14ac:dyDescent="0.35">
      <c r="A203" t="s">
        <v>186</v>
      </c>
      <c r="B203">
        <f t="shared" si="5"/>
        <v>4</v>
      </c>
      <c r="C203" t="s">
        <v>143</v>
      </c>
      <c r="D203" t="s">
        <v>83</v>
      </c>
      <c r="E203" t="s">
        <v>129</v>
      </c>
      <c r="F203">
        <v>72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>
        <v>68.599999999999994</v>
      </c>
      <c r="AB203">
        <v>82.4</v>
      </c>
      <c r="AC203">
        <v>88</v>
      </c>
      <c r="AD203">
        <v>89.8</v>
      </c>
      <c r="AE203">
        <v>90.7</v>
      </c>
      <c r="AF203">
        <v>95.1</v>
      </c>
      <c r="AG203">
        <v>91.9</v>
      </c>
      <c r="AH203">
        <v>106.3</v>
      </c>
      <c r="AI203">
        <v>93</v>
      </c>
      <c r="AJ203">
        <v>44.8</v>
      </c>
      <c r="AK203">
        <v>58.1</v>
      </c>
      <c r="AL203">
        <v>68.7</v>
      </c>
      <c r="AM203">
        <v>79.599999999999994</v>
      </c>
      <c r="AN203">
        <v>93.2</v>
      </c>
      <c r="AO203">
        <v>100</v>
      </c>
      <c r="AP203">
        <v>78.099999999999994</v>
      </c>
      <c r="AQ203">
        <v>105.6</v>
      </c>
      <c r="AR203">
        <v>82.7</v>
      </c>
      <c r="AS203">
        <v>97.2</v>
      </c>
      <c r="AT203">
        <v>108.8</v>
      </c>
      <c r="AU203">
        <v>164.7</v>
      </c>
      <c r="AV203">
        <v>205</v>
      </c>
      <c r="AW203">
        <v>147.4</v>
      </c>
      <c r="AX203">
        <v>136.1</v>
      </c>
      <c r="AY203">
        <v>87.2</v>
      </c>
    </row>
    <row r="204" spans="1:51" x14ac:dyDescent="0.35">
      <c r="A204" t="s">
        <v>186</v>
      </c>
      <c r="B204">
        <f t="shared" si="5"/>
        <v>4</v>
      </c>
      <c r="C204" t="s">
        <v>143</v>
      </c>
      <c r="D204" t="s">
        <v>83</v>
      </c>
      <c r="E204" t="s">
        <v>126</v>
      </c>
      <c r="F204">
        <v>69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>
        <v>100</v>
      </c>
      <c r="AP204">
        <v>91.9</v>
      </c>
      <c r="AQ204">
        <v>88.8</v>
      </c>
      <c r="AR204">
        <v>93.8</v>
      </c>
      <c r="AS204">
        <v>83.7</v>
      </c>
      <c r="AT204">
        <v>87.6</v>
      </c>
      <c r="AU204">
        <v>77.7</v>
      </c>
      <c r="AV204">
        <v>81.5</v>
      </c>
      <c r="AW204">
        <v>82.3</v>
      </c>
      <c r="AX204">
        <v>85.8</v>
      </c>
      <c r="AY204">
        <v>101.9</v>
      </c>
    </row>
    <row r="205" spans="1:51" x14ac:dyDescent="0.35">
      <c r="A205" t="s">
        <v>186</v>
      </c>
      <c r="B205">
        <f t="shared" si="5"/>
        <v>4</v>
      </c>
      <c r="C205" t="s">
        <v>143</v>
      </c>
      <c r="D205" t="s">
        <v>83</v>
      </c>
      <c r="E205" t="s">
        <v>123</v>
      </c>
      <c r="F205">
        <v>66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>
        <v>129.19999999999999</v>
      </c>
      <c r="AB205">
        <v>124</v>
      </c>
      <c r="AC205">
        <v>126.8</v>
      </c>
      <c r="AD205">
        <v>132.69999999999999</v>
      </c>
      <c r="AE205">
        <v>130.80000000000001</v>
      </c>
      <c r="AF205">
        <v>130</v>
      </c>
      <c r="AG205">
        <v>135.5</v>
      </c>
      <c r="AH205">
        <v>129.9</v>
      </c>
      <c r="AI205">
        <v>127.4</v>
      </c>
      <c r="AJ205">
        <v>118.4</v>
      </c>
      <c r="AK205">
        <v>102.6</v>
      </c>
      <c r="AL205">
        <v>98.2</v>
      </c>
      <c r="AM205">
        <v>101.4</v>
      </c>
      <c r="AN205">
        <v>100.8</v>
      </c>
      <c r="AO205">
        <v>100</v>
      </c>
      <c r="AP205">
        <v>98.9</v>
      </c>
      <c r="AQ205">
        <v>96.2</v>
      </c>
      <c r="AR205">
        <v>103</v>
      </c>
      <c r="AS205">
        <v>145.30000000000001</v>
      </c>
      <c r="AT205">
        <v>154</v>
      </c>
      <c r="AU205">
        <v>182.3</v>
      </c>
      <c r="AV205">
        <v>243.2</v>
      </c>
      <c r="AW205">
        <v>253.3</v>
      </c>
      <c r="AX205">
        <v>179.9</v>
      </c>
      <c r="AY205">
        <v>192.1</v>
      </c>
    </row>
    <row r="206" spans="1:51" x14ac:dyDescent="0.35">
      <c r="A206" t="s">
        <v>186</v>
      </c>
      <c r="B206">
        <f t="shared" si="5"/>
        <v>4</v>
      </c>
      <c r="C206" t="s">
        <v>143</v>
      </c>
      <c r="D206" t="s">
        <v>83</v>
      </c>
      <c r="E206" t="s">
        <v>53</v>
      </c>
      <c r="F206">
        <v>65</v>
      </c>
      <c r="G206" t="e">
        <v>#N/A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>
        <v>149.5</v>
      </c>
      <c r="R206">
        <v>165.6</v>
      </c>
      <c r="S206">
        <v>166.3</v>
      </c>
      <c r="T206">
        <v>171.3</v>
      </c>
      <c r="U206">
        <v>177.7</v>
      </c>
      <c r="V206">
        <v>161.1</v>
      </c>
      <c r="W206">
        <v>108.6</v>
      </c>
      <c r="X206">
        <v>74.3</v>
      </c>
      <c r="Y206">
        <v>77.3</v>
      </c>
      <c r="Z206">
        <v>75.599999999999994</v>
      </c>
      <c r="AA206">
        <v>92.5</v>
      </c>
      <c r="AB206">
        <v>98.1</v>
      </c>
      <c r="AC206">
        <v>96.1</v>
      </c>
      <c r="AD206">
        <v>90</v>
      </c>
      <c r="AE206">
        <v>90.2</v>
      </c>
      <c r="AF206">
        <v>96.8</v>
      </c>
      <c r="AG206">
        <v>99.2</v>
      </c>
      <c r="AH206">
        <v>100.3</v>
      </c>
      <c r="AI206">
        <v>101.7</v>
      </c>
      <c r="AJ206">
        <v>102.8</v>
      </c>
      <c r="AK206">
        <v>99.2</v>
      </c>
      <c r="AL206">
        <v>95.8</v>
      </c>
      <c r="AM206">
        <v>94.5</v>
      </c>
      <c r="AN206">
        <v>95.5</v>
      </c>
      <c r="AO206">
        <v>100</v>
      </c>
      <c r="AP206">
        <v>101.3</v>
      </c>
      <c r="AQ206">
        <v>101.7</v>
      </c>
      <c r="AR206">
        <v>143.6</v>
      </c>
      <c r="AS206">
        <v>234.7</v>
      </c>
      <c r="AT206">
        <v>196.5</v>
      </c>
      <c r="AU206">
        <v>208.4</v>
      </c>
      <c r="AV206">
        <v>324.10000000000002</v>
      </c>
      <c r="AW206">
        <v>188.3</v>
      </c>
      <c r="AX206">
        <v>155.1</v>
      </c>
      <c r="AY206">
        <v>169.6</v>
      </c>
    </row>
    <row r="207" spans="1:51" x14ac:dyDescent="0.35">
      <c r="A207" t="s">
        <v>186</v>
      </c>
      <c r="B207">
        <f t="shared" si="5"/>
        <v>4</v>
      </c>
      <c r="C207" t="s">
        <v>143</v>
      </c>
      <c r="D207" t="s">
        <v>83</v>
      </c>
      <c r="E207" t="s">
        <v>121</v>
      </c>
      <c r="F207">
        <v>63</v>
      </c>
      <c r="G207">
        <v>51.5</v>
      </c>
      <c r="H207">
        <v>58.9</v>
      </c>
      <c r="I207">
        <v>63.3</v>
      </c>
      <c r="J207">
        <v>72.8</v>
      </c>
      <c r="K207">
        <v>72</v>
      </c>
      <c r="L207">
        <v>68.599999999999994</v>
      </c>
      <c r="M207">
        <v>64.5</v>
      </c>
      <c r="N207">
        <v>66.7</v>
      </c>
      <c r="O207">
        <v>67.2</v>
      </c>
      <c r="P207">
        <v>66.3</v>
      </c>
      <c r="Q207">
        <v>66.8</v>
      </c>
      <c r="R207">
        <v>63.5</v>
      </c>
      <c r="S207">
        <v>59.9</v>
      </c>
      <c r="T207">
        <v>62.9</v>
      </c>
      <c r="U207">
        <v>62.4</v>
      </c>
      <c r="V207">
        <v>66.2</v>
      </c>
      <c r="W207">
        <v>60.4</v>
      </c>
      <c r="X207">
        <v>58.1</v>
      </c>
      <c r="Y207">
        <v>55.2</v>
      </c>
      <c r="Z207">
        <v>54.9</v>
      </c>
      <c r="AA207">
        <v>57.2</v>
      </c>
      <c r="AB207">
        <v>67.2</v>
      </c>
      <c r="AC207">
        <v>74.8</v>
      </c>
      <c r="AD207">
        <v>80.3</v>
      </c>
      <c r="AE207">
        <v>82.2</v>
      </c>
      <c r="AF207">
        <v>83.7</v>
      </c>
      <c r="AG207">
        <v>84.6</v>
      </c>
      <c r="AH207">
        <v>91.2</v>
      </c>
      <c r="AI207">
        <v>103.5</v>
      </c>
      <c r="AJ207">
        <v>104.2</v>
      </c>
      <c r="AK207">
        <v>101.5</v>
      </c>
      <c r="AL207">
        <v>102.9</v>
      </c>
      <c r="AM207">
        <v>97.6</v>
      </c>
      <c r="AN207">
        <v>95.9</v>
      </c>
      <c r="AO207">
        <v>100</v>
      </c>
      <c r="AP207">
        <v>105.5</v>
      </c>
      <c r="AQ207">
        <v>103.5</v>
      </c>
      <c r="AR207">
        <v>107.7</v>
      </c>
      <c r="AS207">
        <v>127</v>
      </c>
      <c r="AT207">
        <v>152.6</v>
      </c>
      <c r="AU207">
        <v>175.2</v>
      </c>
      <c r="AV207">
        <v>224.1</v>
      </c>
      <c r="AW207">
        <v>182.6</v>
      </c>
      <c r="AX207">
        <v>154</v>
      </c>
      <c r="AY207">
        <v>164.2</v>
      </c>
    </row>
    <row r="208" spans="1:51" x14ac:dyDescent="0.35">
      <c r="A208" t="s">
        <v>186</v>
      </c>
      <c r="B208">
        <f t="shared" si="5"/>
        <v>4</v>
      </c>
      <c r="C208" t="s">
        <v>143</v>
      </c>
      <c r="D208" t="s">
        <v>83</v>
      </c>
      <c r="E208" t="s">
        <v>120</v>
      </c>
      <c r="F208">
        <v>62</v>
      </c>
      <c r="G208">
        <v>121.8</v>
      </c>
      <c r="H208">
        <v>141.30000000000001</v>
      </c>
      <c r="I208">
        <v>126.6</v>
      </c>
      <c r="J208">
        <v>117.8</v>
      </c>
      <c r="K208">
        <v>115.8</v>
      </c>
      <c r="L208">
        <v>109</v>
      </c>
      <c r="M208">
        <v>103</v>
      </c>
      <c r="N208">
        <v>90.5</v>
      </c>
      <c r="O208">
        <v>83.7</v>
      </c>
      <c r="P208">
        <v>88.3</v>
      </c>
      <c r="Q208">
        <v>93.6</v>
      </c>
      <c r="R208">
        <v>91.4</v>
      </c>
      <c r="S208">
        <v>84.8</v>
      </c>
      <c r="T208">
        <v>84.6</v>
      </c>
      <c r="U208">
        <v>86</v>
      </c>
      <c r="V208">
        <v>90.9</v>
      </c>
      <c r="W208">
        <v>85.8</v>
      </c>
      <c r="X208">
        <v>82</v>
      </c>
      <c r="Y208">
        <v>79.7</v>
      </c>
      <c r="Z208">
        <v>80.400000000000006</v>
      </c>
      <c r="AA208">
        <v>84.5</v>
      </c>
      <c r="AB208">
        <v>88.3</v>
      </c>
      <c r="AC208">
        <v>85.4</v>
      </c>
      <c r="AD208">
        <v>87.5</v>
      </c>
      <c r="AE208">
        <v>86.2</v>
      </c>
      <c r="AF208">
        <v>84.9</v>
      </c>
      <c r="AG208">
        <v>93.9</v>
      </c>
      <c r="AH208">
        <v>94.4</v>
      </c>
      <c r="AI208">
        <v>84.3</v>
      </c>
      <c r="AJ208">
        <v>85</v>
      </c>
      <c r="AK208">
        <v>92</v>
      </c>
      <c r="AL208">
        <v>95.8</v>
      </c>
      <c r="AM208">
        <v>95.3</v>
      </c>
      <c r="AN208">
        <v>96.8</v>
      </c>
      <c r="AO208">
        <v>100</v>
      </c>
      <c r="AP208">
        <v>98.8</v>
      </c>
      <c r="AQ208">
        <v>95.4</v>
      </c>
      <c r="AR208">
        <v>105.3</v>
      </c>
      <c r="AS208">
        <v>123.4</v>
      </c>
      <c r="AT208">
        <v>155</v>
      </c>
      <c r="AU208">
        <v>162</v>
      </c>
      <c r="AV208">
        <v>215.5</v>
      </c>
      <c r="AW208">
        <v>174</v>
      </c>
      <c r="AX208">
        <v>134.9</v>
      </c>
      <c r="AY208">
        <v>138.80000000000001</v>
      </c>
    </row>
    <row r="209" spans="1:51" x14ac:dyDescent="0.35">
      <c r="A209" t="s">
        <v>186</v>
      </c>
      <c r="B209">
        <f t="shared" si="5"/>
        <v>4</v>
      </c>
      <c r="C209" t="s">
        <v>143</v>
      </c>
      <c r="D209" t="s">
        <v>83</v>
      </c>
      <c r="E209" t="s">
        <v>48</v>
      </c>
      <c r="F209">
        <v>59</v>
      </c>
      <c r="G209">
        <v>108.3</v>
      </c>
      <c r="H209">
        <v>105.9</v>
      </c>
      <c r="I209">
        <v>108.8</v>
      </c>
      <c r="J209">
        <v>107.1</v>
      </c>
      <c r="K209">
        <v>108.3</v>
      </c>
      <c r="L209">
        <v>100.3</v>
      </c>
      <c r="M209">
        <v>94.7</v>
      </c>
      <c r="N209">
        <v>94.8</v>
      </c>
      <c r="O209">
        <v>93.6</v>
      </c>
      <c r="P209">
        <v>92.6</v>
      </c>
      <c r="Q209">
        <v>97</v>
      </c>
      <c r="R209">
        <v>95.8</v>
      </c>
      <c r="S209">
        <v>91.4</v>
      </c>
      <c r="T209">
        <v>96.2</v>
      </c>
      <c r="U209">
        <v>101.9</v>
      </c>
      <c r="V209">
        <v>91.2</v>
      </c>
      <c r="W209">
        <v>93.5</v>
      </c>
      <c r="X209">
        <v>89</v>
      </c>
      <c r="Y209">
        <v>91</v>
      </c>
      <c r="Z209">
        <v>90.9</v>
      </c>
      <c r="AA209">
        <v>100.3</v>
      </c>
      <c r="AB209">
        <v>97.9</v>
      </c>
      <c r="AC209">
        <v>93.1</v>
      </c>
      <c r="AD209">
        <v>97.1</v>
      </c>
      <c r="AE209">
        <v>96.3</v>
      </c>
      <c r="AF209">
        <v>95</v>
      </c>
      <c r="AG209">
        <v>97.1</v>
      </c>
      <c r="AH209">
        <v>95.9</v>
      </c>
      <c r="AI209">
        <v>100.7</v>
      </c>
      <c r="AJ209">
        <v>97</v>
      </c>
      <c r="AK209">
        <v>96.6</v>
      </c>
      <c r="AL209">
        <v>97.3</v>
      </c>
      <c r="AM209">
        <v>97</v>
      </c>
      <c r="AN209">
        <v>97.4</v>
      </c>
      <c r="AO209">
        <v>100</v>
      </c>
      <c r="AP209">
        <v>87.6</v>
      </c>
      <c r="AQ209">
        <v>92</v>
      </c>
      <c r="AR209">
        <v>109.8</v>
      </c>
      <c r="AS209">
        <v>117.6</v>
      </c>
      <c r="AT209">
        <v>143.4</v>
      </c>
      <c r="AU209">
        <v>178.9</v>
      </c>
      <c r="AV209">
        <v>196.2</v>
      </c>
      <c r="AW209">
        <v>113.9</v>
      </c>
      <c r="AX209">
        <v>131.30000000000001</v>
      </c>
      <c r="AY209">
        <v>122.6</v>
      </c>
    </row>
    <row r="210" spans="1:51" x14ac:dyDescent="0.35">
      <c r="A210" t="s">
        <v>186</v>
      </c>
      <c r="B210">
        <f t="shared" si="5"/>
        <v>4</v>
      </c>
      <c r="C210" t="s">
        <v>143</v>
      </c>
      <c r="D210" t="s">
        <v>83</v>
      </c>
      <c r="E210" t="s">
        <v>116</v>
      </c>
      <c r="F210">
        <v>57</v>
      </c>
      <c r="G210">
        <v>144</v>
      </c>
      <c r="H210">
        <v>137.4</v>
      </c>
      <c r="I210">
        <v>133.30000000000001</v>
      </c>
      <c r="J210">
        <v>142.5</v>
      </c>
      <c r="K210">
        <v>122.8</v>
      </c>
      <c r="L210">
        <v>118.4</v>
      </c>
      <c r="M210">
        <v>111.1</v>
      </c>
      <c r="N210">
        <v>120.6</v>
      </c>
      <c r="O210">
        <v>122.7</v>
      </c>
      <c r="P210">
        <v>109.6</v>
      </c>
      <c r="Q210">
        <v>114.1</v>
      </c>
      <c r="R210">
        <v>126.3</v>
      </c>
      <c r="S210">
        <v>103</v>
      </c>
      <c r="T210">
        <v>112.3</v>
      </c>
      <c r="U210">
        <v>117.6</v>
      </c>
      <c r="V210">
        <v>88.5</v>
      </c>
      <c r="W210">
        <v>97.3</v>
      </c>
      <c r="X210">
        <v>97.2</v>
      </c>
      <c r="Y210">
        <v>89.5</v>
      </c>
      <c r="Z210">
        <v>98.2</v>
      </c>
      <c r="AA210">
        <v>112.8</v>
      </c>
      <c r="AB210">
        <v>120.7</v>
      </c>
      <c r="AC210">
        <v>100.2</v>
      </c>
      <c r="AD210">
        <v>105.8</v>
      </c>
      <c r="AE210">
        <v>115.3</v>
      </c>
      <c r="AF210">
        <v>103.2</v>
      </c>
      <c r="AG210">
        <v>110.1</v>
      </c>
      <c r="AH210">
        <v>119.8</v>
      </c>
      <c r="AI210">
        <v>142.6</v>
      </c>
      <c r="AJ210">
        <v>106.9</v>
      </c>
      <c r="AK210">
        <v>103.8</v>
      </c>
      <c r="AL210">
        <v>98.4</v>
      </c>
      <c r="AM210">
        <v>99.8</v>
      </c>
      <c r="AN210">
        <v>97.4</v>
      </c>
      <c r="AO210">
        <v>100</v>
      </c>
      <c r="AP210">
        <v>109.1</v>
      </c>
      <c r="AQ210">
        <v>92.2</v>
      </c>
      <c r="AR210">
        <v>139</v>
      </c>
      <c r="AS210">
        <v>157.30000000000001</v>
      </c>
      <c r="AT210">
        <v>170.9</v>
      </c>
      <c r="AU210">
        <v>229</v>
      </c>
      <c r="AV210">
        <v>295.39999999999998</v>
      </c>
      <c r="AW210">
        <v>178</v>
      </c>
      <c r="AX210">
        <v>224.8</v>
      </c>
      <c r="AY210">
        <v>246.9</v>
      </c>
    </row>
    <row r="211" spans="1:51" x14ac:dyDescent="0.35">
      <c r="A211" t="s">
        <v>186</v>
      </c>
      <c r="B211">
        <f t="shared" si="5"/>
        <v>4</v>
      </c>
      <c r="C211" t="s">
        <v>143</v>
      </c>
      <c r="D211" t="s">
        <v>83</v>
      </c>
      <c r="E211" t="s">
        <v>47</v>
      </c>
      <c r="F211">
        <v>56</v>
      </c>
      <c r="G211">
        <v>89.7</v>
      </c>
      <c r="H211">
        <v>90.8</v>
      </c>
      <c r="I211">
        <v>91.2</v>
      </c>
      <c r="J211">
        <v>91.6</v>
      </c>
      <c r="K211">
        <v>86.9</v>
      </c>
      <c r="L211">
        <v>86.6</v>
      </c>
      <c r="M211">
        <v>83.3</v>
      </c>
      <c r="N211">
        <v>81</v>
      </c>
      <c r="O211">
        <v>83.4</v>
      </c>
      <c r="P211">
        <v>79.900000000000006</v>
      </c>
      <c r="Q211">
        <v>78.599999999999994</v>
      </c>
      <c r="R211">
        <v>77.8</v>
      </c>
      <c r="S211">
        <v>78.599999999999994</v>
      </c>
      <c r="T211">
        <v>75.3</v>
      </c>
      <c r="U211">
        <v>74.8</v>
      </c>
      <c r="V211">
        <v>73.8</v>
      </c>
      <c r="W211">
        <v>75.3</v>
      </c>
      <c r="X211">
        <v>79.3</v>
      </c>
      <c r="Y211">
        <v>75.2</v>
      </c>
      <c r="Z211">
        <v>73.599999999999994</v>
      </c>
      <c r="AA211">
        <v>77.7</v>
      </c>
      <c r="AB211">
        <v>81.900000000000006</v>
      </c>
      <c r="AC211">
        <v>82.3</v>
      </c>
      <c r="AD211">
        <v>82.1</v>
      </c>
      <c r="AE211">
        <v>82.5</v>
      </c>
      <c r="AF211">
        <v>83.2</v>
      </c>
      <c r="AG211">
        <v>84.7</v>
      </c>
      <c r="AH211">
        <v>88.9</v>
      </c>
      <c r="AI211">
        <v>91.3</v>
      </c>
      <c r="AJ211">
        <v>89.2</v>
      </c>
      <c r="AK211">
        <v>87.3</v>
      </c>
      <c r="AL211">
        <v>86.6</v>
      </c>
      <c r="AM211">
        <v>95.3</v>
      </c>
      <c r="AN211">
        <v>99.1</v>
      </c>
      <c r="AO211">
        <v>100</v>
      </c>
      <c r="AP211">
        <v>86.2</v>
      </c>
      <c r="AQ211">
        <v>81.3</v>
      </c>
      <c r="AR211">
        <v>104.4</v>
      </c>
      <c r="AS211">
        <v>120.2</v>
      </c>
      <c r="AT211">
        <v>161.69999999999999</v>
      </c>
      <c r="AU211">
        <v>216</v>
      </c>
      <c r="AV211">
        <v>222.3</v>
      </c>
      <c r="AW211">
        <v>169.3</v>
      </c>
      <c r="AX211">
        <v>157.4</v>
      </c>
      <c r="AY211">
        <v>157.9</v>
      </c>
    </row>
    <row r="212" spans="1:51" x14ac:dyDescent="0.35">
      <c r="A212" t="s">
        <v>186</v>
      </c>
      <c r="B212">
        <f t="shared" si="5"/>
        <v>4</v>
      </c>
      <c r="C212" t="s">
        <v>143</v>
      </c>
      <c r="D212" t="s">
        <v>83</v>
      </c>
      <c r="E212" t="s">
        <v>45</v>
      </c>
      <c r="F212">
        <v>54</v>
      </c>
      <c r="G212">
        <v>86</v>
      </c>
      <c r="H212">
        <v>104.1</v>
      </c>
      <c r="I212">
        <v>94.4</v>
      </c>
      <c r="J212">
        <v>91.3</v>
      </c>
      <c r="K212">
        <v>85.7</v>
      </c>
      <c r="L212">
        <v>82.8</v>
      </c>
      <c r="M212">
        <v>75.400000000000006</v>
      </c>
      <c r="N212">
        <v>72.400000000000006</v>
      </c>
      <c r="O212">
        <v>85.5</v>
      </c>
      <c r="P212">
        <v>78.599999999999994</v>
      </c>
      <c r="Q212">
        <v>81.400000000000006</v>
      </c>
      <c r="R212">
        <v>83.3</v>
      </c>
      <c r="S212">
        <v>75.400000000000006</v>
      </c>
      <c r="T212">
        <v>69.7</v>
      </c>
      <c r="U212">
        <v>70.599999999999994</v>
      </c>
      <c r="V212">
        <v>63.4</v>
      </c>
      <c r="W212">
        <v>66.2</v>
      </c>
      <c r="X212">
        <v>71.099999999999994</v>
      </c>
      <c r="Y212">
        <v>69.599999999999994</v>
      </c>
      <c r="Z212">
        <v>67.900000000000006</v>
      </c>
      <c r="AA212">
        <v>64.2</v>
      </c>
      <c r="AB212">
        <v>75.7</v>
      </c>
      <c r="AC212">
        <v>60.7</v>
      </c>
      <c r="AD212">
        <v>59.9</v>
      </c>
      <c r="AE212">
        <v>74.3</v>
      </c>
      <c r="AF212">
        <v>82.1</v>
      </c>
      <c r="AG212">
        <v>94.7</v>
      </c>
      <c r="AH212">
        <v>101.7</v>
      </c>
      <c r="AI212">
        <v>106.6</v>
      </c>
      <c r="AJ212">
        <v>79.599999999999994</v>
      </c>
      <c r="AK212">
        <v>87.1</v>
      </c>
      <c r="AL212">
        <v>97.8</v>
      </c>
      <c r="AM212">
        <v>89.8</v>
      </c>
      <c r="AN212">
        <v>91.2</v>
      </c>
      <c r="AO212">
        <v>100</v>
      </c>
      <c r="AP212">
        <v>100.8</v>
      </c>
      <c r="AQ212">
        <v>105</v>
      </c>
      <c r="AR212">
        <v>122.6</v>
      </c>
      <c r="AS212">
        <v>184.6</v>
      </c>
      <c r="AT212">
        <v>238.9</v>
      </c>
      <c r="AU212">
        <v>219.1</v>
      </c>
      <c r="AV212">
        <v>210</v>
      </c>
      <c r="AW212">
        <v>81.7</v>
      </c>
      <c r="AX212">
        <v>109.3</v>
      </c>
      <c r="AY212">
        <v>145.30000000000001</v>
      </c>
    </row>
    <row r="213" spans="1:51" x14ac:dyDescent="0.35">
      <c r="A213" t="s">
        <v>186</v>
      </c>
      <c r="B213">
        <f t="shared" si="5"/>
        <v>4</v>
      </c>
      <c r="C213" t="s">
        <v>143</v>
      </c>
      <c r="D213" t="s">
        <v>83</v>
      </c>
      <c r="E213" t="s">
        <v>44</v>
      </c>
      <c r="F213">
        <v>53</v>
      </c>
      <c r="G213">
        <v>117.4</v>
      </c>
      <c r="H213">
        <v>120.5</v>
      </c>
      <c r="I213">
        <v>114.4</v>
      </c>
      <c r="J213">
        <v>116.1</v>
      </c>
      <c r="K213">
        <v>117.1</v>
      </c>
      <c r="L213">
        <v>104.4</v>
      </c>
      <c r="M213">
        <v>97.1</v>
      </c>
      <c r="N213">
        <v>91.9</v>
      </c>
      <c r="O213">
        <v>93.8</v>
      </c>
      <c r="P213">
        <v>89.6</v>
      </c>
      <c r="Q213">
        <v>93.8</v>
      </c>
      <c r="R213">
        <v>91.5</v>
      </c>
      <c r="S213">
        <v>91.5</v>
      </c>
      <c r="T213">
        <v>89.5</v>
      </c>
      <c r="U213">
        <v>90.2</v>
      </c>
      <c r="V213">
        <v>86.6</v>
      </c>
      <c r="W213">
        <v>78.900000000000006</v>
      </c>
      <c r="X213">
        <v>84.5</v>
      </c>
      <c r="Y213">
        <v>83</v>
      </c>
      <c r="Z213">
        <v>83.8</v>
      </c>
      <c r="AA213">
        <v>85</v>
      </c>
      <c r="AB213">
        <v>93.7</v>
      </c>
      <c r="AC213">
        <v>92.6</v>
      </c>
      <c r="AD213">
        <v>91.3</v>
      </c>
      <c r="AE213">
        <v>91.9</v>
      </c>
      <c r="AF213">
        <v>95.7</v>
      </c>
      <c r="AG213">
        <v>93.3</v>
      </c>
      <c r="AH213">
        <v>97.7</v>
      </c>
      <c r="AI213">
        <v>104.4</v>
      </c>
      <c r="AJ213">
        <v>100.9</v>
      </c>
      <c r="AK213">
        <v>91.3</v>
      </c>
      <c r="AL213">
        <v>94.7</v>
      </c>
      <c r="AM213">
        <v>97.8</v>
      </c>
      <c r="AN213">
        <v>98.1</v>
      </c>
      <c r="AO213">
        <v>100</v>
      </c>
      <c r="AP213">
        <v>93.7</v>
      </c>
      <c r="AQ213">
        <v>111.1</v>
      </c>
      <c r="AR213">
        <v>142.4</v>
      </c>
      <c r="AS213">
        <v>177.1</v>
      </c>
      <c r="AT213">
        <v>262.10000000000002</v>
      </c>
      <c r="AU213">
        <v>295.2</v>
      </c>
      <c r="AV213">
        <v>348.3</v>
      </c>
      <c r="AW213">
        <v>237.8</v>
      </c>
      <c r="AX213">
        <v>209.2</v>
      </c>
      <c r="AY213">
        <v>182.8</v>
      </c>
    </row>
    <row r="214" spans="1:51" x14ac:dyDescent="0.35">
      <c r="A214" t="s">
        <v>186</v>
      </c>
      <c r="B214">
        <f t="shared" si="5"/>
        <v>4</v>
      </c>
      <c r="C214" t="s">
        <v>143</v>
      </c>
      <c r="D214" t="s">
        <v>83</v>
      </c>
      <c r="E214" t="s">
        <v>114</v>
      </c>
      <c r="F214">
        <v>51</v>
      </c>
      <c r="G214">
        <v>91.9</v>
      </c>
      <c r="H214">
        <v>99</v>
      </c>
      <c r="I214">
        <v>98.1</v>
      </c>
      <c r="J214">
        <v>105.9</v>
      </c>
      <c r="K214">
        <v>101.8</v>
      </c>
      <c r="L214">
        <v>91.1</v>
      </c>
      <c r="M214">
        <v>81.5</v>
      </c>
      <c r="N214">
        <v>78.400000000000006</v>
      </c>
      <c r="O214">
        <v>93.6</v>
      </c>
      <c r="P214">
        <v>99.9</v>
      </c>
      <c r="Q214">
        <v>112.2</v>
      </c>
      <c r="R214">
        <v>90.9</v>
      </c>
      <c r="S214">
        <v>90.3</v>
      </c>
      <c r="T214">
        <v>79.599999999999994</v>
      </c>
      <c r="U214">
        <v>79.2</v>
      </c>
      <c r="V214">
        <v>56.9</v>
      </c>
      <c r="W214">
        <v>49.7</v>
      </c>
      <c r="X214">
        <v>50.3</v>
      </c>
      <c r="Y214">
        <v>45.7</v>
      </c>
      <c r="Z214">
        <v>65.5</v>
      </c>
      <c r="AA214">
        <v>83.8</v>
      </c>
      <c r="AB214">
        <v>103.3</v>
      </c>
      <c r="AC214">
        <v>84.8</v>
      </c>
      <c r="AD214">
        <v>108.6</v>
      </c>
      <c r="AE214">
        <v>99.3</v>
      </c>
      <c r="AF214">
        <v>106.2</v>
      </c>
      <c r="AG214">
        <v>108.5</v>
      </c>
      <c r="AH214">
        <v>107.2</v>
      </c>
      <c r="AI214">
        <v>106.7</v>
      </c>
      <c r="AJ214">
        <v>83.5</v>
      </c>
      <c r="AK214">
        <v>75.3</v>
      </c>
      <c r="AL214">
        <v>76.2</v>
      </c>
      <c r="AM214">
        <v>77.2</v>
      </c>
      <c r="AN214">
        <v>82.7</v>
      </c>
      <c r="AO214">
        <v>100</v>
      </c>
      <c r="AP214">
        <v>92.2</v>
      </c>
      <c r="AQ214">
        <v>87.2</v>
      </c>
      <c r="AR214">
        <v>97.7</v>
      </c>
      <c r="AS214">
        <v>179.2</v>
      </c>
      <c r="AT214">
        <v>220.3</v>
      </c>
      <c r="AU214">
        <v>171.9</v>
      </c>
      <c r="AV214">
        <v>151.4</v>
      </c>
      <c r="AW214">
        <v>94.6</v>
      </c>
      <c r="AX214">
        <v>79.2</v>
      </c>
      <c r="AY214">
        <v>87.6</v>
      </c>
    </row>
    <row r="215" spans="1:51" x14ac:dyDescent="0.35">
      <c r="A215" t="s">
        <v>186</v>
      </c>
      <c r="B215">
        <f t="shared" si="5"/>
        <v>4</v>
      </c>
      <c r="C215" t="s">
        <v>143</v>
      </c>
      <c r="D215" t="s">
        <v>83</v>
      </c>
      <c r="E215" t="s">
        <v>112</v>
      </c>
      <c r="F215">
        <v>49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>
        <v>63.9</v>
      </c>
      <c r="R215">
        <v>59.8</v>
      </c>
      <c r="S215">
        <v>56.8</v>
      </c>
      <c r="T215">
        <v>60.5</v>
      </c>
      <c r="U215">
        <v>55.3</v>
      </c>
      <c r="V215">
        <v>54.8</v>
      </c>
      <c r="W215">
        <v>52.8</v>
      </c>
      <c r="X215">
        <v>54.1</v>
      </c>
      <c r="Y215">
        <v>53.5</v>
      </c>
      <c r="Z215">
        <v>49.5</v>
      </c>
      <c r="AA215">
        <v>56.5</v>
      </c>
      <c r="AB215">
        <v>61.5</v>
      </c>
      <c r="AC215">
        <v>64.8</v>
      </c>
      <c r="AD215">
        <v>56.4</v>
      </c>
      <c r="AE215">
        <v>57.9</v>
      </c>
      <c r="AF215">
        <v>58.3</v>
      </c>
      <c r="AG215">
        <v>64.599999999999994</v>
      </c>
      <c r="AH215">
        <v>81.5</v>
      </c>
      <c r="AI215">
        <v>92.4</v>
      </c>
      <c r="AJ215">
        <v>70.2</v>
      </c>
      <c r="AK215">
        <v>61</v>
      </c>
      <c r="AL215">
        <v>54.5</v>
      </c>
      <c r="AM215">
        <v>65.3</v>
      </c>
      <c r="AN215">
        <v>87.4</v>
      </c>
      <c r="AO215">
        <v>100</v>
      </c>
      <c r="AP215">
        <v>90.3</v>
      </c>
      <c r="AQ215">
        <v>80.7</v>
      </c>
      <c r="AR215">
        <v>112.7</v>
      </c>
      <c r="AS215">
        <v>122.4</v>
      </c>
      <c r="AT215">
        <v>204.5</v>
      </c>
      <c r="AU215">
        <v>165.2</v>
      </c>
      <c r="AV215">
        <v>173.8</v>
      </c>
      <c r="AW215">
        <v>96.9</v>
      </c>
      <c r="AX215">
        <v>105.1</v>
      </c>
      <c r="AY215">
        <v>124.4</v>
      </c>
    </row>
    <row r="216" spans="1:51" x14ac:dyDescent="0.35">
      <c r="A216" t="s">
        <v>186</v>
      </c>
      <c r="B216">
        <f t="shared" si="5"/>
        <v>4</v>
      </c>
      <c r="C216" t="s">
        <v>143</v>
      </c>
      <c r="D216" t="s">
        <v>83</v>
      </c>
      <c r="E216" t="s">
        <v>43</v>
      </c>
      <c r="F216">
        <v>47</v>
      </c>
      <c r="G216" t="e">
        <v>#N/A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>
        <v>84.6</v>
      </c>
      <c r="T216">
        <v>81.099999999999994</v>
      </c>
      <c r="U216">
        <v>80.7</v>
      </c>
      <c r="V216">
        <v>77.7</v>
      </c>
      <c r="W216">
        <v>76.900000000000006</v>
      </c>
      <c r="X216">
        <v>76.3</v>
      </c>
      <c r="Y216">
        <v>74.599999999999994</v>
      </c>
      <c r="Z216">
        <v>75.3</v>
      </c>
      <c r="AA216">
        <v>75.5</v>
      </c>
      <c r="AB216">
        <v>81.400000000000006</v>
      </c>
      <c r="AC216">
        <v>87.6</v>
      </c>
      <c r="AD216">
        <v>83.8</v>
      </c>
      <c r="AE216">
        <v>87.8</v>
      </c>
      <c r="AF216">
        <v>88</v>
      </c>
      <c r="AG216">
        <v>88.4</v>
      </c>
      <c r="AH216">
        <v>88.1</v>
      </c>
      <c r="AI216">
        <v>90.5</v>
      </c>
      <c r="AJ216">
        <v>87</v>
      </c>
      <c r="AK216">
        <v>84</v>
      </c>
      <c r="AL216">
        <v>86.8</v>
      </c>
      <c r="AM216">
        <v>90.2</v>
      </c>
      <c r="AN216">
        <v>92.1</v>
      </c>
      <c r="AO216">
        <v>100</v>
      </c>
      <c r="AP216">
        <v>91.3</v>
      </c>
      <c r="AQ216">
        <v>82.5</v>
      </c>
      <c r="AR216">
        <v>97.6</v>
      </c>
      <c r="AS216">
        <v>131.69999999999999</v>
      </c>
      <c r="AT216">
        <v>194</v>
      </c>
      <c r="AU216">
        <v>214.5</v>
      </c>
      <c r="AV216">
        <v>226.1</v>
      </c>
      <c r="AW216">
        <v>155.5</v>
      </c>
      <c r="AX216">
        <v>157.5</v>
      </c>
      <c r="AY216">
        <v>137.80000000000001</v>
      </c>
    </row>
    <row r="217" spans="1:51" x14ac:dyDescent="0.35">
      <c r="A217" t="s">
        <v>186</v>
      </c>
      <c r="B217">
        <f t="shared" si="5"/>
        <v>4</v>
      </c>
      <c r="C217" t="s">
        <v>143</v>
      </c>
      <c r="D217" t="s">
        <v>83</v>
      </c>
      <c r="E217" t="s">
        <v>107</v>
      </c>
      <c r="F217">
        <v>36</v>
      </c>
      <c r="G217">
        <v>74.599999999999994</v>
      </c>
      <c r="H217">
        <v>86</v>
      </c>
      <c r="I217">
        <v>87.1</v>
      </c>
      <c r="J217">
        <v>109.2</v>
      </c>
      <c r="K217">
        <v>99.3</v>
      </c>
      <c r="L217">
        <v>66.099999999999994</v>
      </c>
      <c r="M217">
        <v>58.6</v>
      </c>
      <c r="N217">
        <v>69.900000000000006</v>
      </c>
      <c r="O217">
        <v>71.099999999999994</v>
      </c>
      <c r="P217">
        <v>63.4</v>
      </c>
      <c r="Q217">
        <v>59.7</v>
      </c>
      <c r="R217">
        <v>74.2</v>
      </c>
      <c r="S217">
        <v>74.8</v>
      </c>
      <c r="T217">
        <v>67.3</v>
      </c>
      <c r="U217">
        <v>73.7</v>
      </c>
      <c r="V217">
        <v>69.599999999999994</v>
      </c>
      <c r="W217">
        <v>70.2</v>
      </c>
      <c r="X217">
        <v>70.400000000000006</v>
      </c>
      <c r="Y217">
        <v>78.599999999999994</v>
      </c>
      <c r="Z217">
        <v>89.7</v>
      </c>
      <c r="AA217">
        <v>96.2</v>
      </c>
      <c r="AB217">
        <v>88.6</v>
      </c>
      <c r="AC217">
        <v>78</v>
      </c>
      <c r="AD217">
        <v>75.7</v>
      </c>
      <c r="AE217">
        <v>94.1</v>
      </c>
      <c r="AF217">
        <v>105.7</v>
      </c>
      <c r="AG217">
        <v>113</v>
      </c>
      <c r="AH217">
        <v>119.3</v>
      </c>
      <c r="AI217">
        <v>113.2</v>
      </c>
      <c r="AJ217">
        <v>92.4</v>
      </c>
      <c r="AK217">
        <v>137.5</v>
      </c>
      <c r="AL217">
        <v>169.2</v>
      </c>
      <c r="AM217">
        <v>132.80000000000001</v>
      </c>
      <c r="AN217">
        <v>125.2</v>
      </c>
      <c r="AO217">
        <v>100</v>
      </c>
      <c r="AP217">
        <v>76</v>
      </c>
      <c r="AQ217">
        <v>77.5</v>
      </c>
      <c r="AR217">
        <v>91.5</v>
      </c>
      <c r="AS217">
        <v>89.2</v>
      </c>
      <c r="AT217">
        <v>70.099999999999994</v>
      </c>
      <c r="AU217">
        <v>63.1</v>
      </c>
      <c r="AV217">
        <v>67.2</v>
      </c>
      <c r="AW217">
        <v>27.9</v>
      </c>
      <c r="AX217">
        <v>23.7</v>
      </c>
      <c r="AY217">
        <v>41.9</v>
      </c>
    </row>
    <row r="218" spans="1:51" x14ac:dyDescent="0.35">
      <c r="A218" t="s">
        <v>186</v>
      </c>
      <c r="B218">
        <f t="shared" si="5"/>
        <v>4</v>
      </c>
      <c r="C218" t="s">
        <v>143</v>
      </c>
      <c r="D218" t="s">
        <v>83</v>
      </c>
      <c r="E218" t="s">
        <v>103</v>
      </c>
      <c r="F218">
        <v>26</v>
      </c>
      <c r="G218">
        <v>95.6</v>
      </c>
      <c r="H218">
        <v>107.5</v>
      </c>
      <c r="I218">
        <v>104.9</v>
      </c>
      <c r="J218">
        <v>108.2</v>
      </c>
      <c r="K218">
        <v>104.7</v>
      </c>
      <c r="L218">
        <v>106</v>
      </c>
      <c r="M218">
        <v>102.2</v>
      </c>
      <c r="N218">
        <v>94.9</v>
      </c>
      <c r="O218">
        <v>84.9</v>
      </c>
      <c r="P218">
        <v>75.400000000000006</v>
      </c>
      <c r="Q218">
        <v>71</v>
      </c>
      <c r="R218">
        <v>63.2</v>
      </c>
      <c r="S218">
        <v>59.5</v>
      </c>
      <c r="T218">
        <v>56.3</v>
      </c>
      <c r="U218">
        <v>53.5</v>
      </c>
      <c r="V218">
        <v>55</v>
      </c>
      <c r="W218">
        <v>60</v>
      </c>
      <c r="X218">
        <v>63.3</v>
      </c>
      <c r="Y218">
        <v>63.6</v>
      </c>
      <c r="Z218">
        <v>71.2</v>
      </c>
      <c r="AA218">
        <v>72.599999999999994</v>
      </c>
      <c r="AB218">
        <v>77.2</v>
      </c>
      <c r="AC218">
        <v>79.400000000000006</v>
      </c>
      <c r="AD218">
        <v>79.400000000000006</v>
      </c>
      <c r="AE218">
        <v>80.400000000000006</v>
      </c>
      <c r="AF218">
        <v>81.900000000000006</v>
      </c>
      <c r="AG218">
        <v>84.7</v>
      </c>
      <c r="AH218">
        <v>92.6</v>
      </c>
      <c r="AI218">
        <v>96.4</v>
      </c>
      <c r="AJ218">
        <v>79.400000000000006</v>
      </c>
      <c r="AK218">
        <v>83.8</v>
      </c>
      <c r="AL218">
        <v>87.2</v>
      </c>
      <c r="AM218">
        <v>85.7</v>
      </c>
      <c r="AN218">
        <v>90.7</v>
      </c>
      <c r="AO218">
        <v>100</v>
      </c>
      <c r="AP218">
        <v>102.4</v>
      </c>
      <c r="AQ218">
        <v>99.9</v>
      </c>
      <c r="AR218">
        <v>116.8</v>
      </c>
      <c r="AS218">
        <v>168.8</v>
      </c>
      <c r="AT218">
        <v>151.1</v>
      </c>
      <c r="AU218">
        <v>204.7</v>
      </c>
      <c r="AV218">
        <v>240.5</v>
      </c>
      <c r="AW218">
        <v>94.2</v>
      </c>
      <c r="AX218">
        <v>101.7</v>
      </c>
      <c r="AY218">
        <v>114.9</v>
      </c>
    </row>
    <row r="219" spans="1:51" x14ac:dyDescent="0.35">
      <c r="A219" t="s">
        <v>186</v>
      </c>
      <c r="B219">
        <f t="shared" si="5"/>
        <v>4</v>
      </c>
      <c r="C219" t="s">
        <v>143</v>
      </c>
      <c r="D219" t="s">
        <v>83</v>
      </c>
      <c r="E219" t="s">
        <v>101</v>
      </c>
      <c r="F219">
        <v>24</v>
      </c>
      <c r="G219">
        <v>87.8</v>
      </c>
      <c r="H219">
        <v>93.3</v>
      </c>
      <c r="I219">
        <v>94.3</v>
      </c>
      <c r="J219">
        <v>92.3</v>
      </c>
      <c r="K219">
        <v>88.5</v>
      </c>
      <c r="L219">
        <v>90.8</v>
      </c>
      <c r="M219">
        <v>90.5</v>
      </c>
      <c r="N219">
        <v>89.4</v>
      </c>
      <c r="O219">
        <v>93.6</v>
      </c>
      <c r="P219">
        <v>94.3</v>
      </c>
      <c r="Q219">
        <v>94.3</v>
      </c>
      <c r="R219">
        <v>96.2</v>
      </c>
      <c r="S219">
        <v>76.400000000000006</v>
      </c>
      <c r="T219">
        <v>83.2</v>
      </c>
      <c r="U219">
        <v>89.6</v>
      </c>
      <c r="V219">
        <v>93.7</v>
      </c>
      <c r="W219">
        <v>86.1</v>
      </c>
      <c r="X219">
        <v>85.4</v>
      </c>
      <c r="Y219">
        <v>102.2</v>
      </c>
      <c r="Z219">
        <v>106.1</v>
      </c>
      <c r="AA219">
        <v>108.7</v>
      </c>
      <c r="AB219">
        <v>100.3</v>
      </c>
      <c r="AC219">
        <v>93</v>
      </c>
      <c r="AD219">
        <v>85.5</v>
      </c>
      <c r="AE219">
        <v>87</v>
      </c>
      <c r="AF219">
        <v>89</v>
      </c>
      <c r="AG219">
        <v>91.6</v>
      </c>
      <c r="AH219">
        <v>107.4</v>
      </c>
      <c r="AI219">
        <v>116.2</v>
      </c>
      <c r="AJ219">
        <v>113.4</v>
      </c>
      <c r="AK219">
        <v>103.7</v>
      </c>
      <c r="AL219">
        <v>102.9</v>
      </c>
      <c r="AM219">
        <v>109.4</v>
      </c>
      <c r="AN219">
        <v>105.4</v>
      </c>
      <c r="AO219">
        <v>100</v>
      </c>
      <c r="AP219">
        <v>98.3</v>
      </c>
      <c r="AQ219">
        <v>89.2</v>
      </c>
      <c r="AR219">
        <v>102.6</v>
      </c>
      <c r="AS219">
        <v>124</v>
      </c>
      <c r="AT219">
        <v>153.30000000000001</v>
      </c>
      <c r="AU219">
        <v>177.6</v>
      </c>
      <c r="AV219">
        <v>189.1</v>
      </c>
      <c r="AW219">
        <v>182.4</v>
      </c>
      <c r="AX219">
        <v>155.5</v>
      </c>
      <c r="AY219">
        <v>171</v>
      </c>
    </row>
    <row r="220" spans="1:51" x14ac:dyDescent="0.35">
      <c r="A220" t="s">
        <v>186</v>
      </c>
      <c r="B220">
        <f t="shared" si="5"/>
        <v>4</v>
      </c>
      <c r="C220" t="s">
        <v>143</v>
      </c>
      <c r="D220" t="s">
        <v>83</v>
      </c>
      <c r="E220" t="s">
        <v>96</v>
      </c>
      <c r="F220">
        <v>19</v>
      </c>
      <c r="G220">
        <v>184.9</v>
      </c>
      <c r="H220">
        <v>226.6</v>
      </c>
      <c r="I220">
        <v>224.7</v>
      </c>
      <c r="J220">
        <v>224.8</v>
      </c>
      <c r="K220">
        <v>203.7</v>
      </c>
      <c r="L220">
        <v>153.69999999999999</v>
      </c>
      <c r="M220">
        <v>135.5</v>
      </c>
      <c r="N220">
        <v>139.5</v>
      </c>
      <c r="O220">
        <v>123.4</v>
      </c>
      <c r="P220">
        <v>142.1</v>
      </c>
      <c r="Q220">
        <v>176.9</v>
      </c>
      <c r="R220">
        <v>146</v>
      </c>
      <c r="S220">
        <v>147.9</v>
      </c>
      <c r="T220">
        <v>143.9</v>
      </c>
      <c r="U220">
        <v>159.80000000000001</v>
      </c>
      <c r="V220">
        <v>128</v>
      </c>
      <c r="W220">
        <v>94.7</v>
      </c>
      <c r="X220">
        <v>116.3</v>
      </c>
      <c r="Y220">
        <v>100.7</v>
      </c>
      <c r="Z220">
        <v>111.9</v>
      </c>
      <c r="AA220">
        <v>121.2</v>
      </c>
      <c r="AB220">
        <v>121</v>
      </c>
      <c r="AC220">
        <v>104.8</v>
      </c>
      <c r="AD220">
        <v>78.5</v>
      </c>
      <c r="AE220">
        <v>89.5</v>
      </c>
      <c r="AF220">
        <v>99.6</v>
      </c>
      <c r="AG220">
        <v>134.5</v>
      </c>
      <c r="AH220">
        <v>99.7</v>
      </c>
      <c r="AI220">
        <v>105.5</v>
      </c>
      <c r="AJ220">
        <v>116.9</v>
      </c>
      <c r="AK220">
        <v>116.1</v>
      </c>
      <c r="AL220">
        <v>113.2</v>
      </c>
      <c r="AM220">
        <v>119.2</v>
      </c>
      <c r="AN220">
        <v>134.80000000000001</v>
      </c>
      <c r="AO220">
        <v>100</v>
      </c>
      <c r="AP220">
        <v>115.2</v>
      </c>
      <c r="AQ220">
        <v>166.3</v>
      </c>
      <c r="AR220">
        <v>201.7</v>
      </c>
      <c r="AS220">
        <v>220.5</v>
      </c>
      <c r="AT220">
        <v>229.5</v>
      </c>
      <c r="AU220">
        <v>275.10000000000002</v>
      </c>
      <c r="AV220">
        <v>616</v>
      </c>
      <c r="AW220">
        <v>193.5</v>
      </c>
      <c r="AX220">
        <v>127.3</v>
      </c>
      <c r="AY220">
        <v>242.1</v>
      </c>
    </row>
    <row r="221" spans="1:51" x14ac:dyDescent="0.35">
      <c r="A221" t="s">
        <v>186</v>
      </c>
      <c r="B221">
        <f t="shared" si="5"/>
        <v>4</v>
      </c>
      <c r="C221" t="s">
        <v>143</v>
      </c>
      <c r="D221" t="s">
        <v>83</v>
      </c>
      <c r="E221" t="s">
        <v>91</v>
      </c>
      <c r="F221">
        <v>11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>
        <v>155.80000000000001</v>
      </c>
      <c r="R221">
        <v>165</v>
      </c>
      <c r="S221">
        <v>165</v>
      </c>
      <c r="T221">
        <v>137.5</v>
      </c>
      <c r="U221">
        <v>146.69999999999999</v>
      </c>
      <c r="V221">
        <v>165</v>
      </c>
      <c r="W221">
        <v>137.5</v>
      </c>
      <c r="X221">
        <v>165</v>
      </c>
      <c r="Y221">
        <v>110</v>
      </c>
      <c r="Z221">
        <v>119.2</v>
      </c>
      <c r="AA221">
        <v>119.2</v>
      </c>
      <c r="AB221">
        <v>137.5</v>
      </c>
      <c r="AC221">
        <v>126.7</v>
      </c>
      <c r="AD221">
        <v>121.9</v>
      </c>
      <c r="AE221">
        <v>125</v>
      </c>
      <c r="AF221">
        <v>114</v>
      </c>
      <c r="AG221">
        <v>99.5</v>
      </c>
      <c r="AH221">
        <v>95.5</v>
      </c>
      <c r="AI221">
        <v>91.6</v>
      </c>
      <c r="AJ221">
        <v>89.3</v>
      </c>
      <c r="AK221">
        <v>89.9</v>
      </c>
      <c r="AL221">
        <v>92.6</v>
      </c>
      <c r="AM221">
        <v>97.1</v>
      </c>
      <c r="AN221">
        <v>101.4</v>
      </c>
      <c r="AO221">
        <v>100</v>
      </c>
      <c r="AP221">
        <v>99.8</v>
      </c>
      <c r="AQ221">
        <v>97</v>
      </c>
      <c r="AR221">
        <v>99.2</v>
      </c>
      <c r="AS221">
        <v>109.9</v>
      </c>
      <c r="AT221">
        <v>121.4</v>
      </c>
      <c r="AU221">
        <v>123.4</v>
      </c>
      <c r="AV221">
        <v>140.80000000000001</v>
      </c>
      <c r="AW221">
        <v>126.3</v>
      </c>
      <c r="AX221">
        <v>123</v>
      </c>
      <c r="AY221">
        <v>132.5</v>
      </c>
    </row>
    <row r="222" spans="1:51" x14ac:dyDescent="0.35">
      <c r="A222" t="s">
        <v>186</v>
      </c>
      <c r="B222">
        <f t="shared" si="5"/>
        <v>4</v>
      </c>
      <c r="C222" t="s">
        <v>143</v>
      </c>
      <c r="D222" t="s">
        <v>83</v>
      </c>
      <c r="E222" t="s">
        <v>90</v>
      </c>
      <c r="F222">
        <v>10</v>
      </c>
      <c r="G222">
        <v>157.1</v>
      </c>
      <c r="H222">
        <v>110.8</v>
      </c>
      <c r="I222">
        <v>102.9</v>
      </c>
      <c r="J222">
        <v>104.8</v>
      </c>
      <c r="K222">
        <v>100.4</v>
      </c>
      <c r="L222">
        <v>103.8</v>
      </c>
      <c r="M222">
        <v>108.1</v>
      </c>
      <c r="N222">
        <v>106.9</v>
      </c>
      <c r="O222">
        <v>109</v>
      </c>
      <c r="P222">
        <v>106.3</v>
      </c>
      <c r="Q222">
        <v>94.9</v>
      </c>
      <c r="R222">
        <v>101.4</v>
      </c>
      <c r="S222">
        <v>116.7</v>
      </c>
      <c r="T222">
        <v>114.3</v>
      </c>
      <c r="U222">
        <v>129.19999999999999</v>
      </c>
      <c r="V222">
        <v>94</v>
      </c>
      <c r="W222">
        <v>84.5</v>
      </c>
      <c r="X222">
        <v>77.099999999999994</v>
      </c>
      <c r="Y222">
        <v>85.7</v>
      </c>
      <c r="Z222">
        <v>114</v>
      </c>
      <c r="AA222">
        <v>108.3</v>
      </c>
      <c r="AB222">
        <v>112.7</v>
      </c>
      <c r="AC222">
        <v>105.5</v>
      </c>
      <c r="AD222">
        <v>101.3</v>
      </c>
      <c r="AE222">
        <v>96.7</v>
      </c>
      <c r="AF222">
        <v>95.5</v>
      </c>
      <c r="AG222">
        <v>89</v>
      </c>
      <c r="AH222">
        <v>92.7</v>
      </c>
      <c r="AI222">
        <v>138.69999999999999</v>
      </c>
      <c r="AJ222">
        <v>105.6</v>
      </c>
      <c r="AK222">
        <v>87.1</v>
      </c>
      <c r="AL222">
        <v>82.4</v>
      </c>
      <c r="AM222">
        <v>85.9</v>
      </c>
      <c r="AN222">
        <v>87.5</v>
      </c>
      <c r="AO222">
        <v>100</v>
      </c>
      <c r="AP222">
        <v>85.3</v>
      </c>
      <c r="AQ222">
        <v>107.5</v>
      </c>
      <c r="AR222">
        <v>110.7</v>
      </c>
      <c r="AS222">
        <v>84</v>
      </c>
      <c r="AT222">
        <v>83.5</v>
      </c>
      <c r="AU222">
        <v>117.3</v>
      </c>
      <c r="AV222">
        <v>125.1</v>
      </c>
      <c r="AW222">
        <v>60</v>
      </c>
      <c r="AX222">
        <v>73.5</v>
      </c>
      <c r="AY222">
        <v>64.599999999999994</v>
      </c>
    </row>
    <row r="223" spans="1:51" x14ac:dyDescent="0.35">
      <c r="A223" t="s">
        <v>186</v>
      </c>
      <c r="B223">
        <f t="shared" ref="B223:B286" si="6">IF(A223="Minor",4,IF(A223="Intermediate",3,IF(A223="Major",2,IF(A223="Total",1,0))))</f>
        <v>4</v>
      </c>
      <c r="C223" t="s">
        <v>143</v>
      </c>
      <c r="D223" t="s">
        <v>83</v>
      </c>
      <c r="E223" t="s">
        <v>89</v>
      </c>
      <c r="F223">
        <v>9</v>
      </c>
      <c r="G223">
        <v>101.2</v>
      </c>
      <c r="H223">
        <v>114.6</v>
      </c>
      <c r="I223">
        <v>89</v>
      </c>
      <c r="J223">
        <v>73.8</v>
      </c>
      <c r="K223">
        <v>67.2</v>
      </c>
      <c r="L223">
        <v>73.3</v>
      </c>
      <c r="M223">
        <v>63.9</v>
      </c>
      <c r="N223">
        <v>65.2</v>
      </c>
      <c r="O223">
        <v>113.9</v>
      </c>
      <c r="P223">
        <v>100.3</v>
      </c>
      <c r="Q223">
        <v>115.8</v>
      </c>
      <c r="R223">
        <v>133.6</v>
      </c>
      <c r="S223">
        <v>124.2</v>
      </c>
      <c r="T223">
        <v>113.7</v>
      </c>
      <c r="U223">
        <v>132.30000000000001</v>
      </c>
      <c r="V223">
        <v>125.9</v>
      </c>
      <c r="W223">
        <v>122.4</v>
      </c>
      <c r="X223">
        <v>103.4</v>
      </c>
      <c r="Y223">
        <v>76.5</v>
      </c>
      <c r="Z223">
        <v>54.3</v>
      </c>
      <c r="AA223">
        <v>52</v>
      </c>
      <c r="AB223">
        <v>61.7</v>
      </c>
      <c r="AC223">
        <v>53.3</v>
      </c>
      <c r="AD223">
        <v>55.3</v>
      </c>
      <c r="AE223">
        <v>51.3</v>
      </c>
      <c r="AF223">
        <v>64</v>
      </c>
      <c r="AG223">
        <v>68.599999999999994</v>
      </c>
      <c r="AH223">
        <v>68.7</v>
      </c>
      <c r="AI223">
        <v>62.2</v>
      </c>
      <c r="AJ223">
        <v>62.3</v>
      </c>
      <c r="AK223">
        <v>61.8</v>
      </c>
      <c r="AL223">
        <v>74.7</v>
      </c>
      <c r="AM223">
        <v>98.9</v>
      </c>
      <c r="AN223">
        <v>112.8</v>
      </c>
      <c r="AO223">
        <v>100</v>
      </c>
      <c r="AP223">
        <v>84.4</v>
      </c>
      <c r="AQ223">
        <v>75.400000000000006</v>
      </c>
      <c r="AR223">
        <v>82.9</v>
      </c>
      <c r="AS223">
        <v>77.599999999999994</v>
      </c>
      <c r="AT223">
        <v>77</v>
      </c>
      <c r="AU223">
        <v>159.6</v>
      </c>
      <c r="AV223">
        <v>158.5</v>
      </c>
      <c r="AW223">
        <v>86.7</v>
      </c>
      <c r="AX223">
        <v>105.1</v>
      </c>
      <c r="AY223">
        <v>109.9</v>
      </c>
    </row>
    <row r="224" spans="1:51" x14ac:dyDescent="0.35">
      <c r="A224" t="s">
        <v>186</v>
      </c>
      <c r="B224">
        <f t="shared" si="6"/>
        <v>4</v>
      </c>
      <c r="C224" t="s">
        <v>143</v>
      </c>
      <c r="D224" t="s">
        <v>83</v>
      </c>
      <c r="E224" t="s">
        <v>88</v>
      </c>
      <c r="F224">
        <v>8</v>
      </c>
      <c r="G224">
        <v>144.30000000000001</v>
      </c>
      <c r="H224">
        <v>144.4</v>
      </c>
      <c r="I224">
        <v>197.7</v>
      </c>
      <c r="J224">
        <v>131.19999999999999</v>
      </c>
      <c r="K224">
        <v>111.3</v>
      </c>
      <c r="L224">
        <v>106.1</v>
      </c>
      <c r="M224">
        <v>106.9</v>
      </c>
      <c r="N224">
        <v>101.7</v>
      </c>
      <c r="O224">
        <v>94.3</v>
      </c>
      <c r="P224">
        <v>84.8</v>
      </c>
      <c r="Q224">
        <v>81.3</v>
      </c>
      <c r="R224">
        <v>85.5</v>
      </c>
      <c r="S224">
        <v>87.6</v>
      </c>
      <c r="T224">
        <v>85.2</v>
      </c>
      <c r="U224">
        <v>86.3</v>
      </c>
      <c r="V224">
        <v>74.099999999999994</v>
      </c>
      <c r="W224">
        <v>73.8</v>
      </c>
      <c r="X224">
        <v>69.5</v>
      </c>
      <c r="Y224">
        <v>73.2</v>
      </c>
      <c r="Z224">
        <v>75.3</v>
      </c>
      <c r="AA224">
        <v>67.8</v>
      </c>
      <c r="AB224">
        <v>66.3</v>
      </c>
      <c r="AC224">
        <v>69.599999999999994</v>
      </c>
      <c r="AD224">
        <v>72.7</v>
      </c>
      <c r="AE224">
        <v>99.8</v>
      </c>
      <c r="AF224">
        <v>85.8</v>
      </c>
      <c r="AG224">
        <v>84</v>
      </c>
      <c r="AH224">
        <v>85.2</v>
      </c>
      <c r="AI224">
        <v>91.2</v>
      </c>
      <c r="AJ224">
        <v>88.9</v>
      </c>
      <c r="AK224">
        <v>86</v>
      </c>
      <c r="AL224">
        <v>92</v>
      </c>
      <c r="AM224">
        <v>95.4</v>
      </c>
      <c r="AN224">
        <v>98.7</v>
      </c>
      <c r="AO224">
        <v>100</v>
      </c>
      <c r="AP224">
        <v>101.2</v>
      </c>
      <c r="AQ224">
        <v>108.9</v>
      </c>
      <c r="AR224">
        <v>108.6</v>
      </c>
      <c r="AS224">
        <v>121</v>
      </c>
      <c r="AT224">
        <v>133.80000000000001</v>
      </c>
      <c r="AU224">
        <v>149.6</v>
      </c>
      <c r="AV224">
        <v>153.4</v>
      </c>
      <c r="AW224">
        <v>109.2</v>
      </c>
      <c r="AX224">
        <v>142</v>
      </c>
      <c r="AY224">
        <v>166.5</v>
      </c>
    </row>
    <row r="225" spans="1:51" x14ac:dyDescent="0.35">
      <c r="A225" t="s">
        <v>186</v>
      </c>
      <c r="B225">
        <f t="shared" si="6"/>
        <v>4</v>
      </c>
      <c r="C225" t="s">
        <v>143</v>
      </c>
      <c r="D225" t="s">
        <v>83</v>
      </c>
      <c r="E225" t="s">
        <v>87</v>
      </c>
      <c r="F225">
        <v>7</v>
      </c>
      <c r="G225">
        <v>94</v>
      </c>
      <c r="H225">
        <v>102.1</v>
      </c>
      <c r="I225">
        <v>107.9</v>
      </c>
      <c r="J225">
        <v>114.9</v>
      </c>
      <c r="K225">
        <v>109.1</v>
      </c>
      <c r="L225">
        <v>108.4</v>
      </c>
      <c r="M225">
        <v>109.9</v>
      </c>
      <c r="N225">
        <v>99.7</v>
      </c>
      <c r="O225">
        <v>108.4</v>
      </c>
      <c r="P225">
        <v>96.2</v>
      </c>
      <c r="Q225">
        <v>86.6</v>
      </c>
      <c r="R225">
        <v>105.7</v>
      </c>
      <c r="S225">
        <v>113.1</v>
      </c>
      <c r="T225">
        <v>114.1</v>
      </c>
      <c r="U225">
        <v>101.2</v>
      </c>
      <c r="V225">
        <v>78.3</v>
      </c>
      <c r="W225">
        <v>79.599999999999994</v>
      </c>
      <c r="X225">
        <v>74.099999999999994</v>
      </c>
      <c r="Y225">
        <v>76.400000000000006</v>
      </c>
      <c r="Z225">
        <v>78.5</v>
      </c>
      <c r="AA225">
        <v>77.5</v>
      </c>
      <c r="AB225">
        <v>81.3</v>
      </c>
      <c r="AC225">
        <v>71.8</v>
      </c>
      <c r="AD225">
        <v>70.8</v>
      </c>
      <c r="AE225">
        <v>73.099999999999994</v>
      </c>
      <c r="AF225">
        <v>69</v>
      </c>
      <c r="AG225">
        <v>66</v>
      </c>
      <c r="AH225">
        <v>79.400000000000006</v>
      </c>
      <c r="AI225">
        <v>87.8</v>
      </c>
      <c r="AJ225">
        <v>74.900000000000006</v>
      </c>
      <c r="AK225">
        <v>72.2</v>
      </c>
      <c r="AL225">
        <v>84.9</v>
      </c>
      <c r="AM225">
        <v>91.6</v>
      </c>
      <c r="AN225">
        <v>91.1</v>
      </c>
      <c r="AO225">
        <v>100</v>
      </c>
      <c r="AP225">
        <v>94.3</v>
      </c>
      <c r="AQ225">
        <v>89.8</v>
      </c>
      <c r="AR225">
        <v>99.7</v>
      </c>
      <c r="AS225">
        <v>105.4</v>
      </c>
      <c r="AT225">
        <v>129.5</v>
      </c>
      <c r="AU225">
        <v>169.2</v>
      </c>
      <c r="AV225">
        <v>171.3</v>
      </c>
      <c r="AW225">
        <v>126.8</v>
      </c>
      <c r="AX225">
        <v>120.5</v>
      </c>
      <c r="AY225">
        <v>100.2</v>
      </c>
    </row>
    <row r="226" spans="1:51" x14ac:dyDescent="0.35">
      <c r="A226" t="s">
        <v>186</v>
      </c>
      <c r="B226">
        <f t="shared" si="6"/>
        <v>4</v>
      </c>
      <c r="C226" t="s">
        <v>140</v>
      </c>
      <c r="D226" t="s">
        <v>141</v>
      </c>
      <c r="E226" t="s">
        <v>74</v>
      </c>
      <c r="F226">
        <v>75</v>
      </c>
      <c r="G226">
        <v>12.4</v>
      </c>
      <c r="H226">
        <v>13</v>
      </c>
      <c r="I226">
        <v>15</v>
      </c>
      <c r="J226">
        <v>16.899999999999999</v>
      </c>
      <c r="K226">
        <v>18</v>
      </c>
      <c r="L226">
        <v>15.7</v>
      </c>
      <c r="M226">
        <v>15.4</v>
      </c>
      <c r="N226">
        <v>17.600000000000001</v>
      </c>
      <c r="O226">
        <v>18.899999999999999</v>
      </c>
      <c r="P226">
        <v>19.3</v>
      </c>
      <c r="Q226">
        <v>22.6</v>
      </c>
      <c r="R226">
        <v>24.4</v>
      </c>
      <c r="S226">
        <v>23.4</v>
      </c>
      <c r="T226">
        <v>24</v>
      </c>
      <c r="U226">
        <v>23.3</v>
      </c>
      <c r="V226">
        <v>26.9</v>
      </c>
      <c r="W226">
        <v>34.299999999999997</v>
      </c>
      <c r="X226">
        <v>33.799999999999997</v>
      </c>
      <c r="Y226">
        <v>37.1</v>
      </c>
      <c r="Z226">
        <v>38.700000000000003</v>
      </c>
      <c r="AA226">
        <v>49.6</v>
      </c>
      <c r="AB226">
        <v>48.6</v>
      </c>
      <c r="AC226">
        <v>50.2</v>
      </c>
      <c r="AD226">
        <v>51.7</v>
      </c>
      <c r="AE226">
        <v>56.8</v>
      </c>
      <c r="AF226">
        <v>60</v>
      </c>
      <c r="AG226">
        <v>68.099999999999994</v>
      </c>
      <c r="AH226">
        <v>70.400000000000006</v>
      </c>
      <c r="AI226">
        <v>78.900000000000006</v>
      </c>
      <c r="AJ226">
        <v>74.099999999999994</v>
      </c>
      <c r="AK226">
        <v>77.099999999999994</v>
      </c>
      <c r="AL226">
        <v>83.3</v>
      </c>
      <c r="AM226">
        <v>89.4</v>
      </c>
      <c r="AN226">
        <v>99.7</v>
      </c>
      <c r="AO226">
        <v>100</v>
      </c>
      <c r="AP226">
        <v>98.5</v>
      </c>
      <c r="AQ226">
        <v>539.5</v>
      </c>
      <c r="AR226">
        <v>1615.6</v>
      </c>
      <c r="AS226">
        <v>1416</v>
      </c>
      <c r="AT226">
        <v>568.70000000000005</v>
      </c>
      <c r="AU226">
        <v>211.1</v>
      </c>
      <c r="AV226">
        <v>261.3</v>
      </c>
      <c r="AW226">
        <v>111.8</v>
      </c>
      <c r="AX226">
        <v>136.9</v>
      </c>
      <c r="AY226">
        <v>156</v>
      </c>
    </row>
    <row r="227" spans="1:51" x14ac:dyDescent="0.35">
      <c r="A227" t="s">
        <v>186</v>
      </c>
      <c r="B227">
        <f t="shared" si="6"/>
        <v>4</v>
      </c>
      <c r="C227" t="s">
        <v>140</v>
      </c>
      <c r="D227" t="s">
        <v>141</v>
      </c>
      <c r="E227" t="s">
        <v>73</v>
      </c>
      <c r="F227">
        <v>74</v>
      </c>
      <c r="G227" t="e">
        <v>#N/A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>
        <v>57.2</v>
      </c>
      <c r="AB227">
        <v>58.9</v>
      </c>
      <c r="AC227">
        <v>59.6</v>
      </c>
      <c r="AD227">
        <v>59.7</v>
      </c>
      <c r="AE227">
        <v>61.6</v>
      </c>
      <c r="AF227">
        <v>63.7</v>
      </c>
      <c r="AG227">
        <v>67.400000000000006</v>
      </c>
      <c r="AH227">
        <v>75.3</v>
      </c>
      <c r="AI227">
        <v>80.099999999999994</v>
      </c>
      <c r="AJ227">
        <v>77.099999999999994</v>
      </c>
      <c r="AK227">
        <v>88.2</v>
      </c>
      <c r="AL227">
        <v>88.6</v>
      </c>
      <c r="AM227">
        <v>105.3</v>
      </c>
      <c r="AN227">
        <v>103.7</v>
      </c>
      <c r="AO227">
        <v>100</v>
      </c>
      <c r="AP227">
        <v>106.8</v>
      </c>
      <c r="AQ227">
        <v>213</v>
      </c>
      <c r="AR227">
        <v>349</v>
      </c>
      <c r="AS227">
        <v>373</v>
      </c>
      <c r="AT227">
        <v>287.3</v>
      </c>
      <c r="AU227">
        <v>293</v>
      </c>
      <c r="AV227">
        <v>347.2</v>
      </c>
      <c r="AW227">
        <v>137.30000000000001</v>
      </c>
      <c r="AX227">
        <v>150.1</v>
      </c>
      <c r="AY227">
        <v>180.3</v>
      </c>
    </row>
    <row r="228" spans="1:51" x14ac:dyDescent="0.35">
      <c r="A228" t="s">
        <v>186</v>
      </c>
      <c r="B228">
        <f t="shared" si="6"/>
        <v>4</v>
      </c>
      <c r="C228" t="s">
        <v>140</v>
      </c>
      <c r="D228" t="s">
        <v>141</v>
      </c>
      <c r="E228" t="s">
        <v>71</v>
      </c>
      <c r="F228">
        <v>72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>
        <v>0.4</v>
      </c>
      <c r="AB228">
        <v>0.8</v>
      </c>
      <c r="AC228">
        <v>1.4</v>
      </c>
      <c r="AD228">
        <v>2.1</v>
      </c>
      <c r="AE228">
        <v>3.2</v>
      </c>
      <c r="AF228">
        <v>4.0999999999999996</v>
      </c>
      <c r="AG228">
        <v>6</v>
      </c>
      <c r="AH228">
        <v>10.1</v>
      </c>
      <c r="AI228">
        <v>13.4</v>
      </c>
      <c r="AJ228">
        <v>11</v>
      </c>
      <c r="AK228">
        <v>17.899999999999999</v>
      </c>
      <c r="AL228">
        <v>27.1</v>
      </c>
      <c r="AM228">
        <v>47.8</v>
      </c>
      <c r="AN228">
        <v>80.7</v>
      </c>
      <c r="AO228">
        <v>100</v>
      </c>
      <c r="AP228">
        <v>121.3</v>
      </c>
      <c r="AQ228">
        <v>431.1</v>
      </c>
      <c r="AR228">
        <v>499.7</v>
      </c>
      <c r="AS228">
        <v>483.6</v>
      </c>
      <c r="AT228">
        <v>356.7</v>
      </c>
      <c r="AU228">
        <v>470</v>
      </c>
      <c r="AV228">
        <v>820.4</v>
      </c>
      <c r="AW228">
        <v>249.6</v>
      </c>
      <c r="AX228">
        <v>375.6</v>
      </c>
      <c r="AY228">
        <v>681.7</v>
      </c>
    </row>
    <row r="229" spans="1:51" x14ac:dyDescent="0.35">
      <c r="A229" t="s">
        <v>186</v>
      </c>
      <c r="B229">
        <f t="shared" si="6"/>
        <v>4</v>
      </c>
      <c r="C229" t="s">
        <v>140</v>
      </c>
      <c r="D229" t="s">
        <v>141</v>
      </c>
      <c r="E229" t="s">
        <v>70</v>
      </c>
      <c r="F229">
        <v>71</v>
      </c>
      <c r="G229">
        <v>4.0999999999999996</v>
      </c>
      <c r="H229">
        <v>4.0999999999999996</v>
      </c>
      <c r="I229">
        <v>5.7</v>
      </c>
      <c r="J229">
        <v>6.9</v>
      </c>
      <c r="K229">
        <v>7.8</v>
      </c>
      <c r="L229">
        <v>6.2</v>
      </c>
      <c r="M229">
        <v>5.0999999999999996</v>
      </c>
      <c r="N229">
        <v>5</v>
      </c>
      <c r="O229">
        <v>5.7</v>
      </c>
      <c r="P229">
        <v>6.6</v>
      </c>
      <c r="Q229">
        <v>9.5</v>
      </c>
      <c r="R229">
        <v>10.4</v>
      </c>
      <c r="S229">
        <v>11.5</v>
      </c>
      <c r="T229">
        <v>10.5</v>
      </c>
      <c r="U229">
        <v>12</v>
      </c>
      <c r="V229">
        <v>11.3</v>
      </c>
      <c r="W229">
        <v>12.4</v>
      </c>
      <c r="X229">
        <v>14</v>
      </c>
      <c r="Y229">
        <v>19.100000000000001</v>
      </c>
      <c r="Z229">
        <v>27.6</v>
      </c>
      <c r="AA229">
        <v>33.4</v>
      </c>
      <c r="AB229">
        <v>38.799999999999997</v>
      </c>
      <c r="AC229">
        <v>35.1</v>
      </c>
      <c r="AD229">
        <v>37</v>
      </c>
      <c r="AE229">
        <v>40.799999999999997</v>
      </c>
      <c r="AF229">
        <v>43.2</v>
      </c>
      <c r="AG229">
        <v>51.3</v>
      </c>
      <c r="AH229">
        <v>61.7</v>
      </c>
      <c r="AI229">
        <v>67.400000000000006</v>
      </c>
      <c r="AJ229">
        <v>53.6</v>
      </c>
      <c r="AK229">
        <v>51.4</v>
      </c>
      <c r="AL229">
        <v>65.2</v>
      </c>
      <c r="AM229">
        <v>79.900000000000006</v>
      </c>
      <c r="AN229">
        <v>91.5</v>
      </c>
      <c r="AO229">
        <v>100</v>
      </c>
      <c r="AP229">
        <v>67.900000000000006</v>
      </c>
      <c r="AQ229">
        <v>97.5</v>
      </c>
      <c r="AR229">
        <v>139.69999999999999</v>
      </c>
      <c r="AS229">
        <v>152.30000000000001</v>
      </c>
      <c r="AT229">
        <v>125.6</v>
      </c>
      <c r="AU229">
        <v>167.3</v>
      </c>
      <c r="AV229">
        <v>180.3</v>
      </c>
      <c r="AW229">
        <v>130.69999999999999</v>
      </c>
      <c r="AX229">
        <v>87.2</v>
      </c>
      <c r="AY229">
        <v>101.3</v>
      </c>
    </row>
    <row r="230" spans="1:51" x14ac:dyDescent="0.35">
      <c r="A230" t="s">
        <v>186</v>
      </c>
      <c r="B230">
        <f t="shared" si="6"/>
        <v>4</v>
      </c>
      <c r="C230" t="s">
        <v>140</v>
      </c>
      <c r="D230" t="s">
        <v>141</v>
      </c>
      <c r="E230" t="s">
        <v>69</v>
      </c>
      <c r="F230">
        <v>70</v>
      </c>
      <c r="G230">
        <v>3.5</v>
      </c>
      <c r="H230">
        <v>3.8</v>
      </c>
      <c r="I230">
        <v>5.0999999999999996</v>
      </c>
      <c r="J230">
        <v>5.7</v>
      </c>
      <c r="K230">
        <v>5.4</v>
      </c>
      <c r="L230">
        <v>4.7</v>
      </c>
      <c r="M230">
        <v>4.3</v>
      </c>
      <c r="N230">
        <v>4.8</v>
      </c>
      <c r="O230">
        <v>5.3</v>
      </c>
      <c r="P230">
        <v>6.5</v>
      </c>
      <c r="Q230">
        <v>7.1</v>
      </c>
      <c r="R230">
        <v>8.5</v>
      </c>
      <c r="S230">
        <v>9.1</v>
      </c>
      <c r="T230">
        <v>9.5</v>
      </c>
      <c r="U230">
        <v>10.9</v>
      </c>
      <c r="V230">
        <v>12.4</v>
      </c>
      <c r="W230">
        <v>14.4</v>
      </c>
      <c r="X230">
        <v>20.6</v>
      </c>
      <c r="Y230">
        <v>29.3</v>
      </c>
      <c r="Z230">
        <v>42.3</v>
      </c>
      <c r="AA230">
        <v>51.3</v>
      </c>
      <c r="AB230">
        <v>48.5</v>
      </c>
      <c r="AC230">
        <v>43.6</v>
      </c>
      <c r="AD230">
        <v>36.4</v>
      </c>
      <c r="AE230">
        <v>34.200000000000003</v>
      </c>
      <c r="AF230">
        <v>46.2</v>
      </c>
      <c r="AG230">
        <v>50.2</v>
      </c>
      <c r="AH230">
        <v>54.9</v>
      </c>
      <c r="AI230">
        <v>59.1</v>
      </c>
      <c r="AJ230">
        <v>46</v>
      </c>
      <c r="AK230">
        <v>54.1</v>
      </c>
      <c r="AL230">
        <v>65.7</v>
      </c>
      <c r="AM230">
        <v>83.4</v>
      </c>
      <c r="AN230">
        <v>94.6</v>
      </c>
      <c r="AO230">
        <v>100</v>
      </c>
      <c r="AP230">
        <v>69.900000000000006</v>
      </c>
      <c r="AQ230">
        <v>142.80000000000001</v>
      </c>
      <c r="AR230">
        <v>224.9</v>
      </c>
      <c r="AS230">
        <v>188</v>
      </c>
      <c r="AT230">
        <v>117.1</v>
      </c>
      <c r="AU230">
        <v>133.5</v>
      </c>
      <c r="AV230">
        <v>143.6</v>
      </c>
      <c r="AW230">
        <v>93.2</v>
      </c>
      <c r="AX230">
        <v>71.5</v>
      </c>
      <c r="AY230">
        <v>76.5</v>
      </c>
    </row>
    <row r="231" spans="1:51" x14ac:dyDescent="0.35">
      <c r="A231" t="s">
        <v>186</v>
      </c>
      <c r="B231">
        <f t="shared" si="6"/>
        <v>4</v>
      </c>
      <c r="C231" t="s">
        <v>140</v>
      </c>
      <c r="D231" t="s">
        <v>141</v>
      </c>
      <c r="E231" t="s">
        <v>68</v>
      </c>
      <c r="F231">
        <v>69</v>
      </c>
      <c r="G231">
        <v>0.2</v>
      </c>
      <c r="H231">
        <v>0.2</v>
      </c>
      <c r="I231">
        <v>0.4</v>
      </c>
      <c r="J231">
        <v>0.5</v>
      </c>
      <c r="K231">
        <v>0.4</v>
      </c>
      <c r="L231">
        <v>0.4</v>
      </c>
      <c r="M231">
        <v>0.5</v>
      </c>
      <c r="N231">
        <v>0.7</v>
      </c>
      <c r="O231">
        <v>0.5</v>
      </c>
      <c r="P231">
        <v>1.2</v>
      </c>
      <c r="Q231">
        <v>0.8</v>
      </c>
      <c r="R231">
        <v>1.1000000000000001</v>
      </c>
      <c r="S231">
        <v>1</v>
      </c>
      <c r="T231">
        <v>0.9</v>
      </c>
      <c r="U231">
        <v>1.7</v>
      </c>
      <c r="V231">
        <v>2.1</v>
      </c>
      <c r="W231">
        <v>2.1</v>
      </c>
      <c r="X231">
        <v>3.8</v>
      </c>
      <c r="Y231">
        <v>17.3</v>
      </c>
      <c r="Z231">
        <v>19.5</v>
      </c>
      <c r="AA231">
        <v>22</v>
      </c>
      <c r="AB231">
        <v>32.5</v>
      </c>
      <c r="AC231">
        <v>12.7</v>
      </c>
      <c r="AD231">
        <v>7.9</v>
      </c>
      <c r="AE231">
        <v>8.1999999999999993</v>
      </c>
      <c r="AF231">
        <v>31.6</v>
      </c>
      <c r="AG231">
        <v>27.1</v>
      </c>
      <c r="AH231">
        <v>84.9</v>
      </c>
      <c r="AI231">
        <v>32.5</v>
      </c>
      <c r="AJ231">
        <v>27.3</v>
      </c>
      <c r="AK231">
        <v>40.299999999999997</v>
      </c>
      <c r="AL231">
        <v>54.5</v>
      </c>
      <c r="AM231">
        <v>86.6</v>
      </c>
      <c r="AN231">
        <v>130.1</v>
      </c>
      <c r="AO231">
        <v>100</v>
      </c>
      <c r="AP231">
        <v>64.2</v>
      </c>
      <c r="AQ231">
        <v>169.1</v>
      </c>
      <c r="AR231">
        <v>340.5</v>
      </c>
      <c r="AS231">
        <v>374.1</v>
      </c>
      <c r="AT231">
        <v>352.1</v>
      </c>
      <c r="AU231">
        <v>237.4</v>
      </c>
      <c r="AV231">
        <v>752.3</v>
      </c>
      <c r="AW231">
        <v>102.1</v>
      </c>
      <c r="AX231">
        <v>90.9</v>
      </c>
      <c r="AY231">
        <v>89.9</v>
      </c>
    </row>
    <row r="232" spans="1:51" x14ac:dyDescent="0.35">
      <c r="A232" t="s">
        <v>186</v>
      </c>
      <c r="B232">
        <f t="shared" si="6"/>
        <v>4</v>
      </c>
      <c r="C232" t="s">
        <v>140</v>
      </c>
      <c r="D232" t="s">
        <v>141</v>
      </c>
      <c r="E232" t="s">
        <v>66</v>
      </c>
      <c r="F232">
        <v>67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>
        <v>100</v>
      </c>
      <c r="AP232">
        <v>100.5</v>
      </c>
      <c r="AQ232">
        <v>437.8</v>
      </c>
      <c r="AR232">
        <v>1171</v>
      </c>
      <c r="AS232">
        <v>677.8</v>
      </c>
      <c r="AT232">
        <v>160.5</v>
      </c>
      <c r="AU232">
        <v>181.9</v>
      </c>
      <c r="AV232">
        <v>213.1</v>
      </c>
      <c r="AW232">
        <v>155.30000000000001</v>
      </c>
      <c r="AX232">
        <v>112.7</v>
      </c>
      <c r="AY232">
        <v>128.9</v>
      </c>
    </row>
    <row r="233" spans="1:51" x14ac:dyDescent="0.35">
      <c r="A233" t="s">
        <v>186</v>
      </c>
      <c r="B233">
        <f t="shared" si="6"/>
        <v>4</v>
      </c>
      <c r="C233" t="s">
        <v>140</v>
      </c>
      <c r="D233" t="s">
        <v>141</v>
      </c>
      <c r="E233" t="s">
        <v>65</v>
      </c>
      <c r="F233">
        <v>66</v>
      </c>
      <c r="G233">
        <v>3</v>
      </c>
      <c r="H233">
        <v>1.1000000000000001</v>
      </c>
      <c r="I233">
        <v>1.8</v>
      </c>
      <c r="J233">
        <v>1.3</v>
      </c>
      <c r="K233">
        <v>2.8</v>
      </c>
      <c r="L233">
        <v>3.4</v>
      </c>
      <c r="M233">
        <v>4</v>
      </c>
      <c r="N233">
        <v>2.2999999999999998</v>
      </c>
      <c r="O233">
        <v>1.7</v>
      </c>
      <c r="P233">
        <v>3.6</v>
      </c>
      <c r="Q233">
        <v>2</v>
      </c>
      <c r="R233">
        <v>1.3</v>
      </c>
      <c r="S233">
        <v>7.6</v>
      </c>
      <c r="T233">
        <v>3.8</v>
      </c>
      <c r="U233">
        <v>15.3</v>
      </c>
      <c r="V233">
        <v>17.600000000000001</v>
      </c>
      <c r="W233">
        <v>13</v>
      </c>
      <c r="X233">
        <v>28.1</v>
      </c>
      <c r="Y233">
        <v>30.3</v>
      </c>
      <c r="Z233">
        <v>31.8</v>
      </c>
      <c r="AA233">
        <v>26.9</v>
      </c>
      <c r="AB233">
        <v>37.200000000000003</v>
      </c>
      <c r="AC233">
        <v>21.3</v>
      </c>
      <c r="AD233">
        <v>36.9</v>
      </c>
      <c r="AE233">
        <v>32.299999999999997</v>
      </c>
      <c r="AF233">
        <v>58.6</v>
      </c>
      <c r="AG233">
        <v>56.5</v>
      </c>
      <c r="AH233">
        <v>48.4</v>
      </c>
      <c r="AI233">
        <v>53.2</v>
      </c>
      <c r="AJ233">
        <v>68.5</v>
      </c>
      <c r="AK233">
        <v>71.400000000000006</v>
      </c>
      <c r="AL233">
        <v>75</v>
      </c>
      <c r="AM233">
        <v>85.4</v>
      </c>
      <c r="AN233">
        <v>84.3</v>
      </c>
      <c r="AO233">
        <v>100</v>
      </c>
      <c r="AP233">
        <v>101.5</v>
      </c>
      <c r="AQ233">
        <v>101.5</v>
      </c>
      <c r="AR233">
        <v>134.1</v>
      </c>
      <c r="AS233">
        <v>168.5</v>
      </c>
      <c r="AT233">
        <v>96.4</v>
      </c>
      <c r="AU233">
        <v>68.7</v>
      </c>
      <c r="AV233">
        <v>75.8</v>
      </c>
      <c r="AW233">
        <v>64.8</v>
      </c>
      <c r="AX233">
        <v>77</v>
      </c>
      <c r="AY233">
        <v>86.4</v>
      </c>
    </row>
    <row r="234" spans="1:51" x14ac:dyDescent="0.35">
      <c r="A234" t="s">
        <v>186</v>
      </c>
      <c r="B234">
        <f t="shared" si="6"/>
        <v>4</v>
      </c>
      <c r="C234" t="s">
        <v>140</v>
      </c>
      <c r="D234" t="s">
        <v>141</v>
      </c>
      <c r="E234" t="s">
        <v>60</v>
      </c>
      <c r="F234">
        <v>61</v>
      </c>
      <c r="G234">
        <v>19.600000000000001</v>
      </c>
      <c r="H234">
        <v>15.7</v>
      </c>
      <c r="I234">
        <v>23.6</v>
      </c>
      <c r="J234">
        <v>23.1</v>
      </c>
      <c r="K234">
        <v>23.9</v>
      </c>
      <c r="L234">
        <v>23.6</v>
      </c>
      <c r="M234">
        <v>24.4</v>
      </c>
      <c r="N234">
        <v>26.3</v>
      </c>
      <c r="O234">
        <v>27</v>
      </c>
      <c r="P234">
        <v>26</v>
      </c>
      <c r="Q234">
        <v>31.1</v>
      </c>
      <c r="R234">
        <v>31.5</v>
      </c>
      <c r="S234">
        <v>30.5</v>
      </c>
      <c r="T234">
        <v>33.5</v>
      </c>
      <c r="U234">
        <v>39.4</v>
      </c>
      <c r="V234">
        <v>40.799999999999997</v>
      </c>
      <c r="W234">
        <v>39.700000000000003</v>
      </c>
      <c r="X234">
        <v>43.8</v>
      </c>
      <c r="Y234">
        <v>46.4</v>
      </c>
      <c r="Z234">
        <v>46.4</v>
      </c>
      <c r="AA234">
        <v>45.2</v>
      </c>
      <c r="AB234">
        <v>45.7</v>
      </c>
      <c r="AC234">
        <v>50.8</v>
      </c>
      <c r="AD234">
        <v>49</v>
      </c>
      <c r="AE234">
        <v>44.3</v>
      </c>
      <c r="AF234">
        <v>49.5</v>
      </c>
      <c r="AG234">
        <v>58.8</v>
      </c>
      <c r="AH234">
        <v>61.8</v>
      </c>
      <c r="AI234">
        <v>63.8</v>
      </c>
      <c r="AJ234">
        <v>75.3</v>
      </c>
      <c r="AK234">
        <v>76.8</v>
      </c>
      <c r="AL234">
        <v>74.3</v>
      </c>
      <c r="AM234">
        <v>88</v>
      </c>
      <c r="AN234">
        <v>93.7</v>
      </c>
      <c r="AO234">
        <v>100</v>
      </c>
      <c r="AP234">
        <v>97.9</v>
      </c>
      <c r="AQ234">
        <v>102.1</v>
      </c>
      <c r="AR234">
        <v>107.6</v>
      </c>
      <c r="AS234">
        <v>107.1</v>
      </c>
      <c r="AT234">
        <v>111.2</v>
      </c>
      <c r="AU234">
        <v>121.4</v>
      </c>
      <c r="AV234">
        <v>158.6</v>
      </c>
      <c r="AW234">
        <v>126.2</v>
      </c>
      <c r="AX234">
        <v>141.80000000000001</v>
      </c>
      <c r="AY234">
        <v>168.4</v>
      </c>
    </row>
    <row r="235" spans="1:51" x14ac:dyDescent="0.35">
      <c r="A235" t="s">
        <v>186</v>
      </c>
      <c r="B235">
        <f t="shared" si="6"/>
        <v>4</v>
      </c>
      <c r="C235" t="s">
        <v>140</v>
      </c>
      <c r="D235" t="s">
        <v>141</v>
      </c>
      <c r="E235" t="s">
        <v>59</v>
      </c>
      <c r="F235">
        <v>60</v>
      </c>
      <c r="G235" t="e">
        <v>#N/A</v>
      </c>
      <c r="H235" t="e">
        <v>#N/A</v>
      </c>
      <c r="I235" t="e">
        <v>#N/A</v>
      </c>
      <c r="J235">
        <v>4.9000000000000004</v>
      </c>
      <c r="K235">
        <v>7</v>
      </c>
      <c r="L235">
        <v>8.4</v>
      </c>
      <c r="M235">
        <v>10.7</v>
      </c>
      <c r="N235">
        <v>11.6</v>
      </c>
      <c r="O235">
        <v>14</v>
      </c>
      <c r="P235">
        <v>14.7</v>
      </c>
      <c r="Q235">
        <v>17.399999999999999</v>
      </c>
      <c r="R235">
        <v>25.3</v>
      </c>
      <c r="S235">
        <v>27.6</v>
      </c>
      <c r="T235">
        <v>29.6</v>
      </c>
      <c r="U235">
        <v>42</v>
      </c>
      <c r="V235">
        <v>36</v>
      </c>
      <c r="W235">
        <v>48.4</v>
      </c>
      <c r="X235">
        <v>47.7</v>
      </c>
      <c r="Y235">
        <v>57.7</v>
      </c>
      <c r="Z235">
        <v>70.5</v>
      </c>
      <c r="AA235">
        <v>77.099999999999994</v>
      </c>
      <c r="AB235">
        <v>66.599999999999994</v>
      </c>
      <c r="AC235">
        <v>64.3</v>
      </c>
      <c r="AD235">
        <v>74.3</v>
      </c>
      <c r="AE235">
        <v>86.5</v>
      </c>
      <c r="AF235">
        <v>74</v>
      </c>
      <c r="AG235">
        <v>68.099999999999994</v>
      </c>
      <c r="AH235">
        <v>73.5</v>
      </c>
      <c r="AI235">
        <v>87.9</v>
      </c>
      <c r="AJ235">
        <v>60</v>
      </c>
      <c r="AK235">
        <v>76.8</v>
      </c>
      <c r="AL235">
        <v>84.7</v>
      </c>
      <c r="AM235">
        <v>90.7</v>
      </c>
      <c r="AN235">
        <v>124.8</v>
      </c>
      <c r="AO235">
        <v>100</v>
      </c>
      <c r="AP235">
        <v>133.6</v>
      </c>
      <c r="AQ235">
        <v>195.9</v>
      </c>
      <c r="AR235">
        <v>220.1</v>
      </c>
      <c r="AS235">
        <v>232.5</v>
      </c>
      <c r="AT235">
        <v>228.2</v>
      </c>
      <c r="AU235">
        <v>143.69999999999999</v>
      </c>
      <c r="AV235">
        <v>200.2</v>
      </c>
      <c r="AW235">
        <v>174.2</v>
      </c>
      <c r="AX235">
        <v>159.19999999999999</v>
      </c>
      <c r="AY235">
        <v>252.2</v>
      </c>
    </row>
    <row r="236" spans="1:51" x14ac:dyDescent="0.35">
      <c r="A236" t="s">
        <v>186</v>
      </c>
      <c r="B236">
        <f t="shared" si="6"/>
        <v>4</v>
      </c>
      <c r="C236" t="s">
        <v>140</v>
      </c>
      <c r="D236" t="s">
        <v>141</v>
      </c>
      <c r="E236" t="s">
        <v>58</v>
      </c>
      <c r="F236">
        <v>59</v>
      </c>
      <c r="G236">
        <v>19.600000000000001</v>
      </c>
      <c r="H236">
        <v>24.3</v>
      </c>
      <c r="I236">
        <v>27.7</v>
      </c>
      <c r="J236">
        <v>30.8</v>
      </c>
      <c r="K236">
        <v>40.4</v>
      </c>
      <c r="L236">
        <v>54.6</v>
      </c>
      <c r="M236">
        <v>55.8</v>
      </c>
      <c r="N236">
        <v>52.3</v>
      </c>
      <c r="O236">
        <v>55.3</v>
      </c>
      <c r="P236">
        <v>53.2</v>
      </c>
      <c r="Q236">
        <v>58.4</v>
      </c>
      <c r="R236">
        <v>66.2</v>
      </c>
      <c r="S236">
        <v>66.3</v>
      </c>
      <c r="T236">
        <v>71.5</v>
      </c>
      <c r="U236">
        <v>78.900000000000006</v>
      </c>
      <c r="V236">
        <v>78.7</v>
      </c>
      <c r="W236">
        <v>79.599999999999994</v>
      </c>
      <c r="X236">
        <v>80.900000000000006</v>
      </c>
      <c r="Y236">
        <v>83.5</v>
      </c>
      <c r="Z236">
        <v>82.5</v>
      </c>
      <c r="AA236">
        <v>80.8</v>
      </c>
      <c r="AB236">
        <v>94.9</v>
      </c>
      <c r="AC236">
        <v>87.2</v>
      </c>
      <c r="AD236">
        <v>99.7</v>
      </c>
      <c r="AE236">
        <v>97.3</v>
      </c>
      <c r="AF236">
        <v>81.3</v>
      </c>
      <c r="AG236">
        <v>92.2</v>
      </c>
      <c r="AH236">
        <v>109.2</v>
      </c>
      <c r="AI236">
        <v>89.9</v>
      </c>
      <c r="AJ236">
        <v>94.1</v>
      </c>
      <c r="AK236">
        <v>92.3</v>
      </c>
      <c r="AL236">
        <v>90.5</v>
      </c>
      <c r="AM236">
        <v>103</v>
      </c>
      <c r="AN236">
        <v>95</v>
      </c>
      <c r="AO236">
        <v>100</v>
      </c>
      <c r="AP236">
        <v>66.8</v>
      </c>
      <c r="AQ236">
        <v>76.400000000000006</v>
      </c>
      <c r="AR236">
        <v>81.400000000000006</v>
      </c>
      <c r="AS236">
        <v>82</v>
      </c>
      <c r="AT236">
        <v>97.1</v>
      </c>
      <c r="AU236">
        <v>118.9</v>
      </c>
      <c r="AV236">
        <v>169.9</v>
      </c>
      <c r="AW236">
        <v>191.6</v>
      </c>
      <c r="AX236">
        <v>185.6</v>
      </c>
      <c r="AY236">
        <v>290.39999999999998</v>
      </c>
    </row>
    <row r="237" spans="1:51" x14ac:dyDescent="0.35">
      <c r="A237" t="s">
        <v>186</v>
      </c>
      <c r="B237">
        <f t="shared" si="6"/>
        <v>4</v>
      </c>
      <c r="C237" t="s">
        <v>140</v>
      </c>
      <c r="D237" t="s">
        <v>141</v>
      </c>
      <c r="E237" t="s">
        <v>56</v>
      </c>
      <c r="F237">
        <v>57</v>
      </c>
      <c r="G237">
        <v>3.6</v>
      </c>
      <c r="H237">
        <v>3.5</v>
      </c>
      <c r="I237">
        <v>4.5999999999999996</v>
      </c>
      <c r="J237">
        <v>5.3</v>
      </c>
      <c r="K237">
        <v>7</v>
      </c>
      <c r="L237">
        <v>7.3</v>
      </c>
      <c r="M237">
        <v>6.6</v>
      </c>
      <c r="N237">
        <v>6.8</v>
      </c>
      <c r="O237">
        <v>8.5</v>
      </c>
      <c r="P237">
        <v>10.199999999999999</v>
      </c>
      <c r="Q237">
        <v>9.8000000000000007</v>
      </c>
      <c r="R237">
        <v>10.7</v>
      </c>
      <c r="S237">
        <v>12.6</v>
      </c>
      <c r="T237">
        <v>12.7</v>
      </c>
      <c r="U237">
        <v>18.899999999999999</v>
      </c>
      <c r="V237">
        <v>19.3</v>
      </c>
      <c r="W237">
        <v>19.5</v>
      </c>
      <c r="X237">
        <v>18.899999999999999</v>
      </c>
      <c r="Y237">
        <v>19</v>
      </c>
      <c r="Z237">
        <v>22.3</v>
      </c>
      <c r="AA237">
        <v>28.4</v>
      </c>
      <c r="AB237">
        <v>36.4</v>
      </c>
      <c r="AC237">
        <v>35.6</v>
      </c>
      <c r="AD237">
        <v>26.8</v>
      </c>
      <c r="AE237">
        <v>39.1</v>
      </c>
      <c r="AF237">
        <v>41</v>
      </c>
      <c r="AG237">
        <v>43.5</v>
      </c>
      <c r="AH237">
        <v>46.2</v>
      </c>
      <c r="AI237">
        <v>60.3</v>
      </c>
      <c r="AJ237">
        <v>55.5</v>
      </c>
      <c r="AK237">
        <v>58.5</v>
      </c>
      <c r="AL237">
        <v>64</v>
      </c>
      <c r="AM237">
        <v>79.900000000000006</v>
      </c>
      <c r="AN237">
        <v>83.1</v>
      </c>
      <c r="AO237">
        <v>100</v>
      </c>
      <c r="AP237">
        <v>81.7</v>
      </c>
      <c r="AQ237">
        <v>90.7</v>
      </c>
      <c r="AR237">
        <v>103.8</v>
      </c>
      <c r="AS237">
        <v>121.6</v>
      </c>
      <c r="AT237">
        <v>109.8</v>
      </c>
      <c r="AU237">
        <v>102</v>
      </c>
      <c r="AV237">
        <v>172.2</v>
      </c>
      <c r="AW237">
        <v>110.5</v>
      </c>
      <c r="AX237">
        <v>60.2</v>
      </c>
      <c r="AY237">
        <v>107.4</v>
      </c>
    </row>
    <row r="238" spans="1:51" x14ac:dyDescent="0.35">
      <c r="A238" t="s">
        <v>186</v>
      </c>
      <c r="B238">
        <f t="shared" si="6"/>
        <v>4</v>
      </c>
      <c r="C238" t="s">
        <v>140</v>
      </c>
      <c r="D238" t="s">
        <v>141</v>
      </c>
      <c r="E238" t="s">
        <v>54</v>
      </c>
      <c r="F238">
        <v>55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>
        <v>39.700000000000003</v>
      </c>
      <c r="AB238">
        <v>50.7</v>
      </c>
      <c r="AC238">
        <v>63</v>
      </c>
      <c r="AD238">
        <v>59.8</v>
      </c>
      <c r="AE238">
        <v>59.8</v>
      </c>
      <c r="AF238">
        <v>61.5</v>
      </c>
      <c r="AG238">
        <v>69</v>
      </c>
      <c r="AH238">
        <v>88.2</v>
      </c>
      <c r="AI238">
        <v>70.8</v>
      </c>
      <c r="AJ238">
        <v>59.3</v>
      </c>
      <c r="AK238">
        <v>83.2</v>
      </c>
      <c r="AL238">
        <v>90.8</v>
      </c>
      <c r="AM238">
        <v>98.8</v>
      </c>
      <c r="AN238">
        <v>105.5</v>
      </c>
      <c r="AO238">
        <v>100</v>
      </c>
      <c r="AP238">
        <v>104.7</v>
      </c>
      <c r="AQ238">
        <v>133.4</v>
      </c>
      <c r="AR238">
        <v>205.1</v>
      </c>
      <c r="AS238">
        <v>181.1</v>
      </c>
      <c r="AT238">
        <v>206.8</v>
      </c>
      <c r="AU238">
        <v>308.2</v>
      </c>
      <c r="AV238">
        <v>200.6</v>
      </c>
      <c r="AW238">
        <v>107.8</v>
      </c>
      <c r="AX238">
        <v>122.4</v>
      </c>
      <c r="AY238">
        <v>109.5</v>
      </c>
    </row>
    <row r="239" spans="1:51" x14ac:dyDescent="0.35">
      <c r="A239" t="s">
        <v>186</v>
      </c>
      <c r="B239">
        <f t="shared" si="6"/>
        <v>4</v>
      </c>
      <c r="C239" t="s">
        <v>140</v>
      </c>
      <c r="D239" t="s">
        <v>141</v>
      </c>
      <c r="E239" t="s">
        <v>51</v>
      </c>
      <c r="F239">
        <v>52</v>
      </c>
      <c r="G239">
        <v>19.3</v>
      </c>
      <c r="H239">
        <v>19.899999999999999</v>
      </c>
      <c r="I239">
        <v>22.2</v>
      </c>
      <c r="J239">
        <v>28.1</v>
      </c>
      <c r="K239">
        <v>26.8</v>
      </c>
      <c r="L239">
        <v>26.3</v>
      </c>
      <c r="M239">
        <v>25.6</v>
      </c>
      <c r="N239">
        <v>23</v>
      </c>
      <c r="O239">
        <v>23.3</v>
      </c>
      <c r="P239">
        <v>26.1</v>
      </c>
      <c r="Q239">
        <v>31.7</v>
      </c>
      <c r="R239">
        <v>30.2</v>
      </c>
      <c r="S239">
        <v>26</v>
      </c>
      <c r="T239">
        <v>31.4</v>
      </c>
      <c r="U239">
        <v>29.3</v>
      </c>
      <c r="V239">
        <v>32.700000000000003</v>
      </c>
      <c r="W239">
        <v>36.1</v>
      </c>
      <c r="X239">
        <v>40.700000000000003</v>
      </c>
      <c r="Y239">
        <v>48.5</v>
      </c>
      <c r="Z239">
        <v>46.8</v>
      </c>
      <c r="AA239">
        <v>50.9</v>
      </c>
      <c r="AB239">
        <v>55.9</v>
      </c>
      <c r="AC239">
        <v>53.4</v>
      </c>
      <c r="AD239">
        <v>50.1</v>
      </c>
      <c r="AE239">
        <v>60</v>
      </c>
      <c r="AF239">
        <v>62.4</v>
      </c>
      <c r="AG239">
        <v>59</v>
      </c>
      <c r="AH239">
        <v>67.099999999999994</v>
      </c>
      <c r="AI239">
        <v>72.5</v>
      </c>
      <c r="AJ239">
        <v>62.2</v>
      </c>
      <c r="AK239">
        <v>66.8</v>
      </c>
      <c r="AL239">
        <v>77.8</v>
      </c>
      <c r="AM239">
        <v>88</v>
      </c>
      <c r="AN239">
        <v>94.8</v>
      </c>
      <c r="AO239">
        <v>100</v>
      </c>
      <c r="AP239">
        <v>68.3</v>
      </c>
      <c r="AQ239">
        <v>48.8</v>
      </c>
      <c r="AR239">
        <v>49.8</v>
      </c>
      <c r="AS239">
        <v>46.9</v>
      </c>
      <c r="AT239">
        <v>43.5</v>
      </c>
      <c r="AU239">
        <v>56.4</v>
      </c>
      <c r="AV239">
        <v>59.2</v>
      </c>
      <c r="AW239">
        <v>42.6</v>
      </c>
      <c r="AX239">
        <v>55</v>
      </c>
      <c r="AY239">
        <v>70.900000000000006</v>
      </c>
    </row>
    <row r="240" spans="1:51" x14ac:dyDescent="0.35">
      <c r="A240" t="s">
        <v>186</v>
      </c>
      <c r="B240">
        <f t="shared" si="6"/>
        <v>4</v>
      </c>
      <c r="C240" t="s">
        <v>140</v>
      </c>
      <c r="D240" t="s">
        <v>141</v>
      </c>
      <c r="E240" t="s">
        <v>43</v>
      </c>
      <c r="F240">
        <v>44</v>
      </c>
      <c r="G240">
        <v>20.3</v>
      </c>
      <c r="H240">
        <v>18.3</v>
      </c>
      <c r="I240">
        <v>23.8</v>
      </c>
      <c r="J240">
        <v>22</v>
      </c>
      <c r="K240">
        <v>21.6</v>
      </c>
      <c r="L240">
        <v>20.3</v>
      </c>
      <c r="M240">
        <v>26.6</v>
      </c>
      <c r="N240">
        <v>31.9</v>
      </c>
      <c r="O240">
        <v>28.7</v>
      </c>
      <c r="P240">
        <v>20.8</v>
      </c>
      <c r="Q240">
        <v>19.3</v>
      </c>
      <c r="R240">
        <v>21.4</v>
      </c>
      <c r="S240">
        <v>28.5</v>
      </c>
      <c r="T240">
        <v>28.3</v>
      </c>
      <c r="U240">
        <v>26.9</v>
      </c>
      <c r="V240">
        <v>32.700000000000003</v>
      </c>
      <c r="W240">
        <v>33.299999999999997</v>
      </c>
      <c r="X240">
        <v>45.8</v>
      </c>
      <c r="Y240">
        <v>47.8</v>
      </c>
      <c r="Z240">
        <v>55.8</v>
      </c>
      <c r="AA240">
        <v>70.400000000000006</v>
      </c>
      <c r="AB240">
        <v>47.9</v>
      </c>
      <c r="AC240">
        <v>64.7</v>
      </c>
      <c r="AD240">
        <v>86.2</v>
      </c>
      <c r="AE240">
        <v>65.900000000000006</v>
      </c>
      <c r="AF240">
        <v>74.599999999999994</v>
      </c>
      <c r="AG240">
        <v>126</v>
      </c>
      <c r="AH240">
        <v>88.6</v>
      </c>
      <c r="AI240">
        <v>46.7</v>
      </c>
      <c r="AJ240">
        <v>53.2</v>
      </c>
      <c r="AK240">
        <v>72</v>
      </c>
      <c r="AL240">
        <v>62.8</v>
      </c>
      <c r="AM240">
        <v>83.3</v>
      </c>
      <c r="AN240">
        <v>98.9</v>
      </c>
      <c r="AO240">
        <v>100</v>
      </c>
      <c r="AP240">
        <v>87.6</v>
      </c>
      <c r="AQ240">
        <v>167</v>
      </c>
      <c r="AR240">
        <v>180</v>
      </c>
      <c r="AS240">
        <v>163.6</v>
      </c>
      <c r="AT240">
        <v>120.3</v>
      </c>
      <c r="AU240">
        <v>162.30000000000001</v>
      </c>
      <c r="AV240">
        <v>191.5</v>
      </c>
      <c r="AW240">
        <v>107.8</v>
      </c>
      <c r="AX240">
        <v>122</v>
      </c>
      <c r="AY240">
        <v>105.4</v>
      </c>
    </row>
    <row r="241" spans="1:51" x14ac:dyDescent="0.35">
      <c r="A241" t="s">
        <v>186</v>
      </c>
      <c r="B241">
        <f t="shared" si="6"/>
        <v>4</v>
      </c>
      <c r="C241" t="s">
        <v>140</v>
      </c>
      <c r="D241" t="s">
        <v>141</v>
      </c>
      <c r="E241" t="s">
        <v>41</v>
      </c>
      <c r="F241">
        <v>42</v>
      </c>
      <c r="G241">
        <v>39.9</v>
      </c>
      <c r="H241">
        <v>45.7</v>
      </c>
      <c r="I241">
        <v>43.9</v>
      </c>
      <c r="J241">
        <v>44.5</v>
      </c>
      <c r="K241">
        <v>47.9</v>
      </c>
      <c r="L241">
        <v>46.5</v>
      </c>
      <c r="M241">
        <v>39.700000000000003</v>
      </c>
      <c r="N241">
        <v>50.1</v>
      </c>
      <c r="O241">
        <v>50</v>
      </c>
      <c r="P241">
        <v>50.4</v>
      </c>
      <c r="Q241">
        <v>59.4</v>
      </c>
      <c r="R241">
        <v>56</v>
      </c>
      <c r="S241">
        <v>66.099999999999994</v>
      </c>
      <c r="T241">
        <v>57.5</v>
      </c>
      <c r="U241">
        <v>54.8</v>
      </c>
      <c r="V241">
        <v>68.599999999999994</v>
      </c>
      <c r="W241">
        <v>62</v>
      </c>
      <c r="X241">
        <v>67.8</v>
      </c>
      <c r="Y241">
        <v>73.099999999999994</v>
      </c>
      <c r="Z241">
        <v>93.8</v>
      </c>
      <c r="AA241">
        <v>66.400000000000006</v>
      </c>
      <c r="AB241">
        <v>76.5</v>
      </c>
      <c r="AC241">
        <v>79.900000000000006</v>
      </c>
      <c r="AD241">
        <v>76.900000000000006</v>
      </c>
      <c r="AE241">
        <v>81.5</v>
      </c>
      <c r="AF241">
        <v>75.900000000000006</v>
      </c>
      <c r="AG241">
        <v>92.7</v>
      </c>
      <c r="AH241">
        <v>85.9</v>
      </c>
      <c r="AI241">
        <v>93.5</v>
      </c>
      <c r="AJ241">
        <v>97.6</v>
      </c>
      <c r="AK241">
        <v>86.9</v>
      </c>
      <c r="AL241">
        <v>81.3</v>
      </c>
      <c r="AM241">
        <v>99.5</v>
      </c>
      <c r="AN241">
        <v>124.4</v>
      </c>
      <c r="AO241">
        <v>100</v>
      </c>
      <c r="AP241">
        <v>73.3</v>
      </c>
      <c r="AQ241">
        <v>97.3</v>
      </c>
      <c r="AR241">
        <v>81.3</v>
      </c>
      <c r="AS241">
        <v>55.2</v>
      </c>
      <c r="AT241">
        <v>47.3</v>
      </c>
      <c r="AU241">
        <v>75.099999999999994</v>
      </c>
      <c r="AV241">
        <v>70.900000000000006</v>
      </c>
      <c r="AW241">
        <v>74.5</v>
      </c>
      <c r="AX241">
        <v>70.400000000000006</v>
      </c>
      <c r="AY241">
        <v>61.2</v>
      </c>
    </row>
    <row r="242" spans="1:51" x14ac:dyDescent="0.35">
      <c r="A242" t="s">
        <v>186</v>
      </c>
      <c r="B242">
        <f t="shared" si="6"/>
        <v>4</v>
      </c>
      <c r="C242" t="s">
        <v>140</v>
      </c>
      <c r="D242" t="s">
        <v>141</v>
      </c>
      <c r="E242" t="s">
        <v>27</v>
      </c>
      <c r="F242">
        <v>28</v>
      </c>
      <c r="G242">
        <v>17.5</v>
      </c>
      <c r="H242">
        <v>19.7</v>
      </c>
      <c r="I242">
        <v>20.3</v>
      </c>
      <c r="J242">
        <v>22.4</v>
      </c>
      <c r="K242">
        <v>20.7</v>
      </c>
      <c r="L242">
        <v>22.8</v>
      </c>
      <c r="M242">
        <v>22.9</v>
      </c>
      <c r="N242">
        <v>24.5</v>
      </c>
      <c r="O242">
        <v>28.6</v>
      </c>
      <c r="P242">
        <v>29.8</v>
      </c>
      <c r="Q242">
        <v>40.200000000000003</v>
      </c>
      <c r="R242">
        <v>40.6</v>
      </c>
      <c r="S242">
        <v>43.8</v>
      </c>
      <c r="T242">
        <v>35.200000000000003</v>
      </c>
      <c r="U242">
        <v>44.1</v>
      </c>
      <c r="V242">
        <v>50.1</v>
      </c>
      <c r="W242">
        <v>51.6</v>
      </c>
      <c r="X242">
        <v>57.3</v>
      </c>
      <c r="Y242">
        <v>58.3</v>
      </c>
      <c r="Z242">
        <v>62.6</v>
      </c>
      <c r="AA242">
        <v>73.3</v>
      </c>
      <c r="AB242">
        <v>69.7</v>
      </c>
      <c r="AC242">
        <v>77.7</v>
      </c>
      <c r="AD242">
        <v>76</v>
      </c>
      <c r="AE242">
        <v>75.5</v>
      </c>
      <c r="AF242">
        <v>83.8</v>
      </c>
      <c r="AG242">
        <v>84.9</v>
      </c>
      <c r="AH242">
        <v>99.2</v>
      </c>
      <c r="AI242">
        <v>78.400000000000006</v>
      </c>
      <c r="AJ242">
        <v>84.2</v>
      </c>
      <c r="AK242">
        <v>92.3</v>
      </c>
      <c r="AL242">
        <v>105.8</v>
      </c>
      <c r="AM242">
        <v>104.9</v>
      </c>
      <c r="AN242">
        <v>114.8</v>
      </c>
      <c r="AO242">
        <v>100</v>
      </c>
      <c r="AP242">
        <v>112.9</v>
      </c>
      <c r="AQ242">
        <v>177.5</v>
      </c>
      <c r="AR242">
        <v>176.8</v>
      </c>
      <c r="AS242">
        <v>98.8</v>
      </c>
      <c r="AT242">
        <v>65.7</v>
      </c>
      <c r="AU242">
        <v>220.3</v>
      </c>
      <c r="AV242">
        <v>101</v>
      </c>
      <c r="AW242">
        <v>58.1</v>
      </c>
      <c r="AX242">
        <v>94.7</v>
      </c>
      <c r="AY242">
        <v>87.3</v>
      </c>
    </row>
    <row r="243" spans="1:51" x14ac:dyDescent="0.35">
      <c r="A243" t="s">
        <v>186</v>
      </c>
      <c r="B243">
        <f t="shared" si="6"/>
        <v>4</v>
      </c>
      <c r="C243" t="s">
        <v>140</v>
      </c>
      <c r="D243" t="s">
        <v>141</v>
      </c>
      <c r="E243" t="s">
        <v>24</v>
      </c>
      <c r="F243">
        <v>25</v>
      </c>
      <c r="G243">
        <v>41.6</v>
      </c>
      <c r="H243">
        <v>49.5</v>
      </c>
      <c r="I243">
        <v>47.8</v>
      </c>
      <c r="J243">
        <v>49.4</v>
      </c>
      <c r="K243">
        <v>52.5</v>
      </c>
      <c r="L243">
        <v>44.9</v>
      </c>
      <c r="M243">
        <v>63.5</v>
      </c>
      <c r="N243">
        <v>69.400000000000006</v>
      </c>
      <c r="O243">
        <v>57.2</v>
      </c>
      <c r="P243">
        <v>47.2</v>
      </c>
      <c r="Q243">
        <v>58.2</v>
      </c>
      <c r="R243">
        <v>56</v>
      </c>
      <c r="S243">
        <v>53.8</v>
      </c>
      <c r="T243">
        <v>56</v>
      </c>
      <c r="U243">
        <v>60.4</v>
      </c>
      <c r="V243">
        <v>67.7</v>
      </c>
      <c r="W243">
        <v>65.3</v>
      </c>
      <c r="X243">
        <v>66</v>
      </c>
      <c r="Y243">
        <v>62</v>
      </c>
      <c r="Z243">
        <v>59.1</v>
      </c>
      <c r="AA243">
        <v>76.900000000000006</v>
      </c>
      <c r="AB243">
        <v>67.7</v>
      </c>
      <c r="AC243">
        <v>68.3</v>
      </c>
      <c r="AD243">
        <v>80.599999999999994</v>
      </c>
      <c r="AE243">
        <v>70.099999999999994</v>
      </c>
      <c r="AF243">
        <v>78.3</v>
      </c>
      <c r="AG243">
        <v>65</v>
      </c>
      <c r="AH243">
        <v>73.900000000000006</v>
      </c>
      <c r="AI243">
        <v>70.900000000000006</v>
      </c>
      <c r="AJ243">
        <v>68.2</v>
      </c>
      <c r="AK243">
        <v>78.900000000000006</v>
      </c>
      <c r="AL243">
        <v>73.7</v>
      </c>
      <c r="AM243">
        <v>83</v>
      </c>
      <c r="AN243">
        <v>92.3</v>
      </c>
      <c r="AO243">
        <v>100</v>
      </c>
      <c r="AP243">
        <v>78.400000000000006</v>
      </c>
      <c r="AQ243">
        <v>97.5</v>
      </c>
      <c r="AR243">
        <v>108.4</v>
      </c>
      <c r="AS243">
        <v>56.9</v>
      </c>
      <c r="AT243">
        <v>91.7</v>
      </c>
      <c r="AU243">
        <v>173.8</v>
      </c>
      <c r="AV243">
        <v>106.1</v>
      </c>
      <c r="AW243">
        <v>116.9</v>
      </c>
      <c r="AX243">
        <v>97.9</v>
      </c>
      <c r="AY243">
        <v>108.2</v>
      </c>
    </row>
    <row r="244" spans="1:51" x14ac:dyDescent="0.35">
      <c r="A244" t="s">
        <v>186</v>
      </c>
      <c r="B244">
        <f t="shared" si="6"/>
        <v>4</v>
      </c>
      <c r="C244" t="s">
        <v>140</v>
      </c>
      <c r="D244" t="s">
        <v>141</v>
      </c>
      <c r="E244" t="s">
        <v>14</v>
      </c>
      <c r="F244">
        <v>15</v>
      </c>
      <c r="G244">
        <v>21</v>
      </c>
      <c r="H244">
        <v>23.2</v>
      </c>
      <c r="I244">
        <v>15.9</v>
      </c>
      <c r="J244">
        <v>14.1</v>
      </c>
      <c r="K244">
        <v>19.7</v>
      </c>
      <c r="L244">
        <v>21</v>
      </c>
      <c r="M244">
        <v>24.1</v>
      </c>
      <c r="N244">
        <v>27.8</v>
      </c>
      <c r="O244">
        <v>23</v>
      </c>
      <c r="P244">
        <v>22.4</v>
      </c>
      <c r="Q244">
        <v>28.9</v>
      </c>
      <c r="R244">
        <v>37.9</v>
      </c>
      <c r="S244">
        <v>34.1</v>
      </c>
      <c r="T244">
        <v>44.4</v>
      </c>
      <c r="U244">
        <v>37.700000000000003</v>
      </c>
      <c r="V244">
        <v>38.299999999999997</v>
      </c>
      <c r="W244">
        <v>50.1</v>
      </c>
      <c r="X244">
        <v>55.1</v>
      </c>
      <c r="Y244">
        <v>72.900000000000006</v>
      </c>
      <c r="Z244">
        <v>96</v>
      </c>
      <c r="AA244">
        <v>106.7</v>
      </c>
      <c r="AB244">
        <v>99.4</v>
      </c>
      <c r="AC244">
        <v>105.9</v>
      </c>
      <c r="AD244">
        <v>93.6</v>
      </c>
      <c r="AE244">
        <v>83.5</v>
      </c>
      <c r="AF244">
        <v>90.1</v>
      </c>
      <c r="AG244">
        <v>113.8</v>
      </c>
      <c r="AH244">
        <v>104.2</v>
      </c>
      <c r="AI244">
        <v>104.2</v>
      </c>
      <c r="AJ244">
        <v>114.4</v>
      </c>
      <c r="AK244">
        <v>96.1</v>
      </c>
      <c r="AL244">
        <v>71.599999999999994</v>
      </c>
      <c r="AM244">
        <v>98</v>
      </c>
      <c r="AN244">
        <v>112.9</v>
      </c>
      <c r="AO244">
        <v>100</v>
      </c>
      <c r="AP244">
        <v>80.400000000000006</v>
      </c>
      <c r="AQ244">
        <v>114.7</v>
      </c>
      <c r="AR244">
        <v>89.1</v>
      </c>
      <c r="AS244">
        <v>42.9</v>
      </c>
      <c r="AT244">
        <v>25</v>
      </c>
      <c r="AU244">
        <v>64.2</v>
      </c>
      <c r="AV244">
        <v>47.7</v>
      </c>
      <c r="AW244">
        <v>73.599999999999994</v>
      </c>
      <c r="AX244">
        <v>39.1</v>
      </c>
      <c r="AY244">
        <v>35.1</v>
      </c>
    </row>
    <row r="245" spans="1:51" x14ac:dyDescent="0.35">
      <c r="A245" t="s">
        <v>186</v>
      </c>
      <c r="B245">
        <f t="shared" si="6"/>
        <v>4</v>
      </c>
      <c r="C245" t="s">
        <v>140</v>
      </c>
      <c r="D245" t="s">
        <v>141</v>
      </c>
      <c r="E245" t="s">
        <v>13</v>
      </c>
      <c r="F245">
        <v>14</v>
      </c>
      <c r="G245">
        <v>48.5</v>
      </c>
      <c r="H245">
        <v>52.9</v>
      </c>
      <c r="I245">
        <v>51.2</v>
      </c>
      <c r="J245">
        <v>55.8</v>
      </c>
      <c r="K245">
        <v>68.599999999999994</v>
      </c>
      <c r="L245">
        <v>71.099999999999994</v>
      </c>
      <c r="M245">
        <v>72.599999999999994</v>
      </c>
      <c r="N245">
        <v>73</v>
      </c>
      <c r="O245">
        <v>88.6</v>
      </c>
      <c r="P245">
        <v>78.3</v>
      </c>
      <c r="Q245">
        <v>77.400000000000006</v>
      </c>
      <c r="R245">
        <v>84</v>
      </c>
      <c r="S245">
        <v>95.5</v>
      </c>
      <c r="T245">
        <v>126.9</v>
      </c>
      <c r="U245">
        <v>119.4</v>
      </c>
      <c r="V245">
        <v>117.4</v>
      </c>
      <c r="W245">
        <v>108.2</v>
      </c>
      <c r="X245">
        <v>121.6</v>
      </c>
      <c r="Y245">
        <v>111</v>
      </c>
      <c r="Z245">
        <v>133</v>
      </c>
      <c r="AA245">
        <v>151.5</v>
      </c>
      <c r="AB245">
        <v>155.6</v>
      </c>
      <c r="AC245">
        <v>156.1</v>
      </c>
      <c r="AD245">
        <v>144.9</v>
      </c>
      <c r="AE245">
        <v>154.9</v>
      </c>
      <c r="AF245">
        <v>96.5</v>
      </c>
      <c r="AG245">
        <v>110.6</v>
      </c>
      <c r="AH245">
        <v>117.3</v>
      </c>
      <c r="AI245">
        <v>123.1</v>
      </c>
      <c r="AJ245">
        <v>103.4</v>
      </c>
      <c r="AK245">
        <v>79.3</v>
      </c>
      <c r="AL245">
        <v>71.2</v>
      </c>
      <c r="AM245">
        <v>101.5</v>
      </c>
      <c r="AN245">
        <v>87.3</v>
      </c>
      <c r="AO245">
        <v>100</v>
      </c>
      <c r="AP245">
        <v>101.8</v>
      </c>
      <c r="AQ245">
        <v>131.30000000000001</v>
      </c>
      <c r="AR245">
        <v>128.9</v>
      </c>
      <c r="AS245">
        <v>142</v>
      </c>
      <c r="AT245">
        <v>203.9</v>
      </c>
      <c r="AU245">
        <v>248.5</v>
      </c>
      <c r="AV245">
        <v>182.4</v>
      </c>
      <c r="AW245">
        <v>172.6</v>
      </c>
      <c r="AX245">
        <v>148</v>
      </c>
      <c r="AY245">
        <v>152.19999999999999</v>
      </c>
    </row>
    <row r="246" spans="1:51" x14ac:dyDescent="0.35">
      <c r="A246" t="s">
        <v>186</v>
      </c>
      <c r="B246">
        <f t="shared" si="6"/>
        <v>4</v>
      </c>
      <c r="C246" t="s">
        <v>140</v>
      </c>
      <c r="D246" t="s">
        <v>141</v>
      </c>
      <c r="E246" t="s">
        <v>11</v>
      </c>
      <c r="F246">
        <v>12</v>
      </c>
      <c r="G246">
        <v>1237.3</v>
      </c>
      <c r="H246">
        <v>1180.7</v>
      </c>
      <c r="I246">
        <v>1058.0999999999999</v>
      </c>
      <c r="J246">
        <v>693.4</v>
      </c>
      <c r="K246">
        <v>881.4</v>
      </c>
      <c r="L246">
        <v>876.2</v>
      </c>
      <c r="M246">
        <v>762.8</v>
      </c>
      <c r="N246">
        <v>660.7</v>
      </c>
      <c r="O246">
        <v>636.1</v>
      </c>
      <c r="P246">
        <v>576.29999999999995</v>
      </c>
      <c r="Q246">
        <v>821.5</v>
      </c>
      <c r="R246">
        <v>797.4</v>
      </c>
      <c r="S246">
        <v>614</v>
      </c>
      <c r="T246">
        <v>600.9</v>
      </c>
      <c r="U246">
        <v>475.5</v>
      </c>
      <c r="V246">
        <v>511.3</v>
      </c>
      <c r="W246">
        <v>389.5</v>
      </c>
      <c r="X246">
        <v>555.79999999999995</v>
      </c>
      <c r="Y246">
        <v>700</v>
      </c>
      <c r="Z246">
        <v>425.3</v>
      </c>
      <c r="AA246">
        <v>543.1</v>
      </c>
      <c r="AB246">
        <v>522.9</v>
      </c>
      <c r="AC246">
        <v>517.79999999999995</v>
      </c>
      <c r="AD246">
        <v>259</v>
      </c>
      <c r="AE246">
        <v>266.8</v>
      </c>
      <c r="AF246">
        <v>362.5</v>
      </c>
      <c r="AG246">
        <v>309.7</v>
      </c>
      <c r="AH246">
        <v>468.3</v>
      </c>
      <c r="AI246">
        <v>216.2</v>
      </c>
      <c r="AJ246">
        <v>240.6</v>
      </c>
      <c r="AK246">
        <v>91.3</v>
      </c>
      <c r="AL246">
        <v>88.5</v>
      </c>
      <c r="AM246">
        <v>198.3</v>
      </c>
      <c r="AN246">
        <v>128.30000000000001</v>
      </c>
      <c r="AO246">
        <v>100</v>
      </c>
      <c r="AP246">
        <v>133.1</v>
      </c>
      <c r="AQ246">
        <v>825.1</v>
      </c>
      <c r="AR246">
        <v>1339.5</v>
      </c>
      <c r="AS246">
        <v>1775</v>
      </c>
      <c r="AT246">
        <v>2331.8000000000002</v>
      </c>
      <c r="AU246">
        <v>3124.3</v>
      </c>
      <c r="AV246">
        <v>1602.5</v>
      </c>
      <c r="AW246">
        <v>1014.2</v>
      </c>
      <c r="AX246">
        <v>695.1</v>
      </c>
      <c r="AY246">
        <v>661.5</v>
      </c>
    </row>
    <row r="247" spans="1:51" x14ac:dyDescent="0.35">
      <c r="A247" t="s">
        <v>186</v>
      </c>
      <c r="B247">
        <f t="shared" si="6"/>
        <v>4</v>
      </c>
      <c r="C247" t="s">
        <v>140</v>
      </c>
      <c r="D247" t="s">
        <v>141</v>
      </c>
      <c r="E247" t="s">
        <v>10</v>
      </c>
      <c r="F247">
        <v>11</v>
      </c>
      <c r="G247">
        <v>48.8</v>
      </c>
      <c r="H247">
        <v>59.3</v>
      </c>
      <c r="I247">
        <v>45.6</v>
      </c>
      <c r="J247">
        <v>35.5</v>
      </c>
      <c r="K247">
        <v>44.1</v>
      </c>
      <c r="L247">
        <v>36.4</v>
      </c>
      <c r="M247">
        <v>45.8</v>
      </c>
      <c r="N247">
        <v>50.6</v>
      </c>
      <c r="O247">
        <v>47.7</v>
      </c>
      <c r="P247">
        <v>40.299999999999997</v>
      </c>
      <c r="Q247">
        <v>60.9</v>
      </c>
      <c r="R247">
        <v>84.8</v>
      </c>
      <c r="S247">
        <v>71.5</v>
      </c>
      <c r="T247">
        <v>80.5</v>
      </c>
      <c r="U247">
        <v>64.599999999999994</v>
      </c>
      <c r="V247">
        <v>83.9</v>
      </c>
      <c r="W247">
        <v>84.8</v>
      </c>
      <c r="X247">
        <v>90.7</v>
      </c>
      <c r="Y247">
        <v>103.7</v>
      </c>
      <c r="Z247">
        <v>122.4</v>
      </c>
      <c r="AA247">
        <v>116.5</v>
      </c>
      <c r="AB247">
        <v>108.3</v>
      </c>
      <c r="AC247">
        <v>109.6</v>
      </c>
      <c r="AD247">
        <v>88.9</v>
      </c>
      <c r="AE247">
        <v>100.9</v>
      </c>
      <c r="AF247">
        <v>105.1</v>
      </c>
      <c r="AG247">
        <v>129.80000000000001</v>
      </c>
      <c r="AH247">
        <v>129.6</v>
      </c>
      <c r="AI247">
        <v>118.2</v>
      </c>
      <c r="AJ247">
        <v>115.4</v>
      </c>
      <c r="AK247">
        <v>93.3</v>
      </c>
      <c r="AL247">
        <v>74.599999999999994</v>
      </c>
      <c r="AM247">
        <v>113.3</v>
      </c>
      <c r="AN247">
        <v>97.2</v>
      </c>
      <c r="AO247">
        <v>100</v>
      </c>
      <c r="AP247">
        <v>82</v>
      </c>
      <c r="AQ247">
        <v>90.2</v>
      </c>
      <c r="AR247">
        <v>80.400000000000006</v>
      </c>
      <c r="AS247">
        <v>63.2</v>
      </c>
      <c r="AT247">
        <v>91.4</v>
      </c>
      <c r="AU247">
        <v>135.69999999999999</v>
      </c>
      <c r="AV247">
        <v>103</v>
      </c>
      <c r="AW247">
        <v>144.6</v>
      </c>
      <c r="AX247">
        <v>127</v>
      </c>
      <c r="AY247">
        <v>159.4</v>
      </c>
    </row>
    <row r="248" spans="1:51" x14ac:dyDescent="0.35">
      <c r="A248" t="s">
        <v>186</v>
      </c>
      <c r="B248">
        <f t="shared" si="6"/>
        <v>4</v>
      </c>
      <c r="C248" t="s">
        <v>140</v>
      </c>
      <c r="D248" t="s">
        <v>141</v>
      </c>
      <c r="E248" t="s">
        <v>8</v>
      </c>
      <c r="F248">
        <v>9</v>
      </c>
      <c r="G248">
        <v>167.2</v>
      </c>
      <c r="H248">
        <v>182.3</v>
      </c>
      <c r="I248">
        <v>141.69999999999999</v>
      </c>
      <c r="J248">
        <v>81.7</v>
      </c>
      <c r="K248">
        <v>98.5</v>
      </c>
      <c r="L248">
        <v>81.7</v>
      </c>
      <c r="M248">
        <v>99.9</v>
      </c>
      <c r="N248">
        <v>103.5</v>
      </c>
      <c r="O248">
        <v>95.8</v>
      </c>
      <c r="P248">
        <v>79.599999999999994</v>
      </c>
      <c r="Q248">
        <v>119.8</v>
      </c>
      <c r="R248">
        <v>138.5</v>
      </c>
      <c r="S248">
        <v>130.30000000000001</v>
      </c>
      <c r="T248">
        <v>139.4</v>
      </c>
      <c r="U248">
        <v>99.7</v>
      </c>
      <c r="V248">
        <v>125</v>
      </c>
      <c r="W248">
        <v>133.9</v>
      </c>
      <c r="X248">
        <v>141.69999999999999</v>
      </c>
      <c r="Y248">
        <v>174.3</v>
      </c>
      <c r="Z248">
        <v>207.4</v>
      </c>
      <c r="AA248">
        <v>198.6</v>
      </c>
      <c r="AB248">
        <v>178.1</v>
      </c>
      <c r="AC248">
        <v>179</v>
      </c>
      <c r="AD248">
        <v>135.4</v>
      </c>
      <c r="AE248">
        <v>119.5</v>
      </c>
      <c r="AF248">
        <v>123</v>
      </c>
      <c r="AG248">
        <v>142.4</v>
      </c>
      <c r="AH248">
        <v>151.80000000000001</v>
      </c>
      <c r="AI248">
        <v>128.9</v>
      </c>
      <c r="AJ248">
        <v>133.69999999999999</v>
      </c>
      <c r="AK248">
        <v>106.1</v>
      </c>
      <c r="AL248">
        <v>71</v>
      </c>
      <c r="AM248">
        <v>103.6</v>
      </c>
      <c r="AN248">
        <v>98.1</v>
      </c>
      <c r="AO248">
        <v>100</v>
      </c>
      <c r="AP248">
        <v>82.8</v>
      </c>
      <c r="AQ248">
        <v>192.1</v>
      </c>
      <c r="AR248">
        <v>210.5</v>
      </c>
      <c r="AS248">
        <v>195.8</v>
      </c>
      <c r="AT248">
        <v>356.8</v>
      </c>
      <c r="AU248">
        <v>393.5</v>
      </c>
      <c r="AV248">
        <v>191.4</v>
      </c>
      <c r="AW248">
        <v>160.19999999999999</v>
      </c>
      <c r="AX248">
        <v>155.1</v>
      </c>
      <c r="AY248">
        <v>202.1</v>
      </c>
    </row>
    <row r="249" spans="1:51" x14ac:dyDescent="0.35">
      <c r="A249" t="s">
        <v>186</v>
      </c>
      <c r="B249">
        <f t="shared" si="6"/>
        <v>4</v>
      </c>
      <c r="C249" t="s">
        <v>140</v>
      </c>
      <c r="D249" t="s">
        <v>141</v>
      </c>
      <c r="E249" t="s">
        <v>7</v>
      </c>
      <c r="F249">
        <v>8</v>
      </c>
      <c r="G249">
        <v>613.6</v>
      </c>
      <c r="H249">
        <v>696.2</v>
      </c>
      <c r="I249">
        <v>592.1</v>
      </c>
      <c r="J249">
        <v>423.4</v>
      </c>
      <c r="K249">
        <v>622.1</v>
      </c>
      <c r="L249">
        <v>587.70000000000005</v>
      </c>
      <c r="M249">
        <v>668.3</v>
      </c>
      <c r="N249">
        <v>529.4</v>
      </c>
      <c r="O249">
        <v>522.70000000000005</v>
      </c>
      <c r="P249">
        <v>640.4</v>
      </c>
      <c r="Q249">
        <v>1007.2</v>
      </c>
      <c r="R249">
        <v>1254.3</v>
      </c>
      <c r="S249">
        <v>1168</v>
      </c>
      <c r="T249">
        <v>1276.8</v>
      </c>
      <c r="U249">
        <v>938</v>
      </c>
      <c r="V249">
        <v>1054.5</v>
      </c>
      <c r="W249">
        <v>989.3</v>
      </c>
      <c r="X249">
        <v>1376.4</v>
      </c>
      <c r="Y249">
        <v>1205.8</v>
      </c>
      <c r="Z249">
        <v>1156.4000000000001</v>
      </c>
      <c r="AA249">
        <v>1382</v>
      </c>
      <c r="AB249">
        <v>1421.7</v>
      </c>
      <c r="AC249">
        <v>1508.7</v>
      </c>
      <c r="AD249">
        <v>1198.5</v>
      </c>
      <c r="AE249">
        <v>1340.6</v>
      </c>
      <c r="AF249">
        <v>1222.8</v>
      </c>
      <c r="AG249">
        <v>1310.2</v>
      </c>
      <c r="AH249">
        <v>1220.0999999999999</v>
      </c>
      <c r="AI249">
        <v>1105.3</v>
      </c>
      <c r="AJ249">
        <v>674.9</v>
      </c>
      <c r="AK249">
        <v>470.3</v>
      </c>
      <c r="AL249">
        <v>302.3</v>
      </c>
      <c r="AM249">
        <v>238.3</v>
      </c>
      <c r="AN249">
        <v>130.69999999999999</v>
      </c>
      <c r="AO249">
        <v>100</v>
      </c>
      <c r="AP249">
        <v>305.10000000000002</v>
      </c>
      <c r="AQ249">
        <v>1258.4000000000001</v>
      </c>
      <c r="AR249">
        <v>931.4</v>
      </c>
      <c r="AS249">
        <v>1190.7</v>
      </c>
      <c r="AT249">
        <v>2458</v>
      </c>
      <c r="AU249">
        <v>912.2</v>
      </c>
      <c r="AV249">
        <v>477.4</v>
      </c>
      <c r="AW249">
        <v>124.2</v>
      </c>
      <c r="AX249">
        <v>86</v>
      </c>
      <c r="AY249">
        <v>71.7</v>
      </c>
    </row>
    <row r="250" spans="1:51" x14ac:dyDescent="0.35">
      <c r="A250" t="s">
        <v>186</v>
      </c>
      <c r="B250">
        <f t="shared" si="6"/>
        <v>4</v>
      </c>
      <c r="C250" t="s">
        <v>140</v>
      </c>
      <c r="D250" t="s">
        <v>141</v>
      </c>
      <c r="E250" t="s">
        <v>4</v>
      </c>
      <c r="F250">
        <v>5</v>
      </c>
      <c r="G250">
        <v>155.1</v>
      </c>
      <c r="H250">
        <v>160.30000000000001</v>
      </c>
      <c r="I250">
        <v>122.2</v>
      </c>
      <c r="J250">
        <v>87</v>
      </c>
      <c r="K250">
        <v>80.900000000000006</v>
      </c>
      <c r="L250">
        <v>77.2</v>
      </c>
      <c r="M250">
        <v>67.7</v>
      </c>
      <c r="N250">
        <v>91.1</v>
      </c>
      <c r="O250">
        <v>86.7</v>
      </c>
      <c r="P250">
        <v>51.5</v>
      </c>
      <c r="Q250">
        <v>69.2</v>
      </c>
      <c r="R250">
        <v>77.3</v>
      </c>
      <c r="S250">
        <v>114.4</v>
      </c>
      <c r="T250">
        <v>130</v>
      </c>
      <c r="U250">
        <v>105.7</v>
      </c>
      <c r="V250">
        <v>68.400000000000006</v>
      </c>
      <c r="W250">
        <v>75.7</v>
      </c>
      <c r="X250">
        <v>137.19999999999999</v>
      </c>
      <c r="Y250">
        <v>189.7</v>
      </c>
      <c r="Z250">
        <v>224.7</v>
      </c>
      <c r="AA250">
        <v>189.6</v>
      </c>
      <c r="AB250">
        <v>171.9</v>
      </c>
      <c r="AC250">
        <v>188.3</v>
      </c>
      <c r="AD250">
        <v>107.5</v>
      </c>
      <c r="AE250">
        <v>100.2</v>
      </c>
      <c r="AF250">
        <v>34.6</v>
      </c>
      <c r="AG250">
        <v>80.5</v>
      </c>
      <c r="AH250">
        <v>106.7</v>
      </c>
      <c r="AI250">
        <v>105.6</v>
      </c>
      <c r="AJ250">
        <v>87.9</v>
      </c>
      <c r="AK250">
        <v>53.8</v>
      </c>
      <c r="AL250">
        <v>41.1</v>
      </c>
      <c r="AM250">
        <v>52.9</v>
      </c>
      <c r="AN250">
        <v>71</v>
      </c>
      <c r="AO250">
        <v>100</v>
      </c>
      <c r="AP250">
        <v>149.80000000000001</v>
      </c>
      <c r="AQ250">
        <v>216.8</v>
      </c>
      <c r="AR250">
        <v>179.4</v>
      </c>
      <c r="AS250">
        <v>140</v>
      </c>
      <c r="AT250">
        <v>140.30000000000001</v>
      </c>
      <c r="AU250">
        <v>157.69999999999999</v>
      </c>
      <c r="AV250">
        <v>205.7</v>
      </c>
      <c r="AW250">
        <v>282</v>
      </c>
      <c r="AX250">
        <v>236.6</v>
      </c>
      <c r="AY250">
        <v>112.1</v>
      </c>
    </row>
    <row r="251" spans="1:51" x14ac:dyDescent="0.35">
      <c r="A251" t="s">
        <v>186</v>
      </c>
      <c r="B251">
        <f t="shared" si="6"/>
        <v>4</v>
      </c>
      <c r="C251" t="s">
        <v>140</v>
      </c>
      <c r="D251" t="s">
        <v>141</v>
      </c>
      <c r="E251" t="s">
        <v>0</v>
      </c>
      <c r="F251">
        <v>1</v>
      </c>
      <c r="G251">
        <v>305.2</v>
      </c>
      <c r="H251">
        <v>579.20000000000005</v>
      </c>
      <c r="I251">
        <v>297.7</v>
      </c>
      <c r="J251">
        <v>131.80000000000001</v>
      </c>
      <c r="K251">
        <v>419.4</v>
      </c>
      <c r="L251">
        <v>332.5</v>
      </c>
      <c r="M251">
        <v>375.6</v>
      </c>
      <c r="N251">
        <v>303.2</v>
      </c>
      <c r="O251">
        <v>277.89999999999998</v>
      </c>
      <c r="P251">
        <v>359.7</v>
      </c>
      <c r="Q251">
        <v>881.7</v>
      </c>
      <c r="R251">
        <v>1056.3</v>
      </c>
      <c r="S251">
        <v>740.4</v>
      </c>
      <c r="T251">
        <v>1024</v>
      </c>
      <c r="U251">
        <v>613.29999999999995</v>
      </c>
      <c r="V251">
        <v>1178.3</v>
      </c>
      <c r="W251">
        <v>812</v>
      </c>
      <c r="X251">
        <v>1180.0999999999999</v>
      </c>
      <c r="Y251">
        <v>1114.2</v>
      </c>
      <c r="Z251">
        <v>924.9</v>
      </c>
      <c r="AA251">
        <v>793.2</v>
      </c>
      <c r="AB251">
        <v>877.1</v>
      </c>
      <c r="AC251">
        <v>936.4</v>
      </c>
      <c r="AD251">
        <v>531</v>
      </c>
      <c r="AE251">
        <v>904.4</v>
      </c>
      <c r="AF251">
        <v>990</v>
      </c>
      <c r="AG251">
        <v>966.5</v>
      </c>
      <c r="AH251">
        <v>886.8</v>
      </c>
      <c r="AI251">
        <v>773.8</v>
      </c>
      <c r="AJ251">
        <v>559.1</v>
      </c>
      <c r="AK251">
        <v>343.1</v>
      </c>
      <c r="AL251">
        <v>209.9</v>
      </c>
      <c r="AM251">
        <v>364.6</v>
      </c>
      <c r="AN251">
        <v>149.4</v>
      </c>
      <c r="AO251">
        <v>100</v>
      </c>
      <c r="AP251">
        <v>94.2</v>
      </c>
      <c r="AQ251">
        <v>125.6</v>
      </c>
      <c r="AR251">
        <v>122.3</v>
      </c>
      <c r="AS251">
        <v>90.4</v>
      </c>
      <c r="AT251">
        <v>88.3</v>
      </c>
      <c r="AU251">
        <v>200.6</v>
      </c>
      <c r="AV251">
        <v>203.4</v>
      </c>
      <c r="AW251">
        <v>312.5</v>
      </c>
      <c r="AX251">
        <v>237.8</v>
      </c>
      <c r="AY251">
        <v>151.80000000000001</v>
      </c>
    </row>
    <row r="252" spans="1:51" x14ac:dyDescent="0.35">
      <c r="A252" t="s">
        <v>186</v>
      </c>
      <c r="B252">
        <f t="shared" si="6"/>
        <v>4</v>
      </c>
      <c r="C252" t="s">
        <v>143</v>
      </c>
      <c r="D252" t="s">
        <v>141</v>
      </c>
      <c r="E252" t="s">
        <v>134</v>
      </c>
      <c r="F252">
        <v>86</v>
      </c>
      <c r="G252">
        <v>19.2</v>
      </c>
      <c r="H252">
        <v>20.6</v>
      </c>
      <c r="I252">
        <v>23.4</v>
      </c>
      <c r="J252">
        <v>25.8</v>
      </c>
      <c r="K252">
        <v>26.8</v>
      </c>
      <c r="L252">
        <v>23.5</v>
      </c>
      <c r="M252">
        <v>24.4</v>
      </c>
      <c r="N252">
        <v>26.3</v>
      </c>
      <c r="O252">
        <v>28</v>
      </c>
      <c r="P252">
        <v>29</v>
      </c>
      <c r="Q252">
        <v>31.4</v>
      </c>
      <c r="R252">
        <v>35.6</v>
      </c>
      <c r="S252">
        <v>33.1</v>
      </c>
      <c r="T252">
        <v>35.200000000000003</v>
      </c>
      <c r="U252">
        <v>33.9</v>
      </c>
      <c r="V252">
        <v>34.299999999999997</v>
      </c>
      <c r="W252">
        <v>40.200000000000003</v>
      </c>
      <c r="X252">
        <v>37.1</v>
      </c>
      <c r="Y252">
        <v>39.5</v>
      </c>
      <c r="Z252">
        <v>41.9</v>
      </c>
      <c r="AA252">
        <v>45.2</v>
      </c>
      <c r="AB252">
        <v>47.1</v>
      </c>
      <c r="AC252">
        <v>50.5</v>
      </c>
      <c r="AD252">
        <v>53.3</v>
      </c>
      <c r="AE252">
        <v>56.7</v>
      </c>
      <c r="AF252">
        <v>55.5</v>
      </c>
      <c r="AG252">
        <v>60.3</v>
      </c>
      <c r="AH252">
        <v>66.7</v>
      </c>
      <c r="AI252">
        <v>69.5</v>
      </c>
      <c r="AJ252">
        <v>57.9</v>
      </c>
      <c r="AK252">
        <v>79.599999999999994</v>
      </c>
      <c r="AL252">
        <v>89.8</v>
      </c>
      <c r="AM252">
        <v>91.8</v>
      </c>
      <c r="AN252">
        <v>88.1</v>
      </c>
      <c r="AO252">
        <v>100</v>
      </c>
      <c r="AP252">
        <v>91.6</v>
      </c>
      <c r="AQ252">
        <v>80.099999999999994</v>
      </c>
      <c r="AR252">
        <v>78.2</v>
      </c>
      <c r="AS252">
        <v>82</v>
      </c>
      <c r="AT252">
        <v>84.5</v>
      </c>
      <c r="AU252">
        <v>55.7</v>
      </c>
      <c r="AV252">
        <v>111.7</v>
      </c>
      <c r="AW252">
        <v>55.9</v>
      </c>
      <c r="AX252">
        <v>79.2</v>
      </c>
      <c r="AY252">
        <v>98</v>
      </c>
    </row>
    <row r="253" spans="1:51" x14ac:dyDescent="0.35">
      <c r="A253" t="s">
        <v>186</v>
      </c>
      <c r="B253">
        <f t="shared" si="6"/>
        <v>4</v>
      </c>
      <c r="C253" t="s">
        <v>143</v>
      </c>
      <c r="D253" t="s">
        <v>141</v>
      </c>
      <c r="E253" t="s">
        <v>69</v>
      </c>
      <c r="F253">
        <v>82</v>
      </c>
      <c r="G253">
        <v>27.1</v>
      </c>
      <c r="H253">
        <v>80.900000000000006</v>
      </c>
      <c r="I253">
        <v>84.8</v>
      </c>
      <c r="J253">
        <v>73.5</v>
      </c>
      <c r="K253">
        <v>44.9</v>
      </c>
      <c r="L253">
        <v>33.799999999999997</v>
      </c>
      <c r="M253">
        <v>25.2</v>
      </c>
      <c r="N253">
        <v>34.4</v>
      </c>
      <c r="O253">
        <v>56.8</v>
      </c>
      <c r="P253">
        <v>47.4</v>
      </c>
      <c r="Q253">
        <v>38.6</v>
      </c>
      <c r="R253">
        <v>42.3</v>
      </c>
      <c r="S253">
        <v>34.4</v>
      </c>
      <c r="T253">
        <v>37</v>
      </c>
      <c r="U253">
        <v>31.7</v>
      </c>
      <c r="V253">
        <v>28.1</v>
      </c>
      <c r="W253">
        <v>47.8</v>
      </c>
      <c r="X253">
        <v>46.1</v>
      </c>
      <c r="Y253">
        <v>30.4</v>
      </c>
      <c r="Z253">
        <v>27.4</v>
      </c>
      <c r="AA253">
        <v>35.4</v>
      </c>
      <c r="AB253">
        <v>36.200000000000003</v>
      </c>
      <c r="AC253">
        <v>38.700000000000003</v>
      </c>
      <c r="AD253">
        <v>62.1</v>
      </c>
      <c r="AE253">
        <v>72</v>
      </c>
      <c r="AF253">
        <v>54.4</v>
      </c>
      <c r="AG253">
        <v>55.4</v>
      </c>
      <c r="AH253">
        <v>64.2</v>
      </c>
      <c r="AI253">
        <v>74</v>
      </c>
      <c r="AJ253">
        <v>49.7</v>
      </c>
      <c r="AK253">
        <v>69.900000000000006</v>
      </c>
      <c r="AL253">
        <v>90.9</v>
      </c>
      <c r="AM253">
        <v>85.7</v>
      </c>
      <c r="AN253">
        <v>85.5</v>
      </c>
      <c r="AO253">
        <v>100</v>
      </c>
      <c r="AP253">
        <v>86.9</v>
      </c>
      <c r="AQ253">
        <v>62</v>
      </c>
      <c r="AR253">
        <v>44.6</v>
      </c>
      <c r="AS253">
        <v>34</v>
      </c>
      <c r="AT253">
        <v>34.6</v>
      </c>
      <c r="AU253">
        <v>33.700000000000003</v>
      </c>
      <c r="AV253">
        <v>73.3</v>
      </c>
      <c r="AW253">
        <v>56.3</v>
      </c>
      <c r="AX253">
        <v>97</v>
      </c>
      <c r="AY253">
        <v>86.4</v>
      </c>
    </row>
    <row r="254" spans="1:51" x14ac:dyDescent="0.35">
      <c r="A254" t="s">
        <v>186</v>
      </c>
      <c r="B254">
        <f t="shared" si="6"/>
        <v>4</v>
      </c>
      <c r="C254" t="s">
        <v>143</v>
      </c>
      <c r="D254" t="s">
        <v>141</v>
      </c>
      <c r="E254" t="s">
        <v>68</v>
      </c>
      <c r="F254">
        <v>81</v>
      </c>
      <c r="G254">
        <v>166.3</v>
      </c>
      <c r="H254">
        <v>301.89999999999998</v>
      </c>
      <c r="I254">
        <v>250.2</v>
      </c>
      <c r="J254">
        <v>304</v>
      </c>
      <c r="K254">
        <v>231.9</v>
      </c>
      <c r="L254">
        <v>193.5</v>
      </c>
      <c r="M254">
        <v>184.8</v>
      </c>
      <c r="N254">
        <v>262.10000000000002</v>
      </c>
      <c r="O254">
        <v>355.9</v>
      </c>
      <c r="P254">
        <v>253.5</v>
      </c>
      <c r="Q254">
        <v>246.2</v>
      </c>
      <c r="R254">
        <v>228.4</v>
      </c>
      <c r="S254">
        <v>210.9</v>
      </c>
      <c r="T254">
        <v>185.6</v>
      </c>
      <c r="U254">
        <v>170.8</v>
      </c>
      <c r="V254">
        <v>128.69999999999999</v>
      </c>
      <c r="W254">
        <v>145.4</v>
      </c>
      <c r="X254">
        <v>95.1</v>
      </c>
      <c r="Y254">
        <v>64.599999999999994</v>
      </c>
      <c r="Z254">
        <v>55.4</v>
      </c>
      <c r="AA254">
        <v>60.7</v>
      </c>
      <c r="AB254">
        <v>65.599999999999994</v>
      </c>
      <c r="AC254">
        <v>77.900000000000006</v>
      </c>
      <c r="AD254">
        <v>213.3</v>
      </c>
      <c r="AE254">
        <v>199.9</v>
      </c>
      <c r="AF254">
        <v>77.3</v>
      </c>
      <c r="AG254">
        <v>109.6</v>
      </c>
      <c r="AH254">
        <v>134.4</v>
      </c>
      <c r="AI254">
        <v>145.5</v>
      </c>
      <c r="AJ254">
        <v>72.400000000000006</v>
      </c>
      <c r="AK254">
        <v>109.9</v>
      </c>
      <c r="AL254">
        <v>144.19999999999999</v>
      </c>
      <c r="AM254">
        <v>79.5</v>
      </c>
      <c r="AN254">
        <v>72.2</v>
      </c>
      <c r="AO254">
        <v>100</v>
      </c>
      <c r="AP254">
        <v>78.3</v>
      </c>
      <c r="AQ254">
        <v>48.1</v>
      </c>
      <c r="AR254">
        <v>69.900000000000006</v>
      </c>
      <c r="AS254">
        <v>44.9</v>
      </c>
      <c r="AT254">
        <v>28.3</v>
      </c>
      <c r="AU254">
        <v>49</v>
      </c>
      <c r="AV254">
        <v>67.2</v>
      </c>
      <c r="AW254">
        <v>18.7</v>
      </c>
      <c r="AX254">
        <v>113.2</v>
      </c>
      <c r="AY254">
        <v>127.2</v>
      </c>
    </row>
    <row r="255" spans="1:51" x14ac:dyDescent="0.35">
      <c r="A255" t="s">
        <v>186</v>
      </c>
      <c r="B255">
        <f t="shared" si="6"/>
        <v>4</v>
      </c>
      <c r="C255" t="s">
        <v>143</v>
      </c>
      <c r="D255" t="s">
        <v>141</v>
      </c>
      <c r="E255" t="s">
        <v>65</v>
      </c>
      <c r="F255">
        <v>78</v>
      </c>
      <c r="G255">
        <v>9.5</v>
      </c>
      <c r="H255">
        <v>13.1</v>
      </c>
      <c r="I255">
        <v>9.4</v>
      </c>
      <c r="J255">
        <v>11.8</v>
      </c>
      <c r="K255">
        <v>11.9</v>
      </c>
      <c r="L255">
        <v>11.7</v>
      </c>
      <c r="M255">
        <v>11.4</v>
      </c>
      <c r="N255">
        <v>14.5</v>
      </c>
      <c r="O255">
        <v>14.3</v>
      </c>
      <c r="P255">
        <v>15.2</v>
      </c>
      <c r="Q255">
        <v>17</v>
      </c>
      <c r="R255">
        <v>19.399999999999999</v>
      </c>
      <c r="S255">
        <v>25.2</v>
      </c>
      <c r="T255">
        <v>25.3</v>
      </c>
      <c r="U255">
        <v>23.4</v>
      </c>
      <c r="V255">
        <v>20.5</v>
      </c>
      <c r="W255">
        <v>30.4</v>
      </c>
      <c r="X255">
        <v>27.1</v>
      </c>
      <c r="Y255">
        <v>31.2</v>
      </c>
      <c r="Z255">
        <v>41.1</v>
      </c>
      <c r="AA255">
        <v>44.4</v>
      </c>
      <c r="AB255">
        <v>45.2</v>
      </c>
      <c r="AC255">
        <v>46.2</v>
      </c>
      <c r="AD255">
        <v>58.1</v>
      </c>
      <c r="AE255">
        <v>63.2</v>
      </c>
      <c r="AF255">
        <v>63.1</v>
      </c>
      <c r="AG255">
        <v>70</v>
      </c>
      <c r="AH255">
        <v>79.400000000000006</v>
      </c>
      <c r="AI255">
        <v>71</v>
      </c>
      <c r="AJ255">
        <v>63.9</v>
      </c>
      <c r="AK255">
        <v>86.9</v>
      </c>
      <c r="AL255">
        <v>94.8</v>
      </c>
      <c r="AM255">
        <v>93</v>
      </c>
      <c r="AN255">
        <v>103.5</v>
      </c>
      <c r="AO255">
        <v>100</v>
      </c>
      <c r="AP255">
        <v>77.099999999999994</v>
      </c>
      <c r="AQ255">
        <v>79.2</v>
      </c>
      <c r="AR255">
        <v>100.4</v>
      </c>
      <c r="AS255">
        <v>114.6</v>
      </c>
      <c r="AT255">
        <v>117.4</v>
      </c>
      <c r="AU255">
        <v>87</v>
      </c>
      <c r="AV255">
        <v>125.9</v>
      </c>
      <c r="AW255">
        <v>80.900000000000006</v>
      </c>
      <c r="AX255">
        <v>148.6</v>
      </c>
      <c r="AY255">
        <v>163.4</v>
      </c>
    </row>
    <row r="256" spans="1:51" x14ac:dyDescent="0.35">
      <c r="A256" t="s">
        <v>186</v>
      </c>
      <c r="B256">
        <f t="shared" si="6"/>
        <v>4</v>
      </c>
      <c r="C256" t="s">
        <v>143</v>
      </c>
      <c r="D256" t="s">
        <v>141</v>
      </c>
      <c r="E256" t="s">
        <v>64</v>
      </c>
      <c r="F256">
        <v>77</v>
      </c>
      <c r="G256">
        <v>4.5</v>
      </c>
      <c r="H256">
        <v>12.1</v>
      </c>
      <c r="I256">
        <v>7.5</v>
      </c>
      <c r="J256">
        <v>8.6999999999999993</v>
      </c>
      <c r="K256">
        <v>7.3</v>
      </c>
      <c r="L256">
        <v>20</v>
      </c>
      <c r="M256">
        <v>22.2</v>
      </c>
      <c r="N256">
        <v>18.600000000000001</v>
      </c>
      <c r="O256">
        <v>10.4</v>
      </c>
      <c r="P256">
        <v>19.899999999999999</v>
      </c>
      <c r="Q256">
        <v>23.4</v>
      </c>
      <c r="R256">
        <v>42.5</v>
      </c>
      <c r="S256">
        <v>27.3</v>
      </c>
      <c r="T256">
        <v>37.6</v>
      </c>
      <c r="U256">
        <v>62</v>
      </c>
      <c r="V256">
        <v>50.5</v>
      </c>
      <c r="W256">
        <v>32.200000000000003</v>
      </c>
      <c r="X256">
        <v>25.2</v>
      </c>
      <c r="Y256">
        <v>34.6</v>
      </c>
      <c r="Z256">
        <v>31.2</v>
      </c>
      <c r="AA256">
        <v>42.5</v>
      </c>
      <c r="AB256">
        <v>63.1</v>
      </c>
      <c r="AC256">
        <v>107.2</v>
      </c>
      <c r="AD256">
        <v>89.4</v>
      </c>
      <c r="AE256">
        <v>51.6</v>
      </c>
      <c r="AF256">
        <v>46.2</v>
      </c>
      <c r="AG256">
        <v>56.8</v>
      </c>
      <c r="AH256">
        <v>52.9</v>
      </c>
      <c r="AI256">
        <v>58.5</v>
      </c>
      <c r="AJ256">
        <v>63.4</v>
      </c>
      <c r="AK256">
        <v>79.900000000000006</v>
      </c>
      <c r="AL256">
        <v>92.9</v>
      </c>
      <c r="AM256">
        <v>69.5</v>
      </c>
      <c r="AN256">
        <v>93.6</v>
      </c>
      <c r="AO256">
        <v>100</v>
      </c>
      <c r="AP256">
        <v>80.2</v>
      </c>
      <c r="AQ256">
        <v>108.4</v>
      </c>
      <c r="AR256">
        <v>162.30000000000001</v>
      </c>
      <c r="AS256">
        <v>158.69999999999999</v>
      </c>
      <c r="AT256">
        <v>185.2</v>
      </c>
      <c r="AU256">
        <v>141.5</v>
      </c>
      <c r="AV256">
        <v>165.8</v>
      </c>
      <c r="AW256">
        <v>100.7</v>
      </c>
      <c r="AX256">
        <v>116.9</v>
      </c>
      <c r="AY256">
        <v>113.6</v>
      </c>
    </row>
    <row r="257" spans="1:51" x14ac:dyDescent="0.35">
      <c r="A257" t="s">
        <v>186</v>
      </c>
      <c r="B257">
        <f t="shared" si="6"/>
        <v>4</v>
      </c>
      <c r="C257" t="s">
        <v>143</v>
      </c>
      <c r="D257" t="s">
        <v>141</v>
      </c>
      <c r="E257" t="s">
        <v>131</v>
      </c>
      <c r="F257">
        <v>76</v>
      </c>
      <c r="G257">
        <v>66.400000000000006</v>
      </c>
      <c r="H257">
        <v>87.5</v>
      </c>
      <c r="I257">
        <v>93.1</v>
      </c>
      <c r="J257">
        <v>101.5</v>
      </c>
      <c r="K257">
        <v>100.5</v>
      </c>
      <c r="L257">
        <v>85.7</v>
      </c>
      <c r="M257">
        <v>82.3</v>
      </c>
      <c r="N257">
        <v>96.7</v>
      </c>
      <c r="O257">
        <v>111.9</v>
      </c>
      <c r="P257">
        <v>117.5</v>
      </c>
      <c r="Q257">
        <v>106.4</v>
      </c>
      <c r="R257">
        <v>111.2</v>
      </c>
      <c r="S257">
        <v>113.5</v>
      </c>
      <c r="T257">
        <v>128.5</v>
      </c>
      <c r="U257">
        <v>123.4</v>
      </c>
      <c r="V257">
        <v>116.2</v>
      </c>
      <c r="W257">
        <v>155.30000000000001</v>
      </c>
      <c r="X257">
        <v>134.69999999999999</v>
      </c>
      <c r="Y257">
        <v>112.3</v>
      </c>
      <c r="Z257">
        <v>92.2</v>
      </c>
      <c r="AA257">
        <v>95.9</v>
      </c>
      <c r="AB257">
        <v>101.7</v>
      </c>
      <c r="AC257" t="s">
        <v>84</v>
      </c>
      <c r="AD257">
        <v>111</v>
      </c>
      <c r="AE257">
        <v>132.69999999999999</v>
      </c>
      <c r="AF257">
        <v>124.3</v>
      </c>
      <c r="AG257">
        <v>118</v>
      </c>
      <c r="AH257">
        <v>135.5</v>
      </c>
      <c r="AI257">
        <v>142.30000000000001</v>
      </c>
      <c r="AJ257">
        <v>100.3</v>
      </c>
      <c r="AK257">
        <v>106.6</v>
      </c>
      <c r="AL257">
        <v>121</v>
      </c>
      <c r="AM257">
        <v>109.6</v>
      </c>
      <c r="AN257">
        <v>97.3</v>
      </c>
      <c r="AO257">
        <v>100</v>
      </c>
      <c r="AP257">
        <v>98</v>
      </c>
      <c r="AQ257">
        <v>47.3</v>
      </c>
      <c r="AR257">
        <v>34.6</v>
      </c>
      <c r="AS257">
        <v>30.7</v>
      </c>
      <c r="AT257">
        <v>23.6</v>
      </c>
      <c r="AU257">
        <v>25.9</v>
      </c>
      <c r="AV257">
        <v>46.2</v>
      </c>
      <c r="AW257">
        <v>55</v>
      </c>
      <c r="AX257">
        <v>78.099999999999994</v>
      </c>
      <c r="AY257">
        <v>119.6</v>
      </c>
    </row>
    <row r="258" spans="1:51" x14ac:dyDescent="0.35">
      <c r="A258" t="s">
        <v>186</v>
      </c>
      <c r="B258">
        <f t="shared" si="6"/>
        <v>4</v>
      </c>
      <c r="C258" t="s">
        <v>143</v>
      </c>
      <c r="D258" t="s">
        <v>141</v>
      </c>
      <c r="E258" t="s">
        <v>130</v>
      </c>
      <c r="F258">
        <v>73</v>
      </c>
      <c r="G258">
        <v>16.8</v>
      </c>
      <c r="H258">
        <v>26.8</v>
      </c>
      <c r="I258">
        <v>24.2</v>
      </c>
      <c r="J258">
        <v>29.3</v>
      </c>
      <c r="K258">
        <v>38.9</v>
      </c>
      <c r="L258">
        <v>29.1</v>
      </c>
      <c r="M258">
        <v>36</v>
      </c>
      <c r="N258">
        <v>43.6</v>
      </c>
      <c r="O258">
        <v>46.9</v>
      </c>
      <c r="P258">
        <v>52.9</v>
      </c>
      <c r="Q258">
        <v>43.3</v>
      </c>
      <c r="R258">
        <v>41.1</v>
      </c>
      <c r="S258">
        <v>50.3</v>
      </c>
      <c r="T258">
        <v>54.5</v>
      </c>
      <c r="U258">
        <v>36.299999999999997</v>
      </c>
      <c r="V258">
        <v>31.2</v>
      </c>
      <c r="W258">
        <v>28.1</v>
      </c>
      <c r="X258">
        <v>21.4</v>
      </c>
      <c r="Y258">
        <v>28.2</v>
      </c>
      <c r="Z258">
        <v>42.7</v>
      </c>
      <c r="AA258">
        <v>64.8</v>
      </c>
      <c r="AB258">
        <v>41</v>
      </c>
      <c r="AC258">
        <v>65.3</v>
      </c>
      <c r="AD258">
        <v>64</v>
      </c>
      <c r="AE258">
        <v>60.8</v>
      </c>
      <c r="AF258">
        <v>53.6</v>
      </c>
      <c r="AG258">
        <v>84.5</v>
      </c>
      <c r="AH258">
        <v>88.2</v>
      </c>
      <c r="AI258">
        <v>75.599999999999994</v>
      </c>
      <c r="AJ258">
        <v>81.3</v>
      </c>
      <c r="AK258">
        <v>174.6</v>
      </c>
      <c r="AL258">
        <v>147.80000000000001</v>
      </c>
      <c r="AM258">
        <v>122.3</v>
      </c>
      <c r="AN258">
        <v>103.7</v>
      </c>
      <c r="AO258">
        <v>100</v>
      </c>
      <c r="AP258">
        <v>56.8</v>
      </c>
      <c r="AQ258">
        <v>47.1</v>
      </c>
      <c r="AR258">
        <v>118.8</v>
      </c>
      <c r="AS258">
        <v>70.900000000000006</v>
      </c>
      <c r="AT258">
        <v>26</v>
      </c>
      <c r="AU258">
        <v>128.5</v>
      </c>
      <c r="AV258">
        <v>76.7</v>
      </c>
      <c r="AW258">
        <v>64.2</v>
      </c>
      <c r="AX258">
        <v>115.3</v>
      </c>
      <c r="AY258">
        <v>134.80000000000001</v>
      </c>
    </row>
    <row r="259" spans="1:51" x14ac:dyDescent="0.35">
      <c r="A259" t="s">
        <v>186</v>
      </c>
      <c r="B259">
        <f t="shared" si="6"/>
        <v>4</v>
      </c>
      <c r="C259" t="s">
        <v>143</v>
      </c>
      <c r="D259" t="s">
        <v>141</v>
      </c>
      <c r="E259" t="s">
        <v>129</v>
      </c>
      <c r="F259">
        <v>72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>
        <v>56.3</v>
      </c>
      <c r="AB259">
        <v>35.5</v>
      </c>
      <c r="AC259">
        <v>58.8</v>
      </c>
      <c r="AD259">
        <v>71.900000000000006</v>
      </c>
      <c r="AE259">
        <v>89.1</v>
      </c>
      <c r="AF259">
        <v>88.2</v>
      </c>
      <c r="AG259">
        <v>89.1</v>
      </c>
      <c r="AH259">
        <v>87.7</v>
      </c>
      <c r="AI259">
        <v>75.5</v>
      </c>
      <c r="AJ259">
        <v>44</v>
      </c>
      <c r="AK259">
        <v>123.6</v>
      </c>
      <c r="AL259">
        <v>107</v>
      </c>
      <c r="AM259">
        <v>97.6</v>
      </c>
      <c r="AN259">
        <v>83.5</v>
      </c>
      <c r="AO259">
        <v>100</v>
      </c>
      <c r="AP259">
        <v>33.9</v>
      </c>
      <c r="AQ259">
        <v>59.3</v>
      </c>
      <c r="AR259">
        <v>113.9</v>
      </c>
      <c r="AS259">
        <v>115</v>
      </c>
      <c r="AT259">
        <v>97.5</v>
      </c>
      <c r="AU259">
        <v>106</v>
      </c>
      <c r="AV259">
        <v>58.6</v>
      </c>
      <c r="AW259">
        <v>17.7</v>
      </c>
      <c r="AX259">
        <v>57.6</v>
      </c>
      <c r="AY259">
        <v>84.2</v>
      </c>
    </row>
    <row r="260" spans="1:51" x14ac:dyDescent="0.35">
      <c r="A260" t="s">
        <v>186</v>
      </c>
      <c r="B260">
        <f t="shared" si="6"/>
        <v>4</v>
      </c>
      <c r="C260" t="s">
        <v>143</v>
      </c>
      <c r="D260" t="s">
        <v>141</v>
      </c>
      <c r="E260" t="s">
        <v>126</v>
      </c>
      <c r="F260">
        <v>69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>
        <v>100</v>
      </c>
      <c r="AP260">
        <v>98</v>
      </c>
      <c r="AQ260">
        <v>102.8</v>
      </c>
      <c r="AR260">
        <v>126.8</v>
      </c>
      <c r="AS260">
        <v>199</v>
      </c>
      <c r="AT260">
        <v>235.1</v>
      </c>
      <c r="AU260">
        <v>332.3</v>
      </c>
      <c r="AV260">
        <v>649.4</v>
      </c>
      <c r="AW260">
        <v>776.8</v>
      </c>
      <c r="AX260">
        <v>837.2</v>
      </c>
      <c r="AY260">
        <v>538.9</v>
      </c>
    </row>
    <row r="261" spans="1:51" x14ac:dyDescent="0.35">
      <c r="A261" t="s">
        <v>186</v>
      </c>
      <c r="B261">
        <f t="shared" si="6"/>
        <v>4</v>
      </c>
      <c r="C261" t="s">
        <v>143</v>
      </c>
      <c r="D261" t="s">
        <v>141</v>
      </c>
      <c r="E261" t="s">
        <v>123</v>
      </c>
      <c r="F261">
        <v>66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>
        <v>21.6</v>
      </c>
      <c r="AB261">
        <v>24.7</v>
      </c>
      <c r="AC261">
        <v>26.5</v>
      </c>
      <c r="AD261">
        <v>26.8</v>
      </c>
      <c r="AE261">
        <v>30.7</v>
      </c>
      <c r="AF261">
        <v>30.8</v>
      </c>
      <c r="AG261">
        <v>35.5</v>
      </c>
      <c r="AH261">
        <v>46.5</v>
      </c>
      <c r="AI261">
        <v>62.8</v>
      </c>
      <c r="AJ261">
        <v>54.3</v>
      </c>
      <c r="AK261">
        <v>72.7</v>
      </c>
      <c r="AL261">
        <v>78.599999999999994</v>
      </c>
      <c r="AM261">
        <v>75.099999999999994</v>
      </c>
      <c r="AN261">
        <v>77.599999999999994</v>
      </c>
      <c r="AO261">
        <v>100</v>
      </c>
      <c r="AP261">
        <v>114.5</v>
      </c>
      <c r="AQ261">
        <v>105.2</v>
      </c>
      <c r="AR261">
        <v>117.6</v>
      </c>
      <c r="AS261">
        <v>130.1</v>
      </c>
      <c r="AT261">
        <v>133</v>
      </c>
      <c r="AU261">
        <v>130.1</v>
      </c>
      <c r="AV261">
        <v>145.9</v>
      </c>
      <c r="AW261">
        <v>150.5</v>
      </c>
      <c r="AX261">
        <v>205.6</v>
      </c>
      <c r="AY261">
        <v>258.39999999999998</v>
      </c>
    </row>
    <row r="262" spans="1:51" x14ac:dyDescent="0.35">
      <c r="A262" t="s">
        <v>186</v>
      </c>
      <c r="B262">
        <f t="shared" si="6"/>
        <v>4</v>
      </c>
      <c r="C262" t="s">
        <v>143</v>
      </c>
      <c r="D262" t="s">
        <v>141</v>
      </c>
      <c r="E262" t="s">
        <v>53</v>
      </c>
      <c r="F262">
        <v>65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>
        <v>7.3</v>
      </c>
      <c r="R262">
        <v>6.5</v>
      </c>
      <c r="S262">
        <v>7.3</v>
      </c>
      <c r="T262">
        <v>8.1</v>
      </c>
      <c r="U262">
        <v>9.1</v>
      </c>
      <c r="V262">
        <v>4.3</v>
      </c>
      <c r="W262">
        <v>5.9</v>
      </c>
      <c r="X262">
        <v>8.6999999999999993</v>
      </c>
      <c r="Y262">
        <v>4.7</v>
      </c>
      <c r="Z262">
        <v>5.7</v>
      </c>
      <c r="AA262">
        <v>8.4</v>
      </c>
      <c r="AB262">
        <v>14.8</v>
      </c>
      <c r="AC262">
        <v>10.7</v>
      </c>
      <c r="AD262">
        <v>20</v>
      </c>
      <c r="AE262">
        <v>24.3</v>
      </c>
      <c r="AF262">
        <v>26.4</v>
      </c>
      <c r="AG262">
        <v>28.6</v>
      </c>
      <c r="AH262">
        <v>31.4</v>
      </c>
      <c r="AI262">
        <v>49.5</v>
      </c>
      <c r="AJ262">
        <v>42.6</v>
      </c>
      <c r="AK262">
        <v>65.3</v>
      </c>
      <c r="AL262">
        <v>87.1</v>
      </c>
      <c r="AM262">
        <v>95.5</v>
      </c>
      <c r="AN262">
        <v>97.9</v>
      </c>
      <c r="AO262">
        <v>100</v>
      </c>
      <c r="AP262">
        <v>126.4</v>
      </c>
      <c r="AQ262">
        <v>104.4</v>
      </c>
      <c r="AR262">
        <v>118</v>
      </c>
      <c r="AS262">
        <v>112.2</v>
      </c>
      <c r="AT262">
        <v>100.5</v>
      </c>
      <c r="AU262">
        <v>111.5</v>
      </c>
      <c r="AV262">
        <v>173.1</v>
      </c>
      <c r="AW262">
        <v>131.30000000000001</v>
      </c>
      <c r="AX262">
        <v>256</v>
      </c>
      <c r="AY262">
        <v>275.3</v>
      </c>
    </row>
    <row r="263" spans="1:51" x14ac:dyDescent="0.35">
      <c r="A263" t="s">
        <v>186</v>
      </c>
      <c r="B263">
        <f t="shared" si="6"/>
        <v>4</v>
      </c>
      <c r="C263" t="s">
        <v>143</v>
      </c>
      <c r="D263" t="s">
        <v>141</v>
      </c>
      <c r="E263" t="s">
        <v>121</v>
      </c>
      <c r="F263">
        <v>63</v>
      </c>
      <c r="G263">
        <v>40.6</v>
      </c>
      <c r="H263">
        <v>57.1</v>
      </c>
      <c r="I263">
        <v>59.6</v>
      </c>
      <c r="J263">
        <v>62</v>
      </c>
      <c r="K263">
        <v>57</v>
      </c>
      <c r="L263">
        <v>60.5</v>
      </c>
      <c r="M263">
        <v>54.8</v>
      </c>
      <c r="N263">
        <v>57</v>
      </c>
      <c r="O263">
        <v>63.6</v>
      </c>
      <c r="P263">
        <v>64.599999999999994</v>
      </c>
      <c r="Q263">
        <v>69.8</v>
      </c>
      <c r="R263">
        <v>73.599999999999994</v>
      </c>
      <c r="S263">
        <v>78.7</v>
      </c>
      <c r="T263">
        <v>78</v>
      </c>
      <c r="U263">
        <v>74.400000000000006</v>
      </c>
      <c r="V263">
        <v>50.5</v>
      </c>
      <c r="W263">
        <v>70.599999999999994</v>
      </c>
      <c r="X263">
        <v>70.099999999999994</v>
      </c>
      <c r="Y263">
        <v>69.7</v>
      </c>
      <c r="Z263">
        <v>45.6</v>
      </c>
      <c r="AA263">
        <v>73.2</v>
      </c>
      <c r="AB263">
        <v>59.1</v>
      </c>
      <c r="AC263">
        <v>63.6</v>
      </c>
      <c r="AD263">
        <v>76.5</v>
      </c>
      <c r="AE263">
        <v>65.3</v>
      </c>
      <c r="AF263">
        <v>65.3</v>
      </c>
      <c r="AG263">
        <v>79.900000000000006</v>
      </c>
      <c r="AH263">
        <v>97.5</v>
      </c>
      <c r="AI263">
        <v>91.3</v>
      </c>
      <c r="AJ263">
        <v>74.599999999999994</v>
      </c>
      <c r="AK263">
        <v>96.2</v>
      </c>
      <c r="AL263">
        <v>100.6</v>
      </c>
      <c r="AM263">
        <v>93.6</v>
      </c>
      <c r="AN263">
        <v>104</v>
      </c>
      <c r="AO263">
        <v>100</v>
      </c>
      <c r="AP263">
        <v>92</v>
      </c>
      <c r="AQ263">
        <v>98.7</v>
      </c>
      <c r="AR263">
        <v>117.4</v>
      </c>
      <c r="AS263">
        <v>113.4</v>
      </c>
      <c r="AT263">
        <v>110</v>
      </c>
      <c r="AU263">
        <v>108.4</v>
      </c>
      <c r="AV263">
        <v>133.80000000000001</v>
      </c>
      <c r="AW263">
        <v>83</v>
      </c>
      <c r="AX263">
        <v>152.69999999999999</v>
      </c>
      <c r="AY263">
        <v>189.4</v>
      </c>
    </row>
    <row r="264" spans="1:51" x14ac:dyDescent="0.35">
      <c r="A264" t="s">
        <v>186</v>
      </c>
      <c r="B264">
        <f t="shared" si="6"/>
        <v>4</v>
      </c>
      <c r="C264" t="s">
        <v>143</v>
      </c>
      <c r="D264" t="s">
        <v>141</v>
      </c>
      <c r="E264" t="s">
        <v>120</v>
      </c>
      <c r="F264">
        <v>62</v>
      </c>
      <c r="G264">
        <v>19.7</v>
      </c>
      <c r="H264">
        <v>30.1</v>
      </c>
      <c r="I264">
        <v>28</v>
      </c>
      <c r="J264">
        <v>35.9</v>
      </c>
      <c r="K264">
        <v>31.2</v>
      </c>
      <c r="L264">
        <v>37.1</v>
      </c>
      <c r="M264">
        <v>32.4</v>
      </c>
      <c r="N264">
        <v>34.9</v>
      </c>
      <c r="O264">
        <v>42.5</v>
      </c>
      <c r="P264">
        <v>42.9</v>
      </c>
      <c r="Q264">
        <v>41.1</v>
      </c>
      <c r="R264">
        <v>43.5</v>
      </c>
      <c r="S264">
        <v>47.3</v>
      </c>
      <c r="T264">
        <v>55.8</v>
      </c>
      <c r="U264">
        <v>52.9</v>
      </c>
      <c r="V264">
        <v>41.5</v>
      </c>
      <c r="W264">
        <v>49.2</v>
      </c>
      <c r="X264">
        <v>47.5</v>
      </c>
      <c r="Y264">
        <v>49.7</v>
      </c>
      <c r="Z264">
        <v>43.2</v>
      </c>
      <c r="AA264">
        <v>37.1</v>
      </c>
      <c r="AB264">
        <v>41.4</v>
      </c>
      <c r="AC264">
        <v>44.5</v>
      </c>
      <c r="AD264">
        <v>47.9</v>
      </c>
      <c r="AE264">
        <v>51.1</v>
      </c>
      <c r="AF264">
        <v>52.6</v>
      </c>
      <c r="AG264">
        <v>50.8</v>
      </c>
      <c r="AH264">
        <v>63.5</v>
      </c>
      <c r="AI264">
        <v>84.2</v>
      </c>
      <c r="AJ264">
        <v>63</v>
      </c>
      <c r="AK264">
        <v>76</v>
      </c>
      <c r="AL264">
        <v>84.7</v>
      </c>
      <c r="AM264">
        <v>79.2</v>
      </c>
      <c r="AN264">
        <v>93.9</v>
      </c>
      <c r="AO264">
        <v>100</v>
      </c>
      <c r="AP264">
        <v>90.7</v>
      </c>
      <c r="AQ264">
        <v>71.400000000000006</v>
      </c>
      <c r="AR264">
        <v>76</v>
      </c>
      <c r="AS264">
        <v>72.400000000000006</v>
      </c>
      <c r="AT264">
        <v>62.6</v>
      </c>
      <c r="AU264">
        <v>65.7</v>
      </c>
      <c r="AV264">
        <v>93.2</v>
      </c>
      <c r="AW264">
        <v>67.099999999999994</v>
      </c>
      <c r="AX264">
        <v>90.7</v>
      </c>
      <c r="AY264">
        <v>112.4</v>
      </c>
    </row>
    <row r="265" spans="1:51" x14ac:dyDescent="0.35">
      <c r="A265" t="s">
        <v>186</v>
      </c>
      <c r="B265">
        <f t="shared" si="6"/>
        <v>4</v>
      </c>
      <c r="C265" t="s">
        <v>143</v>
      </c>
      <c r="D265" t="s">
        <v>141</v>
      </c>
      <c r="E265" t="s">
        <v>48</v>
      </c>
      <c r="F265">
        <v>59</v>
      </c>
      <c r="G265">
        <v>76.5</v>
      </c>
      <c r="H265">
        <v>103.9</v>
      </c>
      <c r="I265">
        <v>95.2</v>
      </c>
      <c r="J265">
        <v>119.6</v>
      </c>
      <c r="K265">
        <v>100.5</v>
      </c>
      <c r="L265">
        <v>101.8</v>
      </c>
      <c r="M265">
        <v>82.4</v>
      </c>
      <c r="N265">
        <v>96.4</v>
      </c>
      <c r="O265">
        <v>108.1</v>
      </c>
      <c r="P265">
        <v>110</v>
      </c>
      <c r="Q265">
        <v>115.7</v>
      </c>
      <c r="R265">
        <v>132.5</v>
      </c>
      <c r="S265">
        <v>112.2</v>
      </c>
      <c r="T265">
        <v>107.7</v>
      </c>
      <c r="U265">
        <v>105</v>
      </c>
      <c r="V265">
        <v>88.1</v>
      </c>
      <c r="W265">
        <v>104.4</v>
      </c>
      <c r="X265">
        <v>75.3</v>
      </c>
      <c r="Y265">
        <v>85.7</v>
      </c>
      <c r="Z265">
        <v>85.9</v>
      </c>
      <c r="AA265">
        <v>85.8</v>
      </c>
      <c r="AB265">
        <v>92.3</v>
      </c>
      <c r="AC265">
        <v>97.6</v>
      </c>
      <c r="AD265">
        <v>113.5</v>
      </c>
      <c r="AE265">
        <v>109.6</v>
      </c>
      <c r="AF265">
        <v>100.5</v>
      </c>
      <c r="AG265">
        <v>107.1</v>
      </c>
      <c r="AH265">
        <v>110.9</v>
      </c>
      <c r="AI265">
        <v>122.9</v>
      </c>
      <c r="AJ265">
        <v>84.8</v>
      </c>
      <c r="AK265">
        <v>100.7</v>
      </c>
      <c r="AL265">
        <v>99.3</v>
      </c>
      <c r="AM265">
        <v>82.4</v>
      </c>
      <c r="AN265">
        <v>78.3</v>
      </c>
      <c r="AO265">
        <v>100</v>
      </c>
      <c r="AP265">
        <v>108.7</v>
      </c>
      <c r="AQ265">
        <v>87.7</v>
      </c>
      <c r="AR265">
        <v>100.5</v>
      </c>
      <c r="AS265">
        <v>93.6</v>
      </c>
      <c r="AT265">
        <v>58</v>
      </c>
      <c r="AU265">
        <v>98.4</v>
      </c>
      <c r="AV265">
        <v>121.2</v>
      </c>
      <c r="AW265">
        <v>142.80000000000001</v>
      </c>
      <c r="AX265">
        <v>103.7</v>
      </c>
      <c r="AY265">
        <v>126</v>
      </c>
    </row>
    <row r="266" spans="1:51" x14ac:dyDescent="0.35">
      <c r="A266" t="s">
        <v>186</v>
      </c>
      <c r="B266">
        <f t="shared" si="6"/>
        <v>4</v>
      </c>
      <c r="C266" t="s">
        <v>143</v>
      </c>
      <c r="D266" t="s">
        <v>141</v>
      </c>
      <c r="E266" t="s">
        <v>116</v>
      </c>
      <c r="F266">
        <v>57</v>
      </c>
      <c r="G266">
        <v>8.6</v>
      </c>
      <c r="H266">
        <v>9.3000000000000007</v>
      </c>
      <c r="I266">
        <v>9.4</v>
      </c>
      <c r="J266">
        <v>11.5</v>
      </c>
      <c r="K266">
        <v>12.3</v>
      </c>
      <c r="L266">
        <v>12.3</v>
      </c>
      <c r="M266">
        <v>14.2</v>
      </c>
      <c r="N266">
        <v>17.399999999999999</v>
      </c>
      <c r="O266">
        <v>17.5</v>
      </c>
      <c r="P266">
        <v>19.8</v>
      </c>
      <c r="Q266">
        <v>21</v>
      </c>
      <c r="R266">
        <v>16.399999999999999</v>
      </c>
      <c r="S266">
        <v>25.3</v>
      </c>
      <c r="T266">
        <v>27.9</v>
      </c>
      <c r="U266">
        <v>16.2</v>
      </c>
      <c r="V266">
        <v>28.1</v>
      </c>
      <c r="W266">
        <v>32.700000000000003</v>
      </c>
      <c r="X266">
        <v>18.100000000000001</v>
      </c>
      <c r="Y266">
        <v>35.9</v>
      </c>
      <c r="Z266">
        <v>30.2</v>
      </c>
      <c r="AA266">
        <v>42.3</v>
      </c>
      <c r="AB266">
        <v>29.4</v>
      </c>
      <c r="AC266">
        <v>43.9</v>
      </c>
      <c r="AD266">
        <v>49.2</v>
      </c>
      <c r="AE266">
        <v>41.7</v>
      </c>
      <c r="AF266">
        <v>59.3</v>
      </c>
      <c r="AG266">
        <v>55.5</v>
      </c>
      <c r="AH266">
        <v>60.2</v>
      </c>
      <c r="AI266">
        <v>56.1</v>
      </c>
      <c r="AJ266">
        <v>66.900000000000006</v>
      </c>
      <c r="AK266">
        <v>79.400000000000006</v>
      </c>
      <c r="AL266">
        <v>77.099999999999994</v>
      </c>
      <c r="AM266">
        <v>74.7</v>
      </c>
      <c r="AN266">
        <v>88.6</v>
      </c>
      <c r="AO266">
        <v>100</v>
      </c>
      <c r="AP266">
        <v>91.7</v>
      </c>
      <c r="AQ266">
        <v>110.9</v>
      </c>
      <c r="AR266">
        <v>116</v>
      </c>
      <c r="AS266">
        <v>130.5</v>
      </c>
      <c r="AT266">
        <v>117.7</v>
      </c>
      <c r="AU266">
        <v>160.4</v>
      </c>
      <c r="AV266">
        <v>107.5</v>
      </c>
      <c r="AW266">
        <v>162.19999999999999</v>
      </c>
      <c r="AX266">
        <v>181.3</v>
      </c>
      <c r="AY266">
        <v>177</v>
      </c>
    </row>
    <row r="267" spans="1:51" x14ac:dyDescent="0.35">
      <c r="A267" t="s">
        <v>186</v>
      </c>
      <c r="B267">
        <f t="shared" si="6"/>
        <v>4</v>
      </c>
      <c r="C267" t="s">
        <v>143</v>
      </c>
      <c r="D267" t="s">
        <v>141</v>
      </c>
      <c r="E267" t="s">
        <v>47</v>
      </c>
      <c r="F267">
        <v>56</v>
      </c>
      <c r="G267">
        <v>167.8</v>
      </c>
      <c r="H267">
        <v>220</v>
      </c>
      <c r="I267">
        <v>192.4</v>
      </c>
      <c r="J267">
        <v>254.2</v>
      </c>
      <c r="K267">
        <v>273.5</v>
      </c>
      <c r="L267">
        <v>252.3</v>
      </c>
      <c r="M267">
        <v>237.1</v>
      </c>
      <c r="N267">
        <v>290.8</v>
      </c>
      <c r="O267">
        <v>288</v>
      </c>
      <c r="P267">
        <v>332.2</v>
      </c>
      <c r="Q267">
        <v>358.1</v>
      </c>
      <c r="R267">
        <v>381.2</v>
      </c>
      <c r="S267">
        <v>246.4</v>
      </c>
      <c r="T267">
        <v>284.5</v>
      </c>
      <c r="U267">
        <v>230.7</v>
      </c>
      <c r="V267">
        <v>130.6</v>
      </c>
      <c r="W267">
        <v>431.5</v>
      </c>
      <c r="X267">
        <v>250.6</v>
      </c>
      <c r="Y267">
        <v>257.3</v>
      </c>
      <c r="Z267">
        <v>118.5</v>
      </c>
      <c r="AA267">
        <v>108.3</v>
      </c>
      <c r="AB267">
        <v>111.3</v>
      </c>
      <c r="AC267">
        <v>109.3</v>
      </c>
      <c r="AD267">
        <v>131.80000000000001</v>
      </c>
      <c r="AE267">
        <v>134.9</v>
      </c>
      <c r="AF267">
        <v>111.7</v>
      </c>
      <c r="AG267">
        <v>145.4</v>
      </c>
      <c r="AH267">
        <v>146.9</v>
      </c>
      <c r="AI267">
        <v>147.80000000000001</v>
      </c>
      <c r="AJ267">
        <v>100.4</v>
      </c>
      <c r="AK267">
        <v>145.6</v>
      </c>
      <c r="AL267">
        <v>143.6</v>
      </c>
      <c r="AM267">
        <v>98.1</v>
      </c>
      <c r="AN267">
        <v>92.2</v>
      </c>
      <c r="AO267">
        <v>100</v>
      </c>
      <c r="AP267">
        <v>326.39999999999998</v>
      </c>
      <c r="AQ267">
        <v>138.4</v>
      </c>
      <c r="AR267">
        <v>107.5</v>
      </c>
      <c r="AS267">
        <v>128.5</v>
      </c>
      <c r="AT267">
        <v>96.6</v>
      </c>
      <c r="AU267">
        <v>46.7</v>
      </c>
      <c r="AV267">
        <v>149.69999999999999</v>
      </c>
      <c r="AW267">
        <v>136.19999999999999</v>
      </c>
      <c r="AX267">
        <v>182.7</v>
      </c>
      <c r="AY267">
        <v>222.1</v>
      </c>
    </row>
    <row r="268" spans="1:51" x14ac:dyDescent="0.35">
      <c r="A268" t="s">
        <v>186</v>
      </c>
      <c r="B268">
        <f t="shared" si="6"/>
        <v>4</v>
      </c>
      <c r="C268" t="s">
        <v>143</v>
      </c>
      <c r="D268" t="s">
        <v>141</v>
      </c>
      <c r="E268" t="s">
        <v>45</v>
      </c>
      <c r="F268">
        <v>54</v>
      </c>
      <c r="G268">
        <v>43.6</v>
      </c>
      <c r="H268">
        <v>70</v>
      </c>
      <c r="I268">
        <v>35.700000000000003</v>
      </c>
      <c r="J268">
        <v>43.8</v>
      </c>
      <c r="K268">
        <v>47.9</v>
      </c>
      <c r="L268">
        <v>44.1</v>
      </c>
      <c r="M268">
        <v>59.6</v>
      </c>
      <c r="N268">
        <v>83.5</v>
      </c>
      <c r="O268">
        <v>63.6</v>
      </c>
      <c r="P268">
        <v>64.3</v>
      </c>
      <c r="Q268">
        <v>79.8</v>
      </c>
      <c r="R268">
        <v>64.599999999999994</v>
      </c>
      <c r="S268">
        <v>86.6</v>
      </c>
      <c r="T268">
        <v>105.6</v>
      </c>
      <c r="U268">
        <v>68.7</v>
      </c>
      <c r="V268">
        <v>72.7</v>
      </c>
      <c r="W268">
        <v>177.3</v>
      </c>
      <c r="X268">
        <v>109.6</v>
      </c>
      <c r="Y268">
        <v>266.7</v>
      </c>
      <c r="Z268">
        <v>59.3</v>
      </c>
      <c r="AA268">
        <v>63.1</v>
      </c>
      <c r="AB268">
        <v>88.2</v>
      </c>
      <c r="AC268">
        <v>80.2</v>
      </c>
      <c r="AD268">
        <v>113.7</v>
      </c>
      <c r="AE268">
        <v>106.7</v>
      </c>
      <c r="AF268">
        <v>124.3</v>
      </c>
      <c r="AG268">
        <v>171.9</v>
      </c>
      <c r="AH268">
        <v>131.1</v>
      </c>
      <c r="AI268">
        <v>129.4</v>
      </c>
      <c r="AJ268">
        <v>101.8</v>
      </c>
      <c r="AK268">
        <v>221.6</v>
      </c>
      <c r="AL268">
        <v>128.30000000000001</v>
      </c>
      <c r="AM268">
        <v>98.6</v>
      </c>
      <c r="AN268">
        <v>160.9</v>
      </c>
      <c r="AO268">
        <v>100</v>
      </c>
      <c r="AP268">
        <v>200.9</v>
      </c>
      <c r="AQ268">
        <v>314.5</v>
      </c>
      <c r="AR268">
        <v>355.9</v>
      </c>
      <c r="AS268">
        <v>323</v>
      </c>
      <c r="AT268">
        <v>366.2</v>
      </c>
      <c r="AU268">
        <v>343.8</v>
      </c>
      <c r="AV268">
        <v>210.1</v>
      </c>
      <c r="AW268">
        <v>257.39999999999998</v>
      </c>
      <c r="AX268">
        <v>275.2</v>
      </c>
      <c r="AY268">
        <v>310.2</v>
      </c>
    </row>
    <row r="269" spans="1:51" x14ac:dyDescent="0.35">
      <c r="A269" t="s">
        <v>186</v>
      </c>
      <c r="B269">
        <f t="shared" si="6"/>
        <v>4</v>
      </c>
      <c r="C269" t="s">
        <v>143</v>
      </c>
      <c r="D269" t="s">
        <v>141</v>
      </c>
      <c r="E269" t="s">
        <v>44</v>
      </c>
      <c r="F269">
        <v>53</v>
      </c>
      <c r="G269">
        <v>31.8</v>
      </c>
      <c r="H269">
        <v>40.6</v>
      </c>
      <c r="I269">
        <v>38.1</v>
      </c>
      <c r="J269">
        <v>40.700000000000003</v>
      </c>
      <c r="K269">
        <v>39.9</v>
      </c>
      <c r="L269">
        <v>44</v>
      </c>
      <c r="M269">
        <v>44</v>
      </c>
      <c r="N269">
        <v>51.2</v>
      </c>
      <c r="O269">
        <v>51.6</v>
      </c>
      <c r="P269">
        <v>58.9</v>
      </c>
      <c r="Q269">
        <v>55.5</v>
      </c>
      <c r="R269">
        <v>60.8</v>
      </c>
      <c r="S269">
        <v>48.7</v>
      </c>
      <c r="T269">
        <v>56.3</v>
      </c>
      <c r="U269">
        <v>52.2</v>
      </c>
      <c r="V269">
        <v>49</v>
      </c>
      <c r="W269">
        <v>67.7</v>
      </c>
      <c r="X269">
        <v>58.4</v>
      </c>
      <c r="Y269">
        <v>64.5</v>
      </c>
      <c r="Z269">
        <v>54.5</v>
      </c>
      <c r="AA269">
        <v>59.1</v>
      </c>
      <c r="AB269">
        <v>58.4</v>
      </c>
      <c r="AC269">
        <v>61.3</v>
      </c>
      <c r="AD269">
        <v>72</v>
      </c>
      <c r="AE269">
        <v>76.3</v>
      </c>
      <c r="AF269">
        <v>70.400000000000006</v>
      </c>
      <c r="AG269">
        <v>80.599999999999994</v>
      </c>
      <c r="AH269">
        <v>91.8</v>
      </c>
      <c r="AI269">
        <v>95</v>
      </c>
      <c r="AJ269">
        <v>74.7</v>
      </c>
      <c r="AK269">
        <v>100</v>
      </c>
      <c r="AL269">
        <v>99.1</v>
      </c>
      <c r="AM269">
        <v>91.7</v>
      </c>
      <c r="AN269">
        <v>101.2</v>
      </c>
      <c r="AO269">
        <v>100</v>
      </c>
      <c r="AP269">
        <v>105.9</v>
      </c>
      <c r="AQ269">
        <v>66</v>
      </c>
      <c r="AR269">
        <v>58.1</v>
      </c>
      <c r="AS269">
        <v>43.8</v>
      </c>
      <c r="AT269">
        <v>26.8</v>
      </c>
      <c r="AU269">
        <v>24.2</v>
      </c>
      <c r="AV269">
        <v>47</v>
      </c>
      <c r="AW269">
        <v>36.5</v>
      </c>
      <c r="AX269">
        <v>60.7</v>
      </c>
      <c r="AY269">
        <v>78.599999999999994</v>
      </c>
    </row>
    <row r="270" spans="1:51" x14ac:dyDescent="0.35">
      <c r="A270" t="s">
        <v>186</v>
      </c>
      <c r="B270">
        <f t="shared" si="6"/>
        <v>4</v>
      </c>
      <c r="C270" t="s">
        <v>143</v>
      </c>
      <c r="D270" t="s">
        <v>141</v>
      </c>
      <c r="E270" t="s">
        <v>114</v>
      </c>
      <c r="F270">
        <v>51</v>
      </c>
      <c r="G270">
        <v>18.5</v>
      </c>
      <c r="H270">
        <v>21.5</v>
      </c>
      <c r="I270">
        <v>25</v>
      </c>
      <c r="J270">
        <v>25.8</v>
      </c>
      <c r="K270">
        <v>25.8</v>
      </c>
      <c r="L270">
        <v>27.9</v>
      </c>
      <c r="M270">
        <v>31</v>
      </c>
      <c r="N270">
        <v>30.5</v>
      </c>
      <c r="O270">
        <v>32.799999999999997</v>
      </c>
      <c r="P270">
        <v>39.1</v>
      </c>
      <c r="Q270">
        <v>46.8</v>
      </c>
      <c r="R270">
        <v>42.6</v>
      </c>
      <c r="S270">
        <v>50.3</v>
      </c>
      <c r="T270">
        <v>51.3</v>
      </c>
      <c r="U270">
        <v>54.6</v>
      </c>
      <c r="V270">
        <v>41.5</v>
      </c>
      <c r="W270">
        <v>53.1</v>
      </c>
      <c r="X270">
        <v>51.3</v>
      </c>
      <c r="Y270">
        <v>61.4</v>
      </c>
      <c r="Z270">
        <v>55.2</v>
      </c>
      <c r="AA270">
        <v>55.8</v>
      </c>
      <c r="AB270">
        <v>53.9</v>
      </c>
      <c r="AC270">
        <v>61.9</v>
      </c>
      <c r="AD270">
        <v>71.599999999999994</v>
      </c>
      <c r="AE270">
        <v>83.6</v>
      </c>
      <c r="AF270">
        <v>76.599999999999994</v>
      </c>
      <c r="AG270">
        <v>83.9</v>
      </c>
      <c r="AH270">
        <v>74</v>
      </c>
      <c r="AI270">
        <v>77.900000000000006</v>
      </c>
      <c r="AJ270">
        <v>73</v>
      </c>
      <c r="AK270">
        <v>90</v>
      </c>
      <c r="AL270">
        <v>84.5</v>
      </c>
      <c r="AM270">
        <v>82</v>
      </c>
      <c r="AN270">
        <v>111.8</v>
      </c>
      <c r="AO270">
        <v>100</v>
      </c>
      <c r="AP270">
        <v>113.3</v>
      </c>
      <c r="AQ270">
        <v>111.5</v>
      </c>
      <c r="AR270">
        <v>145</v>
      </c>
      <c r="AS270">
        <v>123.1</v>
      </c>
      <c r="AT270">
        <v>123.5</v>
      </c>
      <c r="AU270">
        <v>107.7</v>
      </c>
      <c r="AV270">
        <v>117.7</v>
      </c>
      <c r="AW270">
        <v>74.099999999999994</v>
      </c>
      <c r="AX270">
        <v>86.6</v>
      </c>
      <c r="AY270">
        <v>106.6</v>
      </c>
    </row>
    <row r="271" spans="1:51" x14ac:dyDescent="0.35">
      <c r="A271" t="s">
        <v>186</v>
      </c>
      <c r="B271">
        <f t="shared" si="6"/>
        <v>4</v>
      </c>
      <c r="C271" t="s">
        <v>143</v>
      </c>
      <c r="D271" t="s">
        <v>141</v>
      </c>
      <c r="E271" t="s">
        <v>112</v>
      </c>
      <c r="F271">
        <v>49</v>
      </c>
      <c r="G271" t="e">
        <v>#N/A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>
        <v>23.4</v>
      </c>
      <c r="R271">
        <v>24.5</v>
      </c>
      <c r="S271">
        <v>26.9</v>
      </c>
      <c r="T271">
        <v>24.7</v>
      </c>
      <c r="U271">
        <v>24.6</v>
      </c>
      <c r="V271">
        <v>22.4</v>
      </c>
      <c r="W271">
        <v>28.2</v>
      </c>
      <c r="X271">
        <v>29.3</v>
      </c>
      <c r="Y271">
        <v>38</v>
      </c>
      <c r="Z271">
        <v>34.4</v>
      </c>
      <c r="AA271">
        <v>38.200000000000003</v>
      </c>
      <c r="AB271">
        <v>43</v>
      </c>
      <c r="AC271">
        <v>57.3</v>
      </c>
      <c r="AD271">
        <v>63.1</v>
      </c>
      <c r="AE271">
        <v>57.3</v>
      </c>
      <c r="AF271">
        <v>58.3</v>
      </c>
      <c r="AG271">
        <v>62.5</v>
      </c>
      <c r="AH271">
        <v>74.5</v>
      </c>
      <c r="AI271">
        <v>75.099999999999994</v>
      </c>
      <c r="AJ271">
        <v>65.099999999999994</v>
      </c>
      <c r="AK271">
        <v>80.8</v>
      </c>
      <c r="AL271">
        <v>94.1</v>
      </c>
      <c r="AM271">
        <v>81.5</v>
      </c>
      <c r="AN271">
        <v>86.1</v>
      </c>
      <c r="AO271">
        <v>100</v>
      </c>
      <c r="AP271">
        <v>95.3</v>
      </c>
      <c r="AQ271">
        <v>88.4</v>
      </c>
      <c r="AR271">
        <v>83.5</v>
      </c>
      <c r="AS271">
        <v>105.5</v>
      </c>
      <c r="AT271">
        <v>94.5</v>
      </c>
      <c r="AU271">
        <v>95.8</v>
      </c>
      <c r="AV271">
        <v>123.7</v>
      </c>
      <c r="AW271">
        <v>102.8</v>
      </c>
      <c r="AX271">
        <v>112.7</v>
      </c>
      <c r="AY271">
        <v>129.5</v>
      </c>
    </row>
    <row r="272" spans="1:51" x14ac:dyDescent="0.35">
      <c r="A272" t="s">
        <v>186</v>
      </c>
      <c r="B272">
        <f t="shared" si="6"/>
        <v>4</v>
      </c>
      <c r="C272" t="s">
        <v>143</v>
      </c>
      <c r="D272" t="s">
        <v>141</v>
      </c>
      <c r="E272" t="s">
        <v>43</v>
      </c>
      <c r="F272">
        <v>47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>
        <v>51.1</v>
      </c>
      <c r="T272">
        <v>60.7</v>
      </c>
      <c r="U272">
        <v>61.1</v>
      </c>
      <c r="V272">
        <v>52.9</v>
      </c>
      <c r="W272">
        <v>74.400000000000006</v>
      </c>
      <c r="X272">
        <v>66.400000000000006</v>
      </c>
      <c r="Y272">
        <v>70.7</v>
      </c>
      <c r="Z272">
        <v>63.6</v>
      </c>
      <c r="AA272">
        <v>78.2</v>
      </c>
      <c r="AB272">
        <v>82.8</v>
      </c>
      <c r="AC272">
        <v>75.2</v>
      </c>
      <c r="AD272">
        <v>93.2</v>
      </c>
      <c r="AE272">
        <v>96.1</v>
      </c>
      <c r="AF272">
        <v>85.9</v>
      </c>
      <c r="AG272">
        <v>99.1</v>
      </c>
      <c r="AH272">
        <v>124.9</v>
      </c>
      <c r="AI272">
        <v>138.6</v>
      </c>
      <c r="AJ272">
        <v>103.3</v>
      </c>
      <c r="AK272">
        <v>128</v>
      </c>
      <c r="AL272">
        <v>116.8</v>
      </c>
      <c r="AM272">
        <v>109.4</v>
      </c>
      <c r="AN272">
        <v>112.3</v>
      </c>
      <c r="AO272">
        <v>100</v>
      </c>
      <c r="AP272">
        <v>101.4</v>
      </c>
      <c r="AQ272">
        <v>77.400000000000006</v>
      </c>
      <c r="AR272">
        <v>76.900000000000006</v>
      </c>
      <c r="AS272">
        <v>54.1</v>
      </c>
      <c r="AT272">
        <v>29.6</v>
      </c>
      <c r="AU272">
        <v>35.4</v>
      </c>
      <c r="AV272">
        <v>82.3</v>
      </c>
      <c r="AW272">
        <v>76.8</v>
      </c>
      <c r="AX272">
        <v>83.2</v>
      </c>
      <c r="AY272">
        <v>106.5</v>
      </c>
    </row>
    <row r="273" spans="1:51" x14ac:dyDescent="0.35">
      <c r="A273" t="s">
        <v>186</v>
      </c>
      <c r="B273">
        <f t="shared" si="6"/>
        <v>4</v>
      </c>
      <c r="C273" t="s">
        <v>143</v>
      </c>
      <c r="D273" t="s">
        <v>141</v>
      </c>
      <c r="E273" t="s">
        <v>107</v>
      </c>
      <c r="F273">
        <v>36</v>
      </c>
      <c r="G273">
        <v>1.4</v>
      </c>
      <c r="H273">
        <v>1.5</v>
      </c>
      <c r="I273">
        <v>1.6</v>
      </c>
      <c r="J273">
        <v>2.1</v>
      </c>
      <c r="K273">
        <v>1.9</v>
      </c>
      <c r="L273">
        <v>1.9</v>
      </c>
      <c r="M273">
        <v>2.1</v>
      </c>
      <c r="N273">
        <v>2.6</v>
      </c>
      <c r="O273">
        <v>2.6</v>
      </c>
      <c r="P273">
        <v>2.8</v>
      </c>
      <c r="Q273">
        <v>2.6</v>
      </c>
      <c r="R273">
        <v>2.8</v>
      </c>
      <c r="S273">
        <v>3.1</v>
      </c>
      <c r="T273">
        <v>3.1</v>
      </c>
      <c r="U273">
        <v>3.3</v>
      </c>
      <c r="V273">
        <v>2.9</v>
      </c>
      <c r="W273">
        <v>3.5</v>
      </c>
      <c r="X273">
        <v>2.8</v>
      </c>
      <c r="Y273">
        <v>3.5</v>
      </c>
      <c r="Z273">
        <v>3.7</v>
      </c>
      <c r="AA273">
        <v>4.5</v>
      </c>
      <c r="AB273">
        <v>4.0999999999999996</v>
      </c>
      <c r="AC273">
        <v>4.5999999999999996</v>
      </c>
      <c r="AD273">
        <v>4.2</v>
      </c>
      <c r="AE273">
        <v>47</v>
      </c>
      <c r="AF273">
        <v>51.1</v>
      </c>
      <c r="AG273">
        <v>53.9</v>
      </c>
      <c r="AH273">
        <v>55.9</v>
      </c>
      <c r="AI273">
        <v>56.9</v>
      </c>
      <c r="AJ273">
        <v>59.4</v>
      </c>
      <c r="AK273">
        <v>71.7</v>
      </c>
      <c r="AL273">
        <v>76.900000000000006</v>
      </c>
      <c r="AM273">
        <v>78</v>
      </c>
      <c r="AN273">
        <v>104.6</v>
      </c>
      <c r="AO273">
        <v>100</v>
      </c>
      <c r="AP273">
        <v>115.7</v>
      </c>
      <c r="AQ273">
        <v>175.6</v>
      </c>
      <c r="AR273">
        <v>211.9</v>
      </c>
      <c r="AS273">
        <v>316.2</v>
      </c>
      <c r="AT273">
        <v>250.5</v>
      </c>
      <c r="AU273">
        <v>413.9</v>
      </c>
      <c r="AV273">
        <v>436.1</v>
      </c>
      <c r="AW273">
        <v>319.39999999999998</v>
      </c>
      <c r="AX273">
        <v>514.70000000000005</v>
      </c>
      <c r="AY273">
        <v>529.70000000000005</v>
      </c>
    </row>
    <row r="274" spans="1:51" x14ac:dyDescent="0.35">
      <c r="A274" t="s">
        <v>186</v>
      </c>
      <c r="B274">
        <f t="shared" si="6"/>
        <v>4</v>
      </c>
      <c r="C274" t="s">
        <v>143</v>
      </c>
      <c r="D274" t="s">
        <v>141</v>
      </c>
      <c r="E274" t="s">
        <v>103</v>
      </c>
      <c r="F274">
        <v>26</v>
      </c>
      <c r="G274">
        <v>19.7</v>
      </c>
      <c r="H274">
        <v>27.4</v>
      </c>
      <c r="I274">
        <v>26.8</v>
      </c>
      <c r="J274">
        <v>23.8</v>
      </c>
      <c r="K274">
        <v>20.9</v>
      </c>
      <c r="L274">
        <v>20</v>
      </c>
      <c r="M274">
        <v>20.8</v>
      </c>
      <c r="N274">
        <v>26.6</v>
      </c>
      <c r="O274">
        <v>26.4</v>
      </c>
      <c r="P274">
        <v>31.5</v>
      </c>
      <c r="Q274">
        <v>29.8</v>
      </c>
      <c r="R274">
        <v>3.9</v>
      </c>
      <c r="S274">
        <v>41.1</v>
      </c>
      <c r="T274">
        <v>47.2</v>
      </c>
      <c r="U274">
        <v>40.200000000000003</v>
      </c>
      <c r="V274">
        <v>31.8</v>
      </c>
      <c r="W274">
        <v>57.3</v>
      </c>
      <c r="X274">
        <v>30.9</v>
      </c>
      <c r="Y274">
        <v>49.4</v>
      </c>
      <c r="Z274">
        <v>52.9</v>
      </c>
      <c r="AA274">
        <v>66.400000000000006</v>
      </c>
      <c r="AB274">
        <v>63.1</v>
      </c>
      <c r="AC274">
        <v>66.099999999999994</v>
      </c>
      <c r="AD274">
        <v>68.7</v>
      </c>
      <c r="AE274">
        <v>62.6</v>
      </c>
      <c r="AF274">
        <v>66.400000000000006</v>
      </c>
      <c r="AG274">
        <v>81.8</v>
      </c>
      <c r="AH274">
        <v>85.5</v>
      </c>
      <c r="AI274">
        <v>76.099999999999994</v>
      </c>
      <c r="AJ274">
        <v>68.599999999999994</v>
      </c>
      <c r="AK274">
        <v>116.8</v>
      </c>
      <c r="AL274">
        <v>93.3</v>
      </c>
      <c r="AM274">
        <v>89.8</v>
      </c>
      <c r="AN274">
        <v>126.2</v>
      </c>
      <c r="AO274">
        <v>100</v>
      </c>
      <c r="AP274">
        <v>103.6</v>
      </c>
      <c r="AQ274">
        <v>120.4</v>
      </c>
      <c r="AR274">
        <v>139.5</v>
      </c>
      <c r="AS274">
        <v>117.3</v>
      </c>
      <c r="AT274">
        <v>67.5</v>
      </c>
      <c r="AU274">
        <v>141.4</v>
      </c>
      <c r="AV274">
        <v>95.8</v>
      </c>
      <c r="AW274">
        <v>67.7</v>
      </c>
      <c r="AX274">
        <v>99.4</v>
      </c>
      <c r="AY274">
        <v>97.8</v>
      </c>
    </row>
    <row r="275" spans="1:51" x14ac:dyDescent="0.35">
      <c r="A275" t="s">
        <v>186</v>
      </c>
      <c r="B275">
        <f t="shared" si="6"/>
        <v>4</v>
      </c>
      <c r="C275" t="s">
        <v>143</v>
      </c>
      <c r="D275" t="s">
        <v>141</v>
      </c>
      <c r="E275" t="s">
        <v>101</v>
      </c>
      <c r="F275">
        <v>24</v>
      </c>
      <c r="G275">
        <v>11.3</v>
      </c>
      <c r="H275">
        <v>14.9</v>
      </c>
      <c r="I275">
        <v>14.7</v>
      </c>
      <c r="J275">
        <v>17.399999999999999</v>
      </c>
      <c r="K275">
        <v>25.9</v>
      </c>
      <c r="L275">
        <v>19.399999999999999</v>
      </c>
      <c r="M275">
        <v>25.9</v>
      </c>
      <c r="N275">
        <v>23.8</v>
      </c>
      <c r="O275">
        <v>31.8</v>
      </c>
      <c r="P275">
        <v>26.7</v>
      </c>
      <c r="Q275">
        <v>40.200000000000003</v>
      </c>
      <c r="R275">
        <v>52.6</v>
      </c>
      <c r="S275">
        <v>29.9</v>
      </c>
      <c r="T275">
        <v>45.6</v>
      </c>
      <c r="U275">
        <v>35.4</v>
      </c>
      <c r="V275">
        <v>44.3</v>
      </c>
      <c r="W275">
        <v>48.7</v>
      </c>
      <c r="X275">
        <v>33.9</v>
      </c>
      <c r="Y275">
        <v>24.4</v>
      </c>
      <c r="Z275">
        <v>22.3</v>
      </c>
      <c r="AA275">
        <v>29.9</v>
      </c>
      <c r="AB275">
        <v>40.799999999999997</v>
      </c>
      <c r="AC275">
        <v>48</v>
      </c>
      <c r="AD275">
        <v>52.3</v>
      </c>
      <c r="AE275">
        <v>54.7</v>
      </c>
      <c r="AF275">
        <v>51.5</v>
      </c>
      <c r="AG275">
        <v>56.2</v>
      </c>
      <c r="AH275">
        <v>68.3</v>
      </c>
      <c r="AI275">
        <v>57.5</v>
      </c>
      <c r="AJ275">
        <v>59.5</v>
      </c>
      <c r="AK275">
        <v>68.8</v>
      </c>
      <c r="AL275">
        <v>66.099999999999994</v>
      </c>
      <c r="AM275">
        <v>80.8</v>
      </c>
      <c r="AN275">
        <v>86.5</v>
      </c>
      <c r="AO275">
        <v>100</v>
      </c>
      <c r="AP275">
        <v>97.4</v>
      </c>
      <c r="AQ275">
        <v>64.900000000000006</v>
      </c>
      <c r="AR275">
        <v>72.099999999999994</v>
      </c>
      <c r="AS275">
        <v>74.3</v>
      </c>
      <c r="AT275">
        <v>93.6</v>
      </c>
      <c r="AU275">
        <v>116.5</v>
      </c>
      <c r="AV275">
        <v>118.8</v>
      </c>
      <c r="AW275">
        <v>81.8</v>
      </c>
      <c r="AX275">
        <v>116.9</v>
      </c>
      <c r="AY275">
        <v>92</v>
      </c>
    </row>
    <row r="276" spans="1:51" x14ac:dyDescent="0.35">
      <c r="A276" t="s">
        <v>186</v>
      </c>
      <c r="B276">
        <f t="shared" si="6"/>
        <v>4</v>
      </c>
      <c r="C276" t="s">
        <v>143</v>
      </c>
      <c r="D276" t="s">
        <v>141</v>
      </c>
      <c r="E276" t="s">
        <v>96</v>
      </c>
      <c r="F276">
        <v>19</v>
      </c>
      <c r="G276">
        <v>37.5</v>
      </c>
      <c r="H276">
        <v>41.5</v>
      </c>
      <c r="I276">
        <v>41.9</v>
      </c>
      <c r="J276">
        <v>49.2</v>
      </c>
      <c r="K276">
        <v>50.7</v>
      </c>
      <c r="L276">
        <v>58.6</v>
      </c>
      <c r="M276">
        <v>61.1</v>
      </c>
      <c r="N276">
        <v>64.7</v>
      </c>
      <c r="O276">
        <v>62.5</v>
      </c>
      <c r="P276">
        <v>62.8</v>
      </c>
      <c r="Q276">
        <v>58.5</v>
      </c>
      <c r="R276">
        <v>66</v>
      </c>
      <c r="S276">
        <v>94.8</v>
      </c>
      <c r="T276">
        <v>76.2</v>
      </c>
      <c r="U276">
        <v>78.5</v>
      </c>
      <c r="V276">
        <v>84.9</v>
      </c>
      <c r="W276">
        <v>73.599999999999994</v>
      </c>
      <c r="X276">
        <v>79.7</v>
      </c>
      <c r="Y276">
        <v>78.3</v>
      </c>
      <c r="Z276">
        <v>69.400000000000006</v>
      </c>
      <c r="AA276">
        <v>90.3</v>
      </c>
      <c r="AB276">
        <v>76.3</v>
      </c>
      <c r="AC276">
        <v>75.3</v>
      </c>
      <c r="AD276">
        <v>78.599999999999994</v>
      </c>
      <c r="AE276">
        <v>69.8</v>
      </c>
      <c r="AF276">
        <v>86.2</v>
      </c>
      <c r="AG276">
        <v>77.8</v>
      </c>
      <c r="AH276">
        <v>80.900000000000006</v>
      </c>
      <c r="AI276">
        <v>80.599999999999994</v>
      </c>
      <c r="AJ276">
        <v>77.599999999999994</v>
      </c>
      <c r="AK276">
        <v>79.8</v>
      </c>
      <c r="AL276">
        <v>87.5</v>
      </c>
      <c r="AM276">
        <v>86.2</v>
      </c>
      <c r="AN276">
        <v>90</v>
      </c>
      <c r="AO276">
        <v>100</v>
      </c>
      <c r="AP276">
        <v>113.3</v>
      </c>
      <c r="AQ276">
        <v>110.3</v>
      </c>
      <c r="AR276">
        <v>118</v>
      </c>
      <c r="AS276">
        <v>106.8</v>
      </c>
      <c r="AT276">
        <v>111.4</v>
      </c>
      <c r="AU276">
        <v>146.5</v>
      </c>
      <c r="AV276">
        <v>167.9</v>
      </c>
      <c r="AW276">
        <v>124.1</v>
      </c>
      <c r="AX276">
        <v>201.9</v>
      </c>
      <c r="AY276">
        <v>160.80000000000001</v>
      </c>
    </row>
    <row r="277" spans="1:51" x14ac:dyDescent="0.35">
      <c r="A277" t="s">
        <v>186</v>
      </c>
      <c r="B277">
        <f t="shared" si="6"/>
        <v>4</v>
      </c>
      <c r="C277" t="s">
        <v>143</v>
      </c>
      <c r="D277" t="s">
        <v>141</v>
      </c>
      <c r="E277" t="s">
        <v>91</v>
      </c>
      <c r="F277">
        <v>11</v>
      </c>
      <c r="G277" t="e">
        <v>#N/A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>
        <v>15.8</v>
      </c>
      <c r="R277">
        <v>23</v>
      </c>
      <c r="S277">
        <v>20.399999999999999</v>
      </c>
      <c r="T277">
        <v>23.8</v>
      </c>
      <c r="U277">
        <v>23.9</v>
      </c>
      <c r="V277">
        <v>19.5</v>
      </c>
      <c r="W277">
        <v>21.4</v>
      </c>
      <c r="X277">
        <v>16.5</v>
      </c>
      <c r="Y277">
        <v>25.2</v>
      </c>
      <c r="Z277">
        <v>23.8</v>
      </c>
      <c r="AA277">
        <v>36</v>
      </c>
      <c r="AB277">
        <v>26.7</v>
      </c>
      <c r="AC277">
        <v>35.1</v>
      </c>
      <c r="AD277">
        <v>42.4</v>
      </c>
      <c r="AE277">
        <v>45.4</v>
      </c>
      <c r="AF277">
        <v>46.7</v>
      </c>
      <c r="AG277">
        <v>64.2</v>
      </c>
      <c r="AH277">
        <v>79.400000000000006</v>
      </c>
      <c r="AI277">
        <v>84.2</v>
      </c>
      <c r="AJ277">
        <v>77.599999999999994</v>
      </c>
      <c r="AK277">
        <v>85.9</v>
      </c>
      <c r="AL277">
        <v>87.3</v>
      </c>
      <c r="AM277">
        <v>98.6</v>
      </c>
      <c r="AN277">
        <v>90.9</v>
      </c>
      <c r="AO277">
        <v>100</v>
      </c>
      <c r="AP277">
        <v>103.3</v>
      </c>
      <c r="AQ277">
        <v>85</v>
      </c>
      <c r="AR277">
        <v>79.8</v>
      </c>
      <c r="AS277">
        <v>82.5</v>
      </c>
      <c r="AT277">
        <v>82.6</v>
      </c>
      <c r="AU277">
        <v>83.9</v>
      </c>
      <c r="AV277">
        <v>88.1</v>
      </c>
      <c r="AW277">
        <v>99.7</v>
      </c>
      <c r="AX277">
        <v>101.1</v>
      </c>
      <c r="AY277">
        <v>96.8</v>
      </c>
    </row>
    <row r="278" spans="1:51" x14ac:dyDescent="0.35">
      <c r="A278" t="s">
        <v>186</v>
      </c>
      <c r="B278">
        <f t="shared" si="6"/>
        <v>4</v>
      </c>
      <c r="C278" t="s">
        <v>143</v>
      </c>
      <c r="D278" t="s">
        <v>141</v>
      </c>
      <c r="E278" t="s">
        <v>90</v>
      </c>
      <c r="F278">
        <v>10</v>
      </c>
      <c r="G278">
        <v>4.3</v>
      </c>
      <c r="H278">
        <v>4.3</v>
      </c>
      <c r="I278">
        <v>6.9</v>
      </c>
      <c r="J278">
        <v>6.4</v>
      </c>
      <c r="K278">
        <v>7.3</v>
      </c>
      <c r="L278">
        <v>7.3</v>
      </c>
      <c r="M278">
        <v>6.8</v>
      </c>
      <c r="N278">
        <v>8.9</v>
      </c>
      <c r="O278">
        <v>8.4</v>
      </c>
      <c r="P278">
        <v>11.2</v>
      </c>
      <c r="Q278">
        <v>10.199999999999999</v>
      </c>
      <c r="R278">
        <v>13.2</v>
      </c>
      <c r="S278">
        <v>12.8</v>
      </c>
      <c r="T278">
        <v>15.8</v>
      </c>
      <c r="U278">
        <v>13.6</v>
      </c>
      <c r="V278">
        <v>13.3</v>
      </c>
      <c r="W278">
        <v>19.2</v>
      </c>
      <c r="X278">
        <v>17.5</v>
      </c>
      <c r="Y278">
        <v>17.3</v>
      </c>
      <c r="Z278">
        <v>18.2</v>
      </c>
      <c r="AA278">
        <v>24.6</v>
      </c>
      <c r="AB278">
        <v>29.1</v>
      </c>
      <c r="AC278">
        <v>32.4</v>
      </c>
      <c r="AD278">
        <v>36.4</v>
      </c>
      <c r="AE278">
        <v>40.200000000000003</v>
      </c>
      <c r="AF278">
        <v>47.3</v>
      </c>
      <c r="AG278">
        <v>51.2</v>
      </c>
      <c r="AH278">
        <v>55.8</v>
      </c>
      <c r="AI278">
        <v>55.5</v>
      </c>
      <c r="AJ278">
        <v>62.5</v>
      </c>
      <c r="AK278">
        <v>77.900000000000006</v>
      </c>
      <c r="AL278">
        <v>74.400000000000006</v>
      </c>
      <c r="AM278">
        <v>86.3</v>
      </c>
      <c r="AN278">
        <v>98.3</v>
      </c>
      <c r="AO278">
        <v>100</v>
      </c>
      <c r="AP278">
        <v>113.9</v>
      </c>
      <c r="AQ278">
        <v>148</v>
      </c>
      <c r="AR278">
        <v>155.69999999999999</v>
      </c>
      <c r="AS278">
        <v>250.4</v>
      </c>
      <c r="AT278">
        <v>231.1</v>
      </c>
      <c r="AU278">
        <v>251.3</v>
      </c>
      <c r="AV278">
        <v>220.6</v>
      </c>
      <c r="AW278">
        <v>195.7</v>
      </c>
      <c r="AX278">
        <v>221.4</v>
      </c>
      <c r="AY278">
        <v>265.89999999999998</v>
      </c>
    </row>
    <row r="279" spans="1:51" x14ac:dyDescent="0.35">
      <c r="A279" t="s">
        <v>186</v>
      </c>
      <c r="B279">
        <f t="shared" si="6"/>
        <v>4</v>
      </c>
      <c r="C279" t="s">
        <v>143</v>
      </c>
      <c r="D279" t="s">
        <v>141</v>
      </c>
      <c r="E279" t="s">
        <v>89</v>
      </c>
      <c r="F279">
        <v>9</v>
      </c>
      <c r="G279">
        <v>52.5</v>
      </c>
      <c r="H279">
        <v>47.3</v>
      </c>
      <c r="I279">
        <v>54.7</v>
      </c>
      <c r="J279">
        <v>59.4</v>
      </c>
      <c r="K279">
        <v>61.7</v>
      </c>
      <c r="L279">
        <v>61.1</v>
      </c>
      <c r="M279">
        <v>66.400000000000006</v>
      </c>
      <c r="N279">
        <v>64.599999999999994</v>
      </c>
      <c r="O279">
        <v>51.9</v>
      </c>
      <c r="P279">
        <v>61.4</v>
      </c>
      <c r="Q279">
        <v>64.3</v>
      </c>
      <c r="R279">
        <v>57.6</v>
      </c>
      <c r="S279">
        <v>68.2</v>
      </c>
      <c r="T279">
        <v>72.400000000000006</v>
      </c>
      <c r="U279">
        <v>63.7</v>
      </c>
      <c r="V279">
        <v>71</v>
      </c>
      <c r="W279">
        <v>75.3</v>
      </c>
      <c r="X279">
        <v>73.900000000000006</v>
      </c>
      <c r="Y279">
        <v>94.6</v>
      </c>
      <c r="Z279">
        <v>94.3</v>
      </c>
      <c r="AA279">
        <v>103</v>
      </c>
      <c r="AB279">
        <v>92.2</v>
      </c>
      <c r="AC279">
        <v>125.7</v>
      </c>
      <c r="AD279">
        <v>110.9</v>
      </c>
      <c r="AE279">
        <v>114.3</v>
      </c>
      <c r="AF279">
        <v>130.5</v>
      </c>
      <c r="AG279">
        <v>104.9</v>
      </c>
      <c r="AH279">
        <v>100.5</v>
      </c>
      <c r="AI279">
        <v>110.3</v>
      </c>
      <c r="AJ279">
        <v>110.1</v>
      </c>
      <c r="AK279">
        <v>133.69999999999999</v>
      </c>
      <c r="AL279">
        <v>94.4</v>
      </c>
      <c r="AM279">
        <v>93.9</v>
      </c>
      <c r="AN279">
        <v>110.6</v>
      </c>
      <c r="AO279">
        <v>100</v>
      </c>
      <c r="AP279">
        <v>118.6</v>
      </c>
      <c r="AQ279">
        <v>144.1</v>
      </c>
      <c r="AR279">
        <v>136.9</v>
      </c>
      <c r="AS279">
        <v>150.9</v>
      </c>
      <c r="AT279">
        <v>123.4</v>
      </c>
      <c r="AU279">
        <v>156.4</v>
      </c>
      <c r="AV279">
        <v>152.19999999999999</v>
      </c>
      <c r="AW279">
        <v>157.30000000000001</v>
      </c>
      <c r="AX279">
        <v>146.19999999999999</v>
      </c>
      <c r="AY279">
        <v>165.4</v>
      </c>
    </row>
    <row r="280" spans="1:51" x14ac:dyDescent="0.35">
      <c r="A280" t="s">
        <v>186</v>
      </c>
      <c r="B280">
        <f t="shared" si="6"/>
        <v>4</v>
      </c>
      <c r="C280" t="s">
        <v>143</v>
      </c>
      <c r="D280" t="s">
        <v>141</v>
      </c>
      <c r="E280" t="s">
        <v>88</v>
      </c>
      <c r="F280">
        <v>8</v>
      </c>
      <c r="G280">
        <v>83.9</v>
      </c>
      <c r="H280">
        <v>79.900000000000006</v>
      </c>
      <c r="I280">
        <v>95.5</v>
      </c>
      <c r="J280">
        <v>80.2</v>
      </c>
      <c r="K280">
        <v>84</v>
      </c>
      <c r="L280">
        <v>84.9</v>
      </c>
      <c r="M280">
        <v>83.3</v>
      </c>
      <c r="N280">
        <v>95.1</v>
      </c>
      <c r="O280">
        <v>94.6</v>
      </c>
      <c r="P280">
        <v>98.7</v>
      </c>
      <c r="Q280">
        <v>89.6</v>
      </c>
      <c r="R280">
        <v>100.8</v>
      </c>
      <c r="S280">
        <v>98.8</v>
      </c>
      <c r="T280">
        <v>102.9</v>
      </c>
      <c r="U280">
        <v>92.6</v>
      </c>
      <c r="V280">
        <v>114.7</v>
      </c>
      <c r="W280">
        <v>110</v>
      </c>
      <c r="X280">
        <v>94.3</v>
      </c>
      <c r="Y280">
        <v>112</v>
      </c>
      <c r="Z280">
        <v>77.3</v>
      </c>
      <c r="AA280">
        <v>98.3</v>
      </c>
      <c r="AB280">
        <v>108.3</v>
      </c>
      <c r="AC280">
        <v>76.599999999999994</v>
      </c>
      <c r="AD280">
        <v>122.2</v>
      </c>
      <c r="AE280">
        <v>115.8</v>
      </c>
      <c r="AF280">
        <v>120</v>
      </c>
      <c r="AG280">
        <v>108.7</v>
      </c>
      <c r="AH280">
        <v>100.5</v>
      </c>
      <c r="AI280">
        <v>111.3</v>
      </c>
      <c r="AJ280">
        <v>102.1</v>
      </c>
      <c r="AK280">
        <v>117.4</v>
      </c>
      <c r="AL280">
        <v>110.2</v>
      </c>
      <c r="AM280">
        <v>117</v>
      </c>
      <c r="AN280">
        <v>110.9</v>
      </c>
      <c r="AO280">
        <v>100</v>
      </c>
      <c r="AP280">
        <v>107</v>
      </c>
      <c r="AQ280">
        <v>109.6</v>
      </c>
      <c r="AR280">
        <v>109.1</v>
      </c>
      <c r="AS280">
        <v>129.80000000000001</v>
      </c>
      <c r="AT280">
        <v>134.6</v>
      </c>
      <c r="AU280">
        <v>82.1</v>
      </c>
      <c r="AV280">
        <v>96.9</v>
      </c>
      <c r="AW280">
        <v>79.5</v>
      </c>
      <c r="AX280">
        <v>102.3</v>
      </c>
      <c r="AY280">
        <v>108.7</v>
      </c>
    </row>
    <row r="281" spans="1:51" x14ac:dyDescent="0.35">
      <c r="A281" t="s">
        <v>186</v>
      </c>
      <c r="B281">
        <f t="shared" si="6"/>
        <v>4</v>
      </c>
      <c r="C281" t="s">
        <v>143</v>
      </c>
      <c r="D281" t="s">
        <v>141</v>
      </c>
      <c r="E281" t="s">
        <v>87</v>
      </c>
      <c r="F281">
        <v>7</v>
      </c>
      <c r="G281">
        <v>26.4</v>
      </c>
      <c r="H281">
        <v>27.8</v>
      </c>
      <c r="I281">
        <v>30</v>
      </c>
      <c r="J281">
        <v>35.1</v>
      </c>
      <c r="K281">
        <v>35</v>
      </c>
      <c r="L281">
        <v>34.1</v>
      </c>
      <c r="M281">
        <v>32.200000000000003</v>
      </c>
      <c r="N281">
        <v>34.9</v>
      </c>
      <c r="O281">
        <v>39.5</v>
      </c>
      <c r="P281">
        <v>42.8</v>
      </c>
      <c r="Q281">
        <v>39.1</v>
      </c>
      <c r="R281">
        <v>46.9</v>
      </c>
      <c r="S281">
        <v>37.6</v>
      </c>
      <c r="T281">
        <v>39.1</v>
      </c>
      <c r="U281">
        <v>42.2</v>
      </c>
      <c r="V281">
        <v>44.7</v>
      </c>
      <c r="W281">
        <v>45</v>
      </c>
      <c r="X281">
        <v>53.3</v>
      </c>
      <c r="Y281">
        <v>40.799999999999997</v>
      </c>
      <c r="Z281">
        <v>37.4</v>
      </c>
      <c r="AA281">
        <v>46.5</v>
      </c>
      <c r="AB281">
        <v>40.5</v>
      </c>
      <c r="AC281">
        <v>46.1</v>
      </c>
      <c r="AD281">
        <v>52.1</v>
      </c>
      <c r="AE281">
        <v>56</v>
      </c>
      <c r="AF281">
        <v>62.1</v>
      </c>
      <c r="AG281">
        <v>65.2</v>
      </c>
      <c r="AH281">
        <v>65.599999999999994</v>
      </c>
      <c r="AI281">
        <v>88.1</v>
      </c>
      <c r="AJ281">
        <v>71.8</v>
      </c>
      <c r="AK281">
        <v>89.6</v>
      </c>
      <c r="AL281">
        <v>92</v>
      </c>
      <c r="AM281">
        <v>93.1</v>
      </c>
      <c r="AN281">
        <v>92</v>
      </c>
      <c r="AO281">
        <v>100</v>
      </c>
      <c r="AP281">
        <v>103.9</v>
      </c>
      <c r="AQ281">
        <v>84.5</v>
      </c>
      <c r="AR281">
        <v>103.8</v>
      </c>
      <c r="AS281">
        <v>98.9</v>
      </c>
      <c r="AT281">
        <v>80.5</v>
      </c>
      <c r="AU281">
        <v>106.5</v>
      </c>
      <c r="AV281">
        <v>120.5</v>
      </c>
      <c r="AW281">
        <v>108.9</v>
      </c>
      <c r="AX281">
        <v>124</v>
      </c>
      <c r="AY281">
        <v>142.4</v>
      </c>
    </row>
  </sheetData>
  <sortState xmlns:xlrd2="http://schemas.microsoft.com/office/spreadsheetml/2017/richdata2" ref="A2:AY281">
    <sortCondition ref="D2:D281"/>
    <sortCondition ref="C2:C281"/>
    <sortCondition descending="1" ref="F2:F28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DA86-F613-4B62-8D72-F6DDAD649B01}">
  <dimension ref="A1:CH54"/>
  <sheetViews>
    <sheetView workbookViewId="0">
      <pane xSplit="1" ySplit="9" topLeftCell="BF10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RowHeight="14.5" x14ac:dyDescent="0.35"/>
  <cols>
    <col min="37" max="37" width="1.6328125" style="37" customWidth="1"/>
    <col min="44" max="45" width="8.7265625" style="40"/>
    <col min="48" max="49" width="8.7265625" style="40"/>
    <col min="52" max="53" width="8.7265625" style="39"/>
    <col min="61" max="61" width="8.7265625" style="50"/>
    <col min="66" max="66" width="0.453125" style="37" customWidth="1"/>
    <col min="74" max="74" width="8.7265625" style="48"/>
    <col min="78" max="78" width="0.453125" style="37" customWidth="1"/>
    <col min="85" max="85" width="8.7265625" style="48"/>
  </cols>
  <sheetData>
    <row r="1" spans="1:86" x14ac:dyDescent="0.35">
      <c r="B1" t="s">
        <v>140</v>
      </c>
      <c r="C1" t="s">
        <v>143</v>
      </c>
      <c r="D1" t="s">
        <v>140</v>
      </c>
      <c r="E1" t="s">
        <v>143</v>
      </c>
      <c r="F1" t="s">
        <v>140</v>
      </c>
      <c r="G1" t="s">
        <v>143</v>
      </c>
      <c r="J1" t="str">
        <f>MajorData!G1</f>
        <v>Export</v>
      </c>
      <c r="K1" t="str">
        <f>MajorData!J1</f>
        <v>Export</v>
      </c>
      <c r="L1" s="17" t="str">
        <f>MajorData!N1</f>
        <v>Export</v>
      </c>
      <c r="M1" t="str">
        <f>MajorData!P1</f>
        <v>Export</v>
      </c>
      <c r="N1" t="str">
        <f>MajorData!U1</f>
        <v>Export</v>
      </c>
      <c r="O1" t="str">
        <f>MajorData!V1</f>
        <v>Export</v>
      </c>
      <c r="P1" t="str">
        <f>IntData!T1</f>
        <v>Export</v>
      </c>
      <c r="Q1" t="str">
        <f>IntData!U1</f>
        <v>Export</v>
      </c>
      <c r="R1" t="str">
        <f>IntData!V1</f>
        <v>Export</v>
      </c>
      <c r="S1" t="str">
        <f>IntData!W1</f>
        <v>Export</v>
      </c>
      <c r="T1" t="s">
        <v>279</v>
      </c>
      <c r="U1" t="s">
        <v>279</v>
      </c>
      <c r="Z1" t="str">
        <f t="shared" ref="Z1:AG1" si="0">J1</f>
        <v>Export</v>
      </c>
      <c r="AA1" t="str">
        <f t="shared" si="0"/>
        <v>Export</v>
      </c>
      <c r="AB1" t="str">
        <f t="shared" si="0"/>
        <v>Export</v>
      </c>
      <c r="AC1" t="str">
        <f t="shared" si="0"/>
        <v>Export</v>
      </c>
      <c r="AD1" t="str">
        <f t="shared" si="0"/>
        <v>Export</v>
      </c>
      <c r="AE1" t="str">
        <f t="shared" si="0"/>
        <v>Export</v>
      </c>
      <c r="AF1" t="str">
        <f t="shared" si="0"/>
        <v>Export</v>
      </c>
      <c r="AG1" t="str">
        <f t="shared" si="0"/>
        <v>Export</v>
      </c>
      <c r="AH1" t="str">
        <f>S1</f>
        <v>Export</v>
      </c>
      <c r="AL1" t="str">
        <f>B1</f>
        <v>Export</v>
      </c>
      <c r="AM1" t="s">
        <v>140</v>
      </c>
      <c r="AN1" t="s">
        <v>140</v>
      </c>
      <c r="AP1" s="17" t="str">
        <f>MajorData!O1</f>
        <v>Export</v>
      </c>
      <c r="AQ1" t="str">
        <f>MajorData!S1</f>
        <v>Export</v>
      </c>
      <c r="AR1" s="40" t="str">
        <f>MajorData!T1</f>
        <v>Export</v>
      </c>
      <c r="AS1" s="40" t="s">
        <v>140</v>
      </c>
      <c r="AU1" t="str">
        <f>MajorData!I1</f>
        <v>Export</v>
      </c>
      <c r="AV1" s="40" t="s">
        <v>140</v>
      </c>
      <c r="AW1" s="40" t="s">
        <v>140</v>
      </c>
      <c r="AX1" t="str">
        <f>MajorData!Q1</f>
        <v>Export</v>
      </c>
      <c r="AY1" t="s">
        <v>140</v>
      </c>
      <c r="AZ1" s="39" t="s">
        <v>140</v>
      </c>
      <c r="BA1" s="39" t="s">
        <v>140</v>
      </c>
      <c r="BC1" t="str">
        <f>MajorData!C1</f>
        <v>Export</v>
      </c>
      <c r="BD1" t="str">
        <f>MajorData!E1</f>
        <v>Export</v>
      </c>
      <c r="BF1" t="str">
        <f>MajorData!L1</f>
        <v>Export</v>
      </c>
      <c r="BG1" t="str">
        <f>MajorData!M1</f>
        <v>Export</v>
      </c>
      <c r="BH1" t="str">
        <f>MajorData!M1</f>
        <v>Export</v>
      </c>
      <c r="BI1" s="50" t="str">
        <f>MajorData!N1</f>
        <v>Export</v>
      </c>
      <c r="BJ1" t="str">
        <f>MajorData!N1</f>
        <v>Export</v>
      </c>
      <c r="BK1" t="s">
        <v>140</v>
      </c>
      <c r="BL1" t="str">
        <f>MajorData!O1</f>
        <v>Export</v>
      </c>
      <c r="BM1" t="str">
        <f>MajorData!P1</f>
        <v>Export</v>
      </c>
      <c r="BO1" t="s">
        <v>140</v>
      </c>
      <c r="BP1" t="s">
        <v>140</v>
      </c>
      <c r="BQ1" t="str">
        <f>IntData!T1</f>
        <v>Export</v>
      </c>
      <c r="BS1" t="s">
        <v>140</v>
      </c>
      <c r="BT1" t="s">
        <v>140</v>
      </c>
      <c r="BU1" t="s">
        <v>140</v>
      </c>
      <c r="BV1" s="48" t="s">
        <v>140</v>
      </c>
      <c r="BX1" t="str">
        <f>IntData!K1</f>
        <v>Export</v>
      </c>
      <c r="BY1" t="str">
        <f>MinorData!DR1</f>
        <v>Export</v>
      </c>
      <c r="CA1" t="s">
        <v>140</v>
      </c>
      <c r="CB1" t="s">
        <v>140</v>
      </c>
      <c r="CD1" s="17" t="str">
        <f>IntData!U1</f>
        <v>Export</v>
      </c>
      <c r="CF1" t="s">
        <v>140</v>
      </c>
      <c r="CG1" s="48" t="s">
        <v>140</v>
      </c>
      <c r="CH1" t="str">
        <f>IntData!L1</f>
        <v>Export</v>
      </c>
    </row>
    <row r="2" spans="1:86" x14ac:dyDescent="0.35">
      <c r="B2" t="s">
        <v>142</v>
      </c>
      <c r="C2" t="s">
        <v>142</v>
      </c>
      <c r="D2" t="s">
        <v>142</v>
      </c>
      <c r="E2" t="s">
        <v>142</v>
      </c>
      <c r="F2" t="s">
        <v>142</v>
      </c>
      <c r="G2" t="s">
        <v>142</v>
      </c>
      <c r="J2" t="str">
        <f>MajorData!G2</f>
        <v>$mn</v>
      </c>
      <c r="K2" t="str">
        <f>MajorData!J2</f>
        <v>$mn</v>
      </c>
      <c r="L2" s="17" t="str">
        <f>MajorData!N2</f>
        <v>$mn</v>
      </c>
      <c r="M2" t="str">
        <f>MajorData!P2</f>
        <v>$mn</v>
      </c>
      <c r="N2" t="str">
        <f>MajorData!U2</f>
        <v>$mn</v>
      </c>
      <c r="O2" t="str">
        <f>MajorData!V2</f>
        <v>$mn</v>
      </c>
      <c r="P2" t="str">
        <f>IntData!T2</f>
        <v>$mn</v>
      </c>
      <c r="Q2" t="str">
        <f>IntData!U2</f>
        <v>$mn</v>
      </c>
      <c r="R2" t="str">
        <f>IntData!V2</f>
        <v>$mn</v>
      </c>
      <c r="S2" t="str">
        <f>IntData!W2</f>
        <v>$mn</v>
      </c>
      <c r="T2" t="str">
        <f>IntData!X2</f>
        <v>$mn</v>
      </c>
      <c r="U2" t="str">
        <f>IntData!Y2</f>
        <v>$mn</v>
      </c>
      <c r="Z2" t="s">
        <v>276</v>
      </c>
      <c r="AA2" t="s">
        <v>276</v>
      </c>
      <c r="AB2" t="s">
        <v>276</v>
      </c>
      <c r="AC2" t="s">
        <v>276</v>
      </c>
      <c r="AD2" t="s">
        <v>276</v>
      </c>
      <c r="AE2" t="s">
        <v>276</v>
      </c>
      <c r="AF2" t="s">
        <v>276</v>
      </c>
      <c r="AG2" t="s">
        <v>276</v>
      </c>
      <c r="AH2" t="s">
        <v>276</v>
      </c>
      <c r="AL2" t="str">
        <f t="shared" ref="AL2:AM3" si="1">B2</f>
        <v>$mn</v>
      </c>
      <c r="AM2" t="str">
        <f t="shared" si="1"/>
        <v>$mn</v>
      </c>
      <c r="AN2" t="s">
        <v>284</v>
      </c>
      <c r="AP2" s="17" t="str">
        <f>MajorData!O2</f>
        <v>$mn</v>
      </c>
      <c r="AQ2" t="str">
        <f>MajorData!S2</f>
        <v>$mn</v>
      </c>
      <c r="AR2" s="40" t="str">
        <f>MajorData!T2</f>
        <v>$mn</v>
      </c>
      <c r="AS2" s="40" t="s">
        <v>284</v>
      </c>
      <c r="AU2" t="str">
        <f>MajorData!I2</f>
        <v>$mn</v>
      </c>
      <c r="AV2" s="40" t="s">
        <v>142</v>
      </c>
      <c r="AW2" s="40" t="s">
        <v>284</v>
      </c>
      <c r="AX2" t="str">
        <f>MajorData!Q2</f>
        <v>$mn</v>
      </c>
      <c r="AY2" t="s">
        <v>306</v>
      </c>
      <c r="AZ2" s="39" t="str">
        <f>MajorData!R2</f>
        <v>$mn</v>
      </c>
      <c r="BA2" s="39" t="s">
        <v>284</v>
      </c>
      <c r="BC2" t="str">
        <f>MajorData!C2</f>
        <v>$mn</v>
      </c>
      <c r="BD2" t="str">
        <f>MajorData!E2</f>
        <v>$mn</v>
      </c>
      <c r="BF2" t="str">
        <f>MajorData!L2</f>
        <v>$mn</v>
      </c>
      <c r="BG2" t="s">
        <v>306</v>
      </c>
      <c r="BH2" t="str">
        <f>MajorData!M2</f>
        <v>$mn</v>
      </c>
      <c r="BI2" s="50" t="s">
        <v>284</v>
      </c>
      <c r="BJ2" t="str">
        <f>MajorData!N2</f>
        <v>$mn</v>
      </c>
      <c r="BK2" t="s">
        <v>306</v>
      </c>
      <c r="BL2" t="str">
        <f>MajorData!O2</f>
        <v>$mn</v>
      </c>
      <c r="BM2" t="s">
        <v>284</v>
      </c>
      <c r="BO2" t="s">
        <v>290</v>
      </c>
      <c r="BP2" t="s">
        <v>296</v>
      </c>
      <c r="BQ2" t="str">
        <f>IntData!T2</f>
        <v>$mn</v>
      </c>
      <c r="BS2" t="s">
        <v>290</v>
      </c>
      <c r="BT2" t="s">
        <v>296</v>
      </c>
      <c r="BU2" t="s">
        <v>290</v>
      </c>
      <c r="BV2" s="48" t="s">
        <v>296</v>
      </c>
      <c r="BX2" t="str">
        <f>IntData!K2</f>
        <v>$mn</v>
      </c>
      <c r="BY2" t="str">
        <f>MinorData!DR2</f>
        <v>$mn</v>
      </c>
      <c r="CA2" t="s">
        <v>290</v>
      </c>
      <c r="CB2" t="s">
        <v>296</v>
      </c>
      <c r="CD2" s="17" t="str">
        <f>IntData!U2</f>
        <v>$mn</v>
      </c>
      <c r="CF2" t="s">
        <v>290</v>
      </c>
      <c r="CG2" s="48" t="s">
        <v>296</v>
      </c>
      <c r="CH2" t="str">
        <f>IntData!L2</f>
        <v>$mn</v>
      </c>
    </row>
    <row r="3" spans="1:86" s="35" customFormat="1" ht="33" customHeight="1" x14ac:dyDescent="0.35">
      <c r="B3" s="35" t="s">
        <v>180</v>
      </c>
      <c r="C3" s="35" t="s">
        <v>180</v>
      </c>
      <c r="D3" s="35" t="s">
        <v>179</v>
      </c>
      <c r="E3" s="35" t="s">
        <v>179</v>
      </c>
      <c r="F3" s="35" t="s">
        <v>184</v>
      </c>
      <c r="G3" s="35" t="s">
        <v>184</v>
      </c>
      <c r="J3" s="35" t="str">
        <f>MajorData!G3</f>
        <v>Agricultural foodstuffs, including tobacco</v>
      </c>
      <c r="K3" s="35" t="str">
        <f>MajorData!J3</f>
        <v>Agricultural products</v>
      </c>
      <c r="L3" s="36" t="str">
        <f>MajorData!N3</f>
        <v>Semimanufactured products</v>
      </c>
      <c r="M3" s="35" t="str">
        <f>MajorData!P3</f>
        <v>Manufactured products, including tobacco manufactures</v>
      </c>
      <c r="N3" s="35" t="str">
        <f>MajorData!U3</f>
        <v>Total products other than those of animal or vegetable origin</v>
      </c>
      <c r="O3" s="35" t="str">
        <f>MajorData!V3</f>
        <v>Total nonagricultural products</v>
      </c>
      <c r="P3" s="35" t="str">
        <f>IntData!T3</f>
        <v>Crude materials</v>
      </c>
      <c r="Q3" s="35" t="str">
        <f>IntData!U3</f>
        <v>Semimanufactures</v>
      </c>
      <c r="R3" s="35" t="str">
        <f>IntData!V3</f>
        <v>Manufactured metal products</v>
      </c>
      <c r="S3" s="35" t="str">
        <f>IntData!W3</f>
        <v>Manufactured products, including rubber, books, and other printed matter</v>
      </c>
      <c r="T3" s="35" t="s">
        <v>277</v>
      </c>
      <c r="U3" s="35" t="s">
        <v>278</v>
      </c>
      <c r="Z3" s="35" t="str">
        <f t="shared" ref="Z3:AG3" si="2">J3</f>
        <v>Agricultural foodstuffs, including tobacco</v>
      </c>
      <c r="AA3" s="35" t="str">
        <f t="shared" si="2"/>
        <v>Agricultural products</v>
      </c>
      <c r="AB3" s="35" t="str">
        <f t="shared" si="2"/>
        <v>Semimanufactured products</v>
      </c>
      <c r="AC3" s="35" t="str">
        <f t="shared" si="2"/>
        <v>Manufactured products, including tobacco manufactures</v>
      </c>
      <c r="AD3" s="35" t="str">
        <f t="shared" si="2"/>
        <v>Total products other than those of animal or vegetable origin</v>
      </c>
      <c r="AE3" s="35" t="str">
        <f t="shared" si="2"/>
        <v>Total nonagricultural products</v>
      </c>
      <c r="AF3" s="35" t="str">
        <f t="shared" si="2"/>
        <v>Crude materials</v>
      </c>
      <c r="AG3" s="35" t="str">
        <f t="shared" si="2"/>
        <v>Semimanufactures</v>
      </c>
      <c r="AH3" s="35" t="str">
        <f>S3</f>
        <v>Manufactured products, including rubber, books, and other printed matter</v>
      </c>
      <c r="AK3" s="38"/>
      <c r="AL3" s="35" t="str">
        <f t="shared" si="1"/>
        <v>Grand Total</v>
      </c>
      <c r="AM3" s="35" t="s">
        <v>280</v>
      </c>
      <c r="AN3" s="35" t="s">
        <v>280</v>
      </c>
      <c r="AP3" s="36" t="str">
        <f>MajorData!O3</f>
        <v>Manufactured products, excluding tobacco manufactures</v>
      </c>
      <c r="AQ3" s="35" t="str">
        <f>MajorData!S3</f>
        <v>Crude materials, semimanufactures and foods, including tobacco and products</v>
      </c>
      <c r="AR3" s="44" t="s">
        <v>281</v>
      </c>
      <c r="AS3" s="44" t="s">
        <v>281</v>
      </c>
      <c r="AU3" s="35" t="str">
        <f>MajorData!I3</f>
        <v>Foodstuffs, including tobacco and products</v>
      </c>
      <c r="AV3" s="44" t="s">
        <v>281</v>
      </c>
      <c r="AW3" s="44" t="s">
        <v>281</v>
      </c>
      <c r="AX3" s="35" t="s">
        <v>163</v>
      </c>
      <c r="AY3" s="35" t="s">
        <v>163</v>
      </c>
      <c r="AZ3" s="45" t="s">
        <v>281</v>
      </c>
      <c r="BA3" s="45" t="s">
        <v>281</v>
      </c>
      <c r="BC3" s="35" t="str">
        <f>MajorData!C3</f>
        <v>Crude foodstuffs, including tobacco</v>
      </c>
      <c r="BD3" s="35" t="str">
        <f>MajorData!E3</f>
        <v>Manufactured foodstuffs, including tobacco</v>
      </c>
      <c r="BF3" s="35" t="str">
        <f>MajorData!L3</f>
        <v>Crude materials, excluding tobacco</v>
      </c>
      <c r="BG3" s="35" t="s">
        <v>158</v>
      </c>
      <c r="BH3" s="35" t="s">
        <v>281</v>
      </c>
      <c r="BI3" s="51" t="s">
        <v>281</v>
      </c>
      <c r="BJ3" s="35" t="str">
        <f>MajorData!N3</f>
        <v>Semimanufactured products</v>
      </c>
      <c r="BK3" s="35" t="s">
        <v>160</v>
      </c>
      <c r="BL3" s="35" t="s">
        <v>281</v>
      </c>
      <c r="BM3" s="35" t="s">
        <v>281</v>
      </c>
      <c r="BN3" s="38"/>
      <c r="BO3" s="46" t="s">
        <v>294</v>
      </c>
      <c r="BP3" s="46" t="s">
        <v>294</v>
      </c>
      <c r="BQ3" t="str">
        <f>IntData!T3</f>
        <v>Crude materials</v>
      </c>
      <c r="BR3" s="46"/>
      <c r="BS3" s="12" t="s">
        <v>298</v>
      </c>
      <c r="BT3" s="12" t="s">
        <v>298</v>
      </c>
      <c r="BU3" s="46" t="s">
        <v>297</v>
      </c>
      <c r="BV3" s="49" t="s">
        <v>297</v>
      </c>
      <c r="BW3" s="46"/>
      <c r="BX3" t="str">
        <f>IntData!K3</f>
        <v>Crude, including tobacco</v>
      </c>
      <c r="BY3" t="str">
        <f>MinorData!DR3</f>
        <v>Crude tobacco</v>
      </c>
      <c r="BZ3" s="47"/>
      <c r="CA3" s="35" t="s">
        <v>292</v>
      </c>
      <c r="CB3" s="35" t="s">
        <v>292</v>
      </c>
      <c r="CD3" s="36" t="s">
        <v>293</v>
      </c>
      <c r="CF3" s="35" t="s">
        <v>302</v>
      </c>
      <c r="CG3" s="53" t="s">
        <v>302</v>
      </c>
      <c r="CH3" t="s">
        <v>301</v>
      </c>
    </row>
    <row r="4" spans="1:86" x14ac:dyDescent="0.35">
      <c r="J4">
        <f>MajorData!G4</f>
        <v>206</v>
      </c>
      <c r="K4">
        <f>MajorData!J4</f>
        <v>209</v>
      </c>
      <c r="L4" s="17">
        <f>MajorData!N4</f>
        <v>213</v>
      </c>
      <c r="M4">
        <f>MajorData!P4</f>
        <v>215</v>
      </c>
      <c r="N4">
        <f>MajorData!U4</f>
        <v>221</v>
      </c>
      <c r="O4">
        <f>MajorData!V4</f>
        <v>222</v>
      </c>
      <c r="P4">
        <v>144</v>
      </c>
      <c r="Q4">
        <v>145</v>
      </c>
      <c r="R4">
        <v>146</v>
      </c>
      <c r="S4">
        <v>147</v>
      </c>
      <c r="T4" t="s">
        <v>310</v>
      </c>
      <c r="V4" t="s">
        <v>312</v>
      </c>
      <c r="W4" t="s">
        <v>311</v>
      </c>
      <c r="AM4" t="s">
        <v>282</v>
      </c>
      <c r="AN4" t="s">
        <v>282</v>
      </c>
      <c r="AP4" s="17">
        <f>MajorData!O4</f>
        <v>214</v>
      </c>
      <c r="AQ4">
        <f>MajorData!S4</f>
        <v>218</v>
      </c>
      <c r="AR4" s="40" t="s">
        <v>283</v>
      </c>
      <c r="AS4" s="40" t="s">
        <v>283</v>
      </c>
      <c r="AU4">
        <v>208</v>
      </c>
      <c r="AV4" s="40" t="s">
        <v>286</v>
      </c>
      <c r="AW4" s="40" t="s">
        <v>286</v>
      </c>
      <c r="AX4">
        <v>216</v>
      </c>
      <c r="AY4">
        <v>216</v>
      </c>
      <c r="AZ4" s="39" t="s">
        <v>285</v>
      </c>
      <c r="BA4" s="39" t="s">
        <v>285</v>
      </c>
      <c r="BC4">
        <f>MajorData!C4</f>
        <v>202</v>
      </c>
      <c r="BD4">
        <f>MajorData!E4</f>
        <v>204</v>
      </c>
      <c r="BF4">
        <f>MajorData!L4</f>
        <v>211</v>
      </c>
      <c r="BG4">
        <v>211</v>
      </c>
      <c r="BH4" t="s">
        <v>287</v>
      </c>
      <c r="BI4" s="50" t="s">
        <v>287</v>
      </c>
      <c r="BJ4">
        <f>MajorData!N4</f>
        <v>213</v>
      </c>
      <c r="BK4">
        <v>213</v>
      </c>
      <c r="BL4" t="s">
        <v>288</v>
      </c>
      <c r="BM4" t="s">
        <v>288</v>
      </c>
      <c r="BO4">
        <v>129</v>
      </c>
      <c r="BP4" t="s">
        <v>295</v>
      </c>
      <c r="BQ4">
        <f>IntData!T4</f>
        <v>144</v>
      </c>
      <c r="BS4">
        <v>124</v>
      </c>
      <c r="BT4" t="s">
        <v>299</v>
      </c>
      <c r="BU4">
        <v>127</v>
      </c>
      <c r="BV4" s="48" t="s">
        <v>300</v>
      </c>
      <c r="BX4">
        <f>IntData!K4</f>
        <v>125</v>
      </c>
      <c r="BY4">
        <f>MinorData!DR4</f>
        <v>25</v>
      </c>
      <c r="CA4">
        <v>131</v>
      </c>
      <c r="CB4" t="s">
        <v>303</v>
      </c>
      <c r="CD4" s="17">
        <f>IntData!U4</f>
        <v>145</v>
      </c>
      <c r="CF4">
        <v>126</v>
      </c>
      <c r="CG4" s="48" t="s">
        <v>304</v>
      </c>
      <c r="CH4">
        <f>IntData!L4</f>
        <v>128</v>
      </c>
    </row>
    <row r="5" spans="1:86" x14ac:dyDescent="0.35">
      <c r="A5" t="s">
        <v>181</v>
      </c>
      <c r="B5" s="14">
        <f t="array" ref="B5">AVERAGE(B10:B54)</f>
        <v>2084.4444444444443</v>
      </c>
      <c r="C5" s="14">
        <f t="array" ref="C5">AVERAGE(C10:C54)</f>
        <v>1410.6222222222223</v>
      </c>
      <c r="D5" s="14">
        <f t="array" ref="D5">AVERAGE(D10:D54)</f>
        <v>1794.9577777777772</v>
      </c>
      <c r="E5" s="14">
        <f t="array" ref="E5">AVERAGE(E10:E54)</f>
        <v>1050.9066666666668</v>
      </c>
      <c r="F5" s="15">
        <f>D5/B5</f>
        <v>0.86112046908315543</v>
      </c>
      <c r="G5" s="15">
        <f>E5/C5</f>
        <v>0.74499511641828664</v>
      </c>
      <c r="V5" s="15">
        <f>AVERAGE(V10:V54)</f>
        <v>1.0002113122934957</v>
      </c>
      <c r="W5" s="15">
        <f>AVERAGE(W10:W54)</f>
        <v>0.69210350156761169</v>
      </c>
      <c r="X5" s="15"/>
      <c r="AJ5" s="18">
        <f t="array" ref="AJ5">AVERAGE(AJ10:AJ54)</f>
        <v>0.9586109536005476</v>
      </c>
      <c r="AN5" s="18">
        <f t="array" ref="AN5">AVERAGE(AN10:AN54)</f>
        <v>0.99461200914383396</v>
      </c>
      <c r="AS5" s="41">
        <f t="array" ref="AS5">AVERAGE(AS10:AS54)</f>
        <v>0.99982508993930896</v>
      </c>
      <c r="AW5" s="41">
        <f t="array" ref="AW5">AVERAGE(AW10:AW54)</f>
        <v>1.0000602607753402</v>
      </c>
      <c r="BA5" s="39" t="s">
        <v>291</v>
      </c>
      <c r="BG5" s="13">
        <f t="array" ref="BG5">AVERAGE(BG10:BG54)</f>
        <v>0.71379100034893728</v>
      </c>
      <c r="BI5" s="52">
        <f t="array" ref="BI5">AVERAGE(BI10:BI54)</f>
        <v>0.97732999286400868</v>
      </c>
      <c r="BK5" s="13">
        <f t="array" ref="BK5">AVERAGE(BK10:BK54)</f>
        <v>0.77818170130645592</v>
      </c>
      <c r="BM5" s="13">
        <f t="array" ref="BM5">AVERAGE(BM10:BM54)</f>
        <v>0.40841617826812732</v>
      </c>
    </row>
    <row r="6" spans="1:86" x14ac:dyDescent="0.35">
      <c r="A6" t="s">
        <v>182</v>
      </c>
      <c r="B6" s="14">
        <f t="array" ref="B6">STDEV(B10:B54)</f>
        <v>1912.4165882648861</v>
      </c>
      <c r="C6" s="14">
        <f t="array" ref="C6">STDEV(C10:C54)</f>
        <v>1056.7780210898529</v>
      </c>
      <c r="D6" s="14">
        <f t="array" ref="D6">STDEV(D10:D54)</f>
        <v>1618.6579514704729</v>
      </c>
      <c r="E6" s="14">
        <f t="array" ref="E6">STDEV(E10:E54)</f>
        <v>754.61710049775309</v>
      </c>
      <c r="F6" s="15" t="s">
        <v>185</v>
      </c>
      <c r="G6" s="15" t="s">
        <v>185</v>
      </c>
      <c r="V6" s="18"/>
      <c r="W6" s="18"/>
      <c r="X6" s="18"/>
      <c r="AJ6" s="18"/>
      <c r="AN6" s="18"/>
      <c r="AS6" s="41"/>
      <c r="AW6" s="41"/>
      <c r="BI6" s="52"/>
      <c r="BL6" t="s">
        <v>289</v>
      </c>
      <c r="BM6" t="s">
        <v>289</v>
      </c>
    </row>
    <row r="7" spans="1:86" x14ac:dyDescent="0.35">
      <c r="A7" t="s">
        <v>305</v>
      </c>
      <c r="B7">
        <f t="array" ref="B7">VAR(B10:B54)</f>
        <v>3657337.2070707069</v>
      </c>
      <c r="C7">
        <f t="array" ref="C7">VAR(C10:C54)</f>
        <v>1116779.7858585857</v>
      </c>
      <c r="D7">
        <f t="array" ref="D7">VAR(D10:D54)</f>
        <v>2620053.5638585878</v>
      </c>
      <c r="E7">
        <f t="array" ref="E7">VAR(E10:E54)</f>
        <v>569446.96836363606</v>
      </c>
      <c r="F7" s="15">
        <f>D7/B7</f>
        <v>0.71638282595142033</v>
      </c>
      <c r="G7" s="15">
        <f>E7/C7</f>
        <v>0.50990085563363097</v>
      </c>
      <c r="BF7" s="13">
        <f>CORREL($AX10:$AX54,BF10:BF54)</f>
        <v>0.95383191149464741</v>
      </c>
      <c r="BG7" s="13"/>
      <c r="BJ7" s="13">
        <f>CORREL($AX10:$AX54,BJ10:BJ54)</f>
        <v>0.94545749734603046</v>
      </c>
      <c r="BK7" s="13"/>
    </row>
    <row r="8" spans="1:86" x14ac:dyDescent="0.35">
      <c r="A8" t="s">
        <v>275</v>
      </c>
      <c r="B8">
        <f>MAX(B10:B54)</f>
        <v>8080</v>
      </c>
      <c r="C8">
        <f t="shared" ref="C8:G8" si="3">MAX(C10:C54)</f>
        <v>5278</v>
      </c>
      <c r="D8">
        <f t="shared" si="3"/>
        <v>6846.2999999999984</v>
      </c>
      <c r="E8">
        <f t="shared" si="3"/>
        <v>3794.7999999999997</v>
      </c>
      <c r="F8">
        <f t="shared" si="3"/>
        <v>0.92134703196347034</v>
      </c>
      <c r="G8">
        <f t="shared" si="3"/>
        <v>0.81334289813486371</v>
      </c>
      <c r="V8" s="13">
        <f>MAX(V10:V54)</f>
        <v>1.0138888888888888</v>
      </c>
      <c r="W8" s="13">
        <f>MAX(W10:W54)</f>
        <v>0.87656099903938522</v>
      </c>
      <c r="X8" s="13"/>
      <c r="AJ8" s="18">
        <f>MAX(AJ10:AJ54)</f>
        <v>0.97990042411949108</v>
      </c>
      <c r="AN8" s="18">
        <f>MAX(AN10:AN54)</f>
        <v>1</v>
      </c>
      <c r="AS8" s="41">
        <f>MAX(AS10:AS54)</f>
        <v>1.0011402508551881</v>
      </c>
      <c r="AW8" s="41">
        <f>MAX(AW10:AW54)</f>
        <v>1.0031446540880504</v>
      </c>
      <c r="BG8" s="13">
        <f>MAX(BG10:BG54)</f>
        <v>0.89527027027027029</v>
      </c>
      <c r="BI8" s="52">
        <f>MAX(BI10:BI54)</f>
        <v>0.99289099526066349</v>
      </c>
      <c r="BK8" s="13">
        <f>MAX(BK10:BK54)</f>
        <v>0.967741935483871</v>
      </c>
      <c r="BM8" s="13">
        <f>MAX(BM10:BM54)</f>
        <v>1.7027677496991576</v>
      </c>
    </row>
    <row r="10" spans="1:86" x14ac:dyDescent="0.35">
      <c r="A10" s="7">
        <v>1879</v>
      </c>
      <c r="B10" s="8">
        <v>755</v>
      </c>
      <c r="C10" s="6">
        <v>514</v>
      </c>
      <c r="D10" s="6">
        <f t="array" ref="D10">SUM(IF(ISNUMBER(MinorData!$DJ10:$EI10),MinorData!$DJ10:$EI10))</f>
        <v>681.30000000000018</v>
      </c>
      <c r="E10" s="6">
        <f t="array" ref="E10">SUM(IF(ISNUMBER(MinorData!$EJ10:$FM10),MinorData!$EJ10:$FM10))</f>
        <v>406.70000000000005</v>
      </c>
      <c r="F10" s="13">
        <f>D10/B10</f>
        <v>0.90238410596026519</v>
      </c>
      <c r="G10" s="13">
        <f>E10/C10</f>
        <v>0.7912451361867705</v>
      </c>
      <c r="H10" s="17"/>
      <c r="J10" s="17">
        <f>MajorData!G10</f>
        <v>412</v>
      </c>
      <c r="K10" s="17">
        <f>MajorData!J10</f>
        <v>617</v>
      </c>
      <c r="L10" s="17">
        <f>MajorData!N10</f>
        <v>30</v>
      </c>
      <c r="M10" s="17">
        <f>MajorData!P10</f>
        <v>85</v>
      </c>
      <c r="N10" s="17">
        <f>MajorData!U10</f>
        <v>75</v>
      </c>
      <c r="O10" s="17">
        <f>MajorData!V10</f>
        <v>129</v>
      </c>
      <c r="P10" s="17">
        <f>IntData!T10</f>
        <v>5</v>
      </c>
      <c r="Q10" s="17">
        <f>IntData!U10</f>
        <v>7</v>
      </c>
      <c r="R10" s="17">
        <f>IntData!V10</f>
        <v>17</v>
      </c>
      <c r="S10" s="17">
        <f>IntData!W10</f>
        <v>62</v>
      </c>
      <c r="T10" s="17">
        <f>SUM(P10:S10)-R10</f>
        <v>74</v>
      </c>
      <c r="U10" s="17">
        <f t="shared" ref="U10:U54" si="4">B10-N10</f>
        <v>680</v>
      </c>
      <c r="V10" s="13">
        <f>T10/N10</f>
        <v>0.98666666666666669</v>
      </c>
      <c r="W10" s="13">
        <f>T10/O10</f>
        <v>0.5736434108527132</v>
      </c>
      <c r="X10" s="13"/>
      <c r="Z10" s="13">
        <f t="shared" ref="Z10:Z54" si="5">J10/$B10</f>
        <v>0.54569536423841059</v>
      </c>
      <c r="AA10" s="13">
        <f t="shared" ref="AA10:AA54" si="6">K10/$B10</f>
        <v>0.81721854304635766</v>
      </c>
      <c r="AB10" s="13">
        <f t="shared" ref="AB10:AB54" si="7">L10/$B10</f>
        <v>3.9735099337748346E-2</v>
      </c>
      <c r="AC10" s="13">
        <f t="shared" ref="AC10:AC54" si="8">M10/$B10</f>
        <v>0.11258278145695365</v>
      </c>
      <c r="AD10" s="13">
        <f t="shared" ref="AD10:AD54" si="9">N10/$B10</f>
        <v>9.9337748344370855E-2</v>
      </c>
      <c r="AE10" s="13">
        <f t="shared" ref="AE10:AE54" si="10">O10/$B10</f>
        <v>0.17086092715231788</v>
      </c>
      <c r="AF10" s="13">
        <f t="shared" ref="AF10:AF54" si="11">P10/$B10</f>
        <v>6.6225165562913907E-3</v>
      </c>
      <c r="AG10" s="13">
        <f t="shared" ref="AG10:AG54" si="12">Q10/$B10</f>
        <v>9.2715231788079479E-3</v>
      </c>
      <c r="AH10" s="13">
        <f t="shared" ref="AH10:AH54" si="13">S10/$B10</f>
        <v>8.211920529801324E-2</v>
      </c>
      <c r="AJ10" s="13">
        <f t="shared" ref="AJ10:AJ54" si="14">SUM(AA10:AC10)</f>
        <v>0.96953642384105965</v>
      </c>
      <c r="AL10">
        <f t="shared" ref="AL10:AL54" si="15">B10</f>
        <v>755</v>
      </c>
      <c r="AM10" s="17">
        <f t="shared" ref="AM10:AM54" si="16">AP10+AQ10</f>
        <v>747</v>
      </c>
      <c r="AN10" s="13">
        <f>AM10/AL10</f>
        <v>0.98940397350993381</v>
      </c>
      <c r="AP10" s="17">
        <f>MajorData!O10</f>
        <v>82</v>
      </c>
      <c r="AQ10" s="17">
        <f>MajorData!S10</f>
        <v>665</v>
      </c>
      <c r="AR10" s="43">
        <f>AU10+AX10</f>
        <v>665</v>
      </c>
      <c r="AS10" s="42">
        <f>AR10/AQ10</f>
        <v>1</v>
      </c>
      <c r="AU10" s="17">
        <f>MajorData!I10</f>
        <v>421</v>
      </c>
      <c r="AV10" s="43">
        <f>BC10+BD10</f>
        <v>421</v>
      </c>
      <c r="AW10" s="42">
        <f>AV10/AU10</f>
        <v>1</v>
      </c>
      <c r="AX10" s="17">
        <f>MajorData!Q10</f>
        <v>244</v>
      </c>
      <c r="AY10" s="13">
        <f>AX10/AQ10</f>
        <v>0.3669172932330827</v>
      </c>
      <c r="AZ10" s="39">
        <f>BF10+BJ10</f>
        <v>443</v>
      </c>
      <c r="BA10" s="39">
        <f>AZ10/AX10</f>
        <v>1.8155737704918034</v>
      </c>
      <c r="BC10">
        <f>MajorData!C10</f>
        <v>244</v>
      </c>
      <c r="BD10">
        <f>MajorData!E10</f>
        <v>177</v>
      </c>
      <c r="BF10">
        <f>MajorData!L10</f>
        <v>214</v>
      </c>
      <c r="BG10" s="13">
        <f>BF10/AX10</f>
        <v>0.87704918032786883</v>
      </c>
      <c r="BH10">
        <f>BP10+BQ10</f>
        <v>206.8</v>
      </c>
      <c r="BI10" s="50">
        <f>BH10/BF10</f>
        <v>0.96635514018691593</v>
      </c>
      <c r="BJ10">
        <f>MajorData!M10</f>
        <v>229</v>
      </c>
      <c r="BK10" s="13">
        <f>BJ10/AX10</f>
        <v>0.93852459016393441</v>
      </c>
      <c r="BL10" s="17">
        <f>CB10+CD10</f>
        <v>28</v>
      </c>
      <c r="BM10" s="13">
        <f>BL10/BJ10</f>
        <v>0.1222707423580786</v>
      </c>
      <c r="BO10" t="e">
        <v>#N/A</v>
      </c>
      <c r="BP10">
        <f>BT10+BV10</f>
        <v>201.8</v>
      </c>
      <c r="BQ10">
        <f>IntData!T10</f>
        <v>5</v>
      </c>
      <c r="BS10" t="e">
        <v>#N/A</v>
      </c>
      <c r="BT10">
        <f>BX10-BY10</f>
        <v>201.8</v>
      </c>
      <c r="BU10" t="e">
        <v>#N/A</v>
      </c>
      <c r="BV10" s="48">
        <v>0</v>
      </c>
      <c r="BX10">
        <f>IntData!K10</f>
        <v>216</v>
      </c>
      <c r="BY10">
        <f>MinorData!DR10</f>
        <v>14.2</v>
      </c>
      <c r="CA10" t="e">
        <v>#N/A</v>
      </c>
      <c r="CB10">
        <f>CG10+CH10</f>
        <v>21</v>
      </c>
      <c r="CD10" s="17">
        <f>IntData!U10</f>
        <v>7</v>
      </c>
      <c r="CF10" t="e">
        <v>#N/A</v>
      </c>
      <c r="CG10" s="48">
        <v>0</v>
      </c>
      <c r="CH10">
        <f>IntData!L10</f>
        <v>21</v>
      </c>
    </row>
    <row r="11" spans="1:86" x14ac:dyDescent="0.35">
      <c r="A11" s="7">
        <v>1880</v>
      </c>
      <c r="B11" s="8">
        <v>876</v>
      </c>
      <c r="C11" s="6">
        <v>697</v>
      </c>
      <c r="D11" s="6">
        <f t="array" ref="D11">SUM(IF(ISNUMBER(MinorData!$DJ11:$EI11),MinorData!$DJ11:$EI11))</f>
        <v>807.1</v>
      </c>
      <c r="E11" s="6">
        <f t="array" ref="E11">SUM(IF(ISNUMBER(MinorData!$EJ11:$FM11),MinorData!$EJ11:$FM11))</f>
        <v>566.9</v>
      </c>
      <c r="F11" s="13">
        <f t="shared" ref="F11:F54" si="17">D11/B11</f>
        <v>0.92134703196347034</v>
      </c>
      <c r="G11" s="13">
        <f t="shared" ref="G11:G54" si="18">E11/C11</f>
        <v>0.81334289813486371</v>
      </c>
      <c r="H11" s="17"/>
      <c r="J11" s="17">
        <f>MajorData!G11</f>
        <v>481</v>
      </c>
      <c r="K11" s="17">
        <f>MajorData!J11</f>
        <v>735</v>
      </c>
      <c r="L11" s="17">
        <f>MajorData!N11</f>
        <v>31</v>
      </c>
      <c r="M11" s="17">
        <f>MajorData!P11</f>
        <v>84</v>
      </c>
      <c r="N11" s="17">
        <f>MajorData!U11</f>
        <v>72</v>
      </c>
      <c r="O11" s="17">
        <f>MajorData!V11</f>
        <v>131</v>
      </c>
      <c r="P11" s="17">
        <f>IntData!T11</f>
        <v>6</v>
      </c>
      <c r="Q11" s="17">
        <f>IntData!U11</f>
        <v>6</v>
      </c>
      <c r="R11" s="17">
        <f>IntData!V11</f>
        <v>19</v>
      </c>
      <c r="S11" s="17">
        <f>IntData!W11</f>
        <v>61</v>
      </c>
      <c r="T11" s="17">
        <f t="shared" ref="T11:T54" si="19">SUM(P11:S11)-R11</f>
        <v>73</v>
      </c>
      <c r="U11" s="17">
        <f t="shared" si="4"/>
        <v>804</v>
      </c>
      <c r="V11" s="13">
        <f t="shared" ref="V11:V54" si="20">T11/N11</f>
        <v>1.0138888888888888</v>
      </c>
      <c r="W11" s="13">
        <f t="shared" ref="W11:W54" si="21">T11/O11</f>
        <v>0.5572519083969466</v>
      </c>
      <c r="X11" s="13"/>
      <c r="Z11" s="13">
        <f t="shared" si="5"/>
        <v>0.54908675799086759</v>
      </c>
      <c r="AA11" s="13">
        <f t="shared" si="6"/>
        <v>0.83904109589041098</v>
      </c>
      <c r="AB11" s="13">
        <f t="shared" si="7"/>
        <v>3.5388127853881277E-2</v>
      </c>
      <c r="AC11" s="13">
        <f t="shared" si="8"/>
        <v>9.5890410958904104E-2</v>
      </c>
      <c r="AD11" s="13">
        <f t="shared" si="9"/>
        <v>8.2191780821917804E-2</v>
      </c>
      <c r="AE11" s="13">
        <f t="shared" si="10"/>
        <v>0.1495433789954338</v>
      </c>
      <c r="AF11" s="13">
        <f t="shared" si="11"/>
        <v>6.8493150684931503E-3</v>
      </c>
      <c r="AG11" s="13">
        <f t="shared" si="12"/>
        <v>6.8493150684931503E-3</v>
      </c>
      <c r="AH11" s="13">
        <f t="shared" si="13"/>
        <v>6.9634703196347028E-2</v>
      </c>
      <c r="AJ11" s="13">
        <f t="shared" si="14"/>
        <v>0.97031963470319638</v>
      </c>
      <c r="AL11">
        <f t="shared" si="15"/>
        <v>876</v>
      </c>
      <c r="AM11" s="17">
        <f t="shared" si="16"/>
        <v>869</v>
      </c>
      <c r="AN11" s="13">
        <f t="shared" ref="AN11:AN54" si="22">AM11/AL11</f>
        <v>0.99200913242009137</v>
      </c>
      <c r="AP11" s="17">
        <f>MajorData!O11</f>
        <v>82</v>
      </c>
      <c r="AQ11" s="17">
        <f>MajorData!S11</f>
        <v>787</v>
      </c>
      <c r="AR11" s="43">
        <f t="shared" ref="AR11:AR54" si="23">AU11+AX11</f>
        <v>787</v>
      </c>
      <c r="AS11" s="42">
        <f t="shared" ref="AS11:AS54" si="24">AR11/AQ11</f>
        <v>1</v>
      </c>
      <c r="AU11" s="17">
        <f>MajorData!I11</f>
        <v>491</v>
      </c>
      <c r="AV11" s="43">
        <f t="shared" ref="AV11:AV54" si="25">BC11+BD11</f>
        <v>490</v>
      </c>
      <c r="AW11" s="42">
        <f t="shared" ref="AW11:AW54" si="26">AV11/AU11</f>
        <v>0.99796334012219956</v>
      </c>
      <c r="AX11" s="17">
        <f>MajorData!Q11</f>
        <v>296</v>
      </c>
      <c r="AY11" s="13">
        <f t="shared" ref="AY11:AY54" si="27">AX11/AQ11</f>
        <v>0.37611181702668361</v>
      </c>
      <c r="AZ11" s="39">
        <f t="shared" ref="AZ11:AZ54" si="28">BF11+BJ11</f>
        <v>549</v>
      </c>
      <c r="BA11" s="39">
        <f t="shared" ref="BA11:BA54" si="29">AZ11/AX11</f>
        <v>1.8547297297297298</v>
      </c>
      <c r="BC11">
        <f>MajorData!C11</f>
        <v>276</v>
      </c>
      <c r="BD11">
        <f>MajorData!E11</f>
        <v>214</v>
      </c>
      <c r="BF11">
        <f>MajorData!L11</f>
        <v>265</v>
      </c>
      <c r="BG11" s="13">
        <f t="shared" ref="BG11:BG54" si="30">BF11/AX11</f>
        <v>0.89527027027027029</v>
      </c>
      <c r="BH11">
        <f t="shared" ref="BH11:BH54" si="31">BP11+BQ11</f>
        <v>258.89999999999998</v>
      </c>
      <c r="BI11" s="50">
        <f t="shared" ref="BI11:BI54" si="32">BH11/BF11</f>
        <v>0.97698113207547166</v>
      </c>
      <c r="BJ11">
        <f>MajorData!M11</f>
        <v>284</v>
      </c>
      <c r="BK11" s="13">
        <f t="shared" ref="BK11:BK54" si="33">BJ11/AX11</f>
        <v>0.95945945945945943</v>
      </c>
      <c r="BL11" s="17">
        <f t="shared" ref="BL11:BL54" si="34">CB11+CD11</f>
        <v>31</v>
      </c>
      <c r="BM11" s="13">
        <f t="shared" ref="BM11:BM54" si="35">BL11/BJ11</f>
        <v>0.10915492957746478</v>
      </c>
      <c r="BO11" t="e">
        <v>#N/A</v>
      </c>
      <c r="BP11">
        <f t="shared" ref="BP11:BP54" si="36">BT11+BV11</f>
        <v>252.9</v>
      </c>
      <c r="BQ11">
        <f>IntData!T11</f>
        <v>6</v>
      </c>
      <c r="BS11" t="e">
        <v>#N/A</v>
      </c>
      <c r="BT11">
        <f t="shared" ref="BT11:BT54" si="37">BX11-BY11</f>
        <v>252.9</v>
      </c>
      <c r="BU11" t="e">
        <v>#N/A</v>
      </c>
      <c r="BV11" s="48">
        <v>0</v>
      </c>
      <c r="BX11">
        <f>IntData!K11</f>
        <v>271</v>
      </c>
      <c r="BY11">
        <f>MinorData!DR11</f>
        <v>18.100000000000001</v>
      </c>
      <c r="CA11" t="e">
        <v>#N/A</v>
      </c>
      <c r="CB11">
        <f t="shared" ref="CB11:CB54" si="38">CG11+CH11</f>
        <v>25</v>
      </c>
      <c r="CD11" s="17">
        <f>IntData!U11</f>
        <v>6</v>
      </c>
      <c r="CF11" t="e">
        <v>#N/A</v>
      </c>
      <c r="CG11" s="48">
        <v>0</v>
      </c>
      <c r="CH11">
        <f>IntData!L11</f>
        <v>25</v>
      </c>
    </row>
    <row r="12" spans="1:86" x14ac:dyDescent="0.35">
      <c r="A12" s="7">
        <v>1881</v>
      </c>
      <c r="B12" s="6">
        <v>814</v>
      </c>
      <c r="C12" s="6">
        <v>670</v>
      </c>
      <c r="D12" s="6">
        <f t="array" ref="D12">SUM(IF(ISNUMBER(MinorData!$DJ12:$EI12),MinorData!$DJ12:$EI12))</f>
        <v>746.7</v>
      </c>
      <c r="E12" s="6">
        <f t="array" ref="E12">SUM(IF(ISNUMBER(MinorData!$EJ12:$FM12),MinorData!$EJ12:$FM12))</f>
        <v>524</v>
      </c>
      <c r="F12" s="13">
        <f t="shared" si="17"/>
        <v>0.91732186732186738</v>
      </c>
      <c r="G12" s="13">
        <f t="shared" si="18"/>
        <v>0.78208955223880594</v>
      </c>
      <c r="H12" s="17"/>
      <c r="J12" s="17">
        <f>MajorData!G12</f>
        <v>412</v>
      </c>
      <c r="K12" s="17">
        <f>MajorData!J12</f>
        <v>647</v>
      </c>
      <c r="L12" s="17">
        <f>MajorData!N12</f>
        <v>36</v>
      </c>
      <c r="M12" s="17">
        <f>MajorData!P12</f>
        <v>105</v>
      </c>
      <c r="N12" s="17">
        <f>MajorData!U12</f>
        <v>93</v>
      </c>
      <c r="O12" s="17">
        <f>MajorData!V12</f>
        <v>159</v>
      </c>
      <c r="P12" s="17">
        <f>IntData!T12</f>
        <v>7</v>
      </c>
      <c r="Q12" s="17">
        <f>IntData!U12</f>
        <v>7</v>
      </c>
      <c r="R12" s="17">
        <f>IntData!V12</f>
        <v>23</v>
      </c>
      <c r="S12" s="17">
        <f>IntData!W12</f>
        <v>79</v>
      </c>
      <c r="T12" s="17">
        <f t="shared" si="19"/>
        <v>93</v>
      </c>
      <c r="U12" s="17">
        <f t="shared" si="4"/>
        <v>721</v>
      </c>
      <c r="V12" s="13">
        <f t="shared" si="20"/>
        <v>1</v>
      </c>
      <c r="W12" s="13">
        <f t="shared" si="21"/>
        <v>0.58490566037735847</v>
      </c>
      <c r="X12" s="13"/>
      <c r="Z12" s="13">
        <f t="shared" si="5"/>
        <v>0.50614250614250611</v>
      </c>
      <c r="AA12" s="13">
        <f t="shared" si="6"/>
        <v>0.79484029484029484</v>
      </c>
      <c r="AB12" s="13">
        <f t="shared" si="7"/>
        <v>4.4226044226044224E-2</v>
      </c>
      <c r="AC12" s="13">
        <f t="shared" si="8"/>
        <v>0.128992628992629</v>
      </c>
      <c r="AD12" s="13">
        <f t="shared" si="9"/>
        <v>0.11425061425061425</v>
      </c>
      <c r="AE12" s="13">
        <f t="shared" si="10"/>
        <v>0.19533169533169534</v>
      </c>
      <c r="AF12" s="13">
        <f t="shared" si="11"/>
        <v>8.5995085995085995E-3</v>
      </c>
      <c r="AG12" s="13">
        <f t="shared" si="12"/>
        <v>8.5995085995085995E-3</v>
      </c>
      <c r="AH12" s="13">
        <f t="shared" si="13"/>
        <v>9.7051597051597049E-2</v>
      </c>
      <c r="AJ12" s="13">
        <f t="shared" si="14"/>
        <v>0.96805896805896807</v>
      </c>
      <c r="AL12">
        <f t="shared" si="15"/>
        <v>814</v>
      </c>
      <c r="AM12" s="17">
        <f t="shared" si="16"/>
        <v>808</v>
      </c>
      <c r="AN12" s="13">
        <f t="shared" si="22"/>
        <v>0.99262899262899262</v>
      </c>
      <c r="AP12" s="17">
        <f>MajorData!O12</f>
        <v>103</v>
      </c>
      <c r="AQ12" s="17">
        <f>MajorData!S12</f>
        <v>705</v>
      </c>
      <c r="AR12" s="43">
        <f t="shared" si="23"/>
        <v>705</v>
      </c>
      <c r="AS12" s="42">
        <f t="shared" si="24"/>
        <v>1</v>
      </c>
      <c r="AU12" s="17">
        <f>MajorData!I12</f>
        <v>421</v>
      </c>
      <c r="AV12" s="43">
        <f t="shared" si="25"/>
        <v>422</v>
      </c>
      <c r="AW12" s="42">
        <f t="shared" si="26"/>
        <v>1.002375296912114</v>
      </c>
      <c r="AX12" s="17">
        <f>MajorData!Q12</f>
        <v>284</v>
      </c>
      <c r="AY12" s="13">
        <f t="shared" si="27"/>
        <v>0.40283687943262414</v>
      </c>
      <c r="AZ12" s="39">
        <f t="shared" si="28"/>
        <v>514</v>
      </c>
      <c r="BA12" s="39">
        <f t="shared" si="29"/>
        <v>1.8098591549295775</v>
      </c>
      <c r="BC12">
        <f>MajorData!C12</f>
        <v>219</v>
      </c>
      <c r="BD12">
        <f>MajorData!E12</f>
        <v>203</v>
      </c>
      <c r="BF12">
        <f>MajorData!L12</f>
        <v>248</v>
      </c>
      <c r="BG12" s="13">
        <f t="shared" si="30"/>
        <v>0.87323943661971826</v>
      </c>
      <c r="BH12">
        <f t="shared" si="31"/>
        <v>241.6</v>
      </c>
      <c r="BI12" s="50">
        <f t="shared" si="32"/>
        <v>0.97419354838709671</v>
      </c>
      <c r="BJ12">
        <f>MajorData!M12</f>
        <v>266</v>
      </c>
      <c r="BK12" s="13">
        <f t="shared" si="33"/>
        <v>0.93661971830985913</v>
      </c>
      <c r="BL12" s="17">
        <f t="shared" si="34"/>
        <v>35</v>
      </c>
      <c r="BM12" s="13">
        <f t="shared" si="35"/>
        <v>0.13157894736842105</v>
      </c>
      <c r="BO12" t="e">
        <v>#N/A</v>
      </c>
      <c r="BP12">
        <f t="shared" si="36"/>
        <v>234.6</v>
      </c>
      <c r="BQ12">
        <f>IntData!T12</f>
        <v>7</v>
      </c>
      <c r="BS12" t="e">
        <v>#N/A</v>
      </c>
      <c r="BT12">
        <f t="shared" si="37"/>
        <v>234.6</v>
      </c>
      <c r="BU12" t="e">
        <v>#N/A</v>
      </c>
      <c r="BV12" s="48">
        <v>0</v>
      </c>
      <c r="BX12">
        <f>IntData!K12</f>
        <v>253</v>
      </c>
      <c r="BY12">
        <f>MinorData!DR12</f>
        <v>18.399999999999999</v>
      </c>
      <c r="CA12" t="e">
        <v>#N/A</v>
      </c>
      <c r="CB12">
        <f t="shared" si="38"/>
        <v>28</v>
      </c>
      <c r="CD12" s="17">
        <f>IntData!U12</f>
        <v>7</v>
      </c>
      <c r="CF12" t="e">
        <v>#N/A</v>
      </c>
      <c r="CG12" s="48">
        <v>0</v>
      </c>
      <c r="CH12">
        <f>IntData!L12</f>
        <v>28</v>
      </c>
    </row>
    <row r="13" spans="1:86" x14ac:dyDescent="0.35">
      <c r="A13" s="7">
        <v>1882</v>
      </c>
      <c r="B13" s="6">
        <v>750</v>
      </c>
      <c r="C13" s="6">
        <v>753</v>
      </c>
      <c r="D13" s="6">
        <f t="array" ref="D13">SUM(IF(ISNUMBER(MinorData!$DJ13:$EI13),MinorData!$DJ13:$EI13))</f>
        <v>673.5</v>
      </c>
      <c r="E13" s="6">
        <f t="array" ref="E13">SUM(IF(ISNUMBER(MinorData!$EJ13:$FM13),MinorData!$EJ13:$FM13))</f>
        <v>590.5</v>
      </c>
      <c r="F13" s="13">
        <f t="shared" si="17"/>
        <v>0.89800000000000002</v>
      </c>
      <c r="G13" s="13">
        <f t="shared" si="18"/>
        <v>0.78419654714475429</v>
      </c>
      <c r="H13" s="17"/>
      <c r="J13" s="17">
        <f>MajorData!G13</f>
        <v>328</v>
      </c>
      <c r="K13" s="17">
        <f>MajorData!J13</f>
        <v>570</v>
      </c>
      <c r="L13" s="17">
        <f>MajorData!N13</f>
        <v>42</v>
      </c>
      <c r="M13" s="17">
        <f>MajorData!P13</f>
        <v>110</v>
      </c>
      <c r="N13" s="17">
        <f>MajorData!U13</f>
        <v>98</v>
      </c>
      <c r="O13" s="17">
        <f>MajorData!V13</f>
        <v>171</v>
      </c>
      <c r="P13" s="17">
        <f>IntData!T13</f>
        <v>9</v>
      </c>
      <c r="Q13" s="17">
        <f>IntData!U13</f>
        <v>8</v>
      </c>
      <c r="R13" s="17">
        <f>IntData!V13</f>
        <v>28</v>
      </c>
      <c r="S13" s="17">
        <f>IntData!W13</f>
        <v>82</v>
      </c>
      <c r="T13" s="17">
        <f t="shared" si="19"/>
        <v>99</v>
      </c>
      <c r="U13" s="17">
        <f t="shared" si="4"/>
        <v>652</v>
      </c>
      <c r="V13" s="13">
        <f t="shared" si="20"/>
        <v>1.010204081632653</v>
      </c>
      <c r="W13" s="13">
        <f t="shared" si="21"/>
        <v>0.57894736842105265</v>
      </c>
      <c r="X13" s="13"/>
      <c r="Z13" s="13">
        <f t="shared" si="5"/>
        <v>0.43733333333333335</v>
      </c>
      <c r="AA13" s="13">
        <f t="shared" si="6"/>
        <v>0.76</v>
      </c>
      <c r="AB13" s="13">
        <f t="shared" si="7"/>
        <v>5.6000000000000001E-2</v>
      </c>
      <c r="AC13" s="13">
        <f t="shared" si="8"/>
        <v>0.14666666666666667</v>
      </c>
      <c r="AD13" s="13">
        <f t="shared" si="9"/>
        <v>0.13066666666666665</v>
      </c>
      <c r="AE13" s="13">
        <f t="shared" si="10"/>
        <v>0.22800000000000001</v>
      </c>
      <c r="AF13" s="13">
        <f t="shared" si="11"/>
        <v>1.2E-2</v>
      </c>
      <c r="AG13" s="13">
        <f t="shared" si="12"/>
        <v>1.0666666666666666E-2</v>
      </c>
      <c r="AH13" s="13">
        <f t="shared" si="13"/>
        <v>0.10933333333333334</v>
      </c>
      <c r="AJ13" s="13">
        <f t="shared" si="14"/>
        <v>0.96266666666666678</v>
      </c>
      <c r="AL13">
        <f t="shared" si="15"/>
        <v>750</v>
      </c>
      <c r="AM13" s="17">
        <f t="shared" si="16"/>
        <v>745</v>
      </c>
      <c r="AN13" s="13">
        <f t="shared" si="22"/>
        <v>0.99333333333333329</v>
      </c>
      <c r="AP13" s="17">
        <f>MajorData!O13</f>
        <v>108</v>
      </c>
      <c r="AQ13" s="17">
        <f>MajorData!S13</f>
        <v>637</v>
      </c>
      <c r="AR13" s="43">
        <f t="shared" si="23"/>
        <v>637</v>
      </c>
      <c r="AS13" s="42">
        <f t="shared" si="24"/>
        <v>1</v>
      </c>
      <c r="AU13" s="17">
        <f>MajorData!I13</f>
        <v>338</v>
      </c>
      <c r="AV13" s="43">
        <f t="shared" si="25"/>
        <v>338</v>
      </c>
      <c r="AW13" s="42">
        <f t="shared" si="26"/>
        <v>1</v>
      </c>
      <c r="AX13" s="17">
        <f>MajorData!Q13</f>
        <v>299</v>
      </c>
      <c r="AY13" s="13">
        <f t="shared" si="27"/>
        <v>0.46938775510204084</v>
      </c>
      <c r="AZ13" s="39">
        <f t="shared" si="28"/>
        <v>531</v>
      </c>
      <c r="BA13" s="39">
        <f t="shared" si="29"/>
        <v>1.7759197324414715</v>
      </c>
      <c r="BC13">
        <f>MajorData!C13</f>
        <v>166</v>
      </c>
      <c r="BD13">
        <f>MajorData!E13</f>
        <v>172</v>
      </c>
      <c r="BF13">
        <f>MajorData!L13</f>
        <v>256</v>
      </c>
      <c r="BG13" s="13">
        <f t="shared" si="30"/>
        <v>0.85618729096989965</v>
      </c>
      <c r="BH13">
        <f t="shared" si="31"/>
        <v>250.1</v>
      </c>
      <c r="BI13" s="50">
        <f t="shared" si="32"/>
        <v>0.97695312499999998</v>
      </c>
      <c r="BJ13">
        <f>MajorData!M13</f>
        <v>275</v>
      </c>
      <c r="BK13" s="13">
        <f t="shared" si="33"/>
        <v>0.91973244147157196</v>
      </c>
      <c r="BL13" s="17">
        <f t="shared" si="34"/>
        <v>42</v>
      </c>
      <c r="BM13" s="13">
        <f t="shared" si="35"/>
        <v>0.15272727272727274</v>
      </c>
      <c r="BO13" t="e">
        <v>#N/A</v>
      </c>
      <c r="BP13">
        <f t="shared" si="36"/>
        <v>241.1</v>
      </c>
      <c r="BQ13">
        <f>IntData!T13</f>
        <v>9</v>
      </c>
      <c r="BS13" t="e">
        <v>#N/A</v>
      </c>
      <c r="BT13">
        <f t="shared" si="37"/>
        <v>241.1</v>
      </c>
      <c r="BU13" t="e">
        <v>#N/A</v>
      </c>
      <c r="BV13" s="48">
        <v>0</v>
      </c>
      <c r="BX13">
        <f>IntData!K13</f>
        <v>260</v>
      </c>
      <c r="BY13">
        <f>MinorData!DR13</f>
        <v>18.899999999999999</v>
      </c>
      <c r="CA13" t="e">
        <v>#N/A</v>
      </c>
      <c r="CB13">
        <f t="shared" si="38"/>
        <v>34</v>
      </c>
      <c r="CD13" s="17">
        <f>IntData!U13</f>
        <v>8</v>
      </c>
      <c r="CF13" t="e">
        <v>#N/A</v>
      </c>
      <c r="CG13" s="48">
        <v>0</v>
      </c>
      <c r="CH13">
        <f>IntData!L13</f>
        <v>34</v>
      </c>
    </row>
    <row r="14" spans="1:86" x14ac:dyDescent="0.35">
      <c r="A14" s="7">
        <v>1883</v>
      </c>
      <c r="B14" s="6">
        <v>778</v>
      </c>
      <c r="C14" s="6">
        <v>687</v>
      </c>
      <c r="D14" s="6">
        <f t="array" ref="D14">SUM(IF(ISNUMBER(MinorData!$DJ14:$EI14),MinorData!$DJ14:$EI14))</f>
        <v>702.09999999999991</v>
      </c>
      <c r="E14" s="6">
        <f t="array" ref="E14">SUM(IF(ISNUMBER(MinorData!$EJ14:$FM14),MinorData!$EJ14:$FM14))</f>
        <v>539.9000000000002</v>
      </c>
      <c r="F14" s="13">
        <f t="shared" si="17"/>
        <v>0.90244215938303329</v>
      </c>
      <c r="G14" s="13">
        <f t="shared" si="18"/>
        <v>0.78588064046579365</v>
      </c>
      <c r="H14" s="17"/>
      <c r="J14" s="17">
        <f>MajorData!G14</f>
        <v>352</v>
      </c>
      <c r="K14" s="17">
        <f>MajorData!J14</f>
        <v>593</v>
      </c>
      <c r="L14" s="17">
        <f>MajorData!N14</f>
        <v>43</v>
      </c>
      <c r="M14" s="17">
        <f>MajorData!P14</f>
        <v>114</v>
      </c>
      <c r="N14" s="17">
        <f>MajorData!U14</f>
        <v>109</v>
      </c>
      <c r="O14" s="17">
        <f>MajorData!V14</f>
        <v>178</v>
      </c>
      <c r="P14" s="17">
        <f>IntData!T14</f>
        <v>13</v>
      </c>
      <c r="Q14" s="17">
        <f>IntData!U14</f>
        <v>9</v>
      </c>
      <c r="R14" s="17">
        <f>IntData!V14</f>
        <v>30</v>
      </c>
      <c r="S14" s="17">
        <f>IntData!W14</f>
        <v>87</v>
      </c>
      <c r="T14" s="17">
        <f t="shared" si="19"/>
        <v>109</v>
      </c>
      <c r="U14" s="17">
        <f t="shared" si="4"/>
        <v>669</v>
      </c>
      <c r="V14" s="13">
        <f t="shared" si="20"/>
        <v>1</v>
      </c>
      <c r="W14" s="13">
        <f t="shared" si="21"/>
        <v>0.61235955056179781</v>
      </c>
      <c r="X14" s="13"/>
      <c r="Z14" s="13">
        <f t="shared" si="5"/>
        <v>0.45244215938303339</v>
      </c>
      <c r="AA14" s="13">
        <f t="shared" si="6"/>
        <v>0.76221079691516713</v>
      </c>
      <c r="AB14" s="13">
        <f t="shared" si="7"/>
        <v>5.5269922879177376E-2</v>
      </c>
      <c r="AC14" s="13">
        <f t="shared" si="8"/>
        <v>0.14652956298200515</v>
      </c>
      <c r="AD14" s="13">
        <f t="shared" si="9"/>
        <v>0.14010282776349614</v>
      </c>
      <c r="AE14" s="13">
        <f t="shared" si="10"/>
        <v>0.22879177377892032</v>
      </c>
      <c r="AF14" s="13">
        <f t="shared" si="11"/>
        <v>1.6709511568123392E-2</v>
      </c>
      <c r="AG14" s="13">
        <f t="shared" si="12"/>
        <v>1.1568123393316195E-2</v>
      </c>
      <c r="AH14" s="13">
        <f t="shared" si="13"/>
        <v>0.11182519280205655</v>
      </c>
      <c r="AJ14" s="13">
        <f t="shared" si="14"/>
        <v>0.9640102827763497</v>
      </c>
      <c r="AL14">
        <f t="shared" si="15"/>
        <v>778</v>
      </c>
      <c r="AM14" s="17">
        <f t="shared" si="16"/>
        <v>773</v>
      </c>
      <c r="AN14" s="13">
        <f t="shared" si="22"/>
        <v>0.99357326478149099</v>
      </c>
      <c r="AP14" s="17">
        <f>MajorData!O14</f>
        <v>111</v>
      </c>
      <c r="AQ14" s="17">
        <f>MajorData!S14</f>
        <v>662</v>
      </c>
      <c r="AR14" s="43">
        <f t="shared" si="23"/>
        <v>662</v>
      </c>
      <c r="AS14" s="42">
        <f t="shared" si="24"/>
        <v>1</v>
      </c>
      <c r="AU14" s="17">
        <f>MajorData!I14</f>
        <v>362</v>
      </c>
      <c r="AV14" s="43">
        <f t="shared" si="25"/>
        <v>362</v>
      </c>
      <c r="AW14" s="42">
        <f t="shared" si="26"/>
        <v>1</v>
      </c>
      <c r="AX14" s="17">
        <f>MajorData!Q14</f>
        <v>300</v>
      </c>
      <c r="AY14" s="13">
        <f t="shared" si="27"/>
        <v>0.45317220543806647</v>
      </c>
      <c r="AZ14" s="39">
        <f t="shared" si="28"/>
        <v>534</v>
      </c>
      <c r="BA14" s="39">
        <f t="shared" si="29"/>
        <v>1.78</v>
      </c>
      <c r="BC14">
        <f>MajorData!C14</f>
        <v>162</v>
      </c>
      <c r="BD14">
        <f>MajorData!E14</f>
        <v>200</v>
      </c>
      <c r="BF14">
        <f>MajorData!L14</f>
        <v>257</v>
      </c>
      <c r="BG14" s="13">
        <f t="shared" si="30"/>
        <v>0.85666666666666669</v>
      </c>
      <c r="BH14">
        <f t="shared" si="31"/>
        <v>252</v>
      </c>
      <c r="BI14" s="50">
        <f t="shared" si="32"/>
        <v>0.98054474708171202</v>
      </c>
      <c r="BJ14">
        <f>MajorData!M14</f>
        <v>277</v>
      </c>
      <c r="BK14" s="13">
        <f t="shared" si="33"/>
        <v>0.92333333333333334</v>
      </c>
      <c r="BL14" s="17">
        <f t="shared" si="34"/>
        <v>42</v>
      </c>
      <c r="BM14" s="13">
        <f t="shared" si="35"/>
        <v>0.15162454873646208</v>
      </c>
      <c r="BO14" t="e">
        <v>#N/A</v>
      </c>
      <c r="BP14">
        <f t="shared" si="36"/>
        <v>239</v>
      </c>
      <c r="BQ14">
        <f>IntData!T14</f>
        <v>13</v>
      </c>
      <c r="BS14" t="e">
        <v>#N/A</v>
      </c>
      <c r="BT14">
        <f t="shared" si="37"/>
        <v>239</v>
      </c>
      <c r="BU14" t="e">
        <v>#N/A</v>
      </c>
      <c r="BV14" s="48">
        <v>0</v>
      </c>
      <c r="BX14">
        <f>IntData!K14</f>
        <v>259</v>
      </c>
      <c r="BY14">
        <f>MinorData!DR14</f>
        <v>20</v>
      </c>
      <c r="CA14" t="e">
        <v>#N/A</v>
      </c>
      <c r="CB14">
        <f t="shared" si="38"/>
        <v>33</v>
      </c>
      <c r="CD14" s="17">
        <f>IntData!U14</f>
        <v>9</v>
      </c>
      <c r="CF14" t="e">
        <v>#N/A</v>
      </c>
      <c r="CG14" s="48">
        <v>0</v>
      </c>
      <c r="CH14">
        <f>IntData!L14</f>
        <v>33</v>
      </c>
    </row>
    <row r="15" spans="1:86" x14ac:dyDescent="0.35">
      <c r="A15" s="7">
        <v>1884</v>
      </c>
      <c r="B15" s="6">
        <v>734</v>
      </c>
      <c r="C15" s="6">
        <v>629</v>
      </c>
      <c r="D15" s="6">
        <f t="array" ref="D15">SUM(IF(ISNUMBER(MinorData!$DJ15:$EI15),MinorData!$DJ15:$EI15))</f>
        <v>644.4</v>
      </c>
      <c r="E15" s="6">
        <f t="array" ref="E15">SUM(IF(ISNUMBER(MinorData!$EJ15:$FM15),MinorData!$EJ15:$FM15))</f>
        <v>495.20000000000005</v>
      </c>
      <c r="F15" s="13">
        <f t="shared" si="17"/>
        <v>0.87792915531335147</v>
      </c>
      <c r="G15" s="13">
        <f t="shared" si="18"/>
        <v>0.78728139904610495</v>
      </c>
      <c r="H15" s="17"/>
      <c r="J15" s="17">
        <f>MajorData!G15</f>
        <v>311</v>
      </c>
      <c r="K15" s="17">
        <f>MajorData!J15</f>
        <v>548</v>
      </c>
      <c r="L15" s="17">
        <f>MajorData!N15</f>
        <v>42</v>
      </c>
      <c r="M15" s="17">
        <f>MajorData!P15</f>
        <v>106</v>
      </c>
      <c r="N15" s="17">
        <f>MajorData!U15</f>
        <v>109</v>
      </c>
      <c r="O15" s="17">
        <f>MajorData!V15</f>
        <v>180</v>
      </c>
      <c r="P15" s="17">
        <f>IntData!T15</f>
        <v>17</v>
      </c>
      <c r="Q15" s="17">
        <f>IntData!U15</f>
        <v>10</v>
      </c>
      <c r="R15" s="17">
        <f>IntData!V15</f>
        <v>25</v>
      </c>
      <c r="S15" s="17">
        <f>IntData!W15</f>
        <v>82</v>
      </c>
      <c r="T15" s="17">
        <f t="shared" si="19"/>
        <v>109</v>
      </c>
      <c r="U15" s="17">
        <f t="shared" si="4"/>
        <v>625</v>
      </c>
      <c r="V15" s="13">
        <f t="shared" si="20"/>
        <v>1</v>
      </c>
      <c r="W15" s="13">
        <f t="shared" si="21"/>
        <v>0.60555555555555551</v>
      </c>
      <c r="X15" s="13"/>
      <c r="Z15" s="13">
        <f t="shared" si="5"/>
        <v>0.42370572207084467</v>
      </c>
      <c r="AA15" s="13">
        <f t="shared" si="6"/>
        <v>0.74659400544959131</v>
      </c>
      <c r="AB15" s="13">
        <f t="shared" si="7"/>
        <v>5.7220708446866483E-2</v>
      </c>
      <c r="AC15" s="13">
        <f t="shared" si="8"/>
        <v>0.1444141689373297</v>
      </c>
      <c r="AD15" s="13">
        <f t="shared" si="9"/>
        <v>0.14850136239782016</v>
      </c>
      <c r="AE15" s="13">
        <f t="shared" si="10"/>
        <v>0.24523160762942781</v>
      </c>
      <c r="AF15" s="13">
        <f t="shared" si="11"/>
        <v>2.316076294277929E-2</v>
      </c>
      <c r="AG15" s="13">
        <f t="shared" si="12"/>
        <v>1.3623978201634877E-2</v>
      </c>
      <c r="AH15" s="13">
        <f t="shared" si="13"/>
        <v>0.11171662125340599</v>
      </c>
      <c r="AJ15" s="13">
        <f t="shared" si="14"/>
        <v>0.94822888283378748</v>
      </c>
      <c r="AL15">
        <f t="shared" si="15"/>
        <v>734</v>
      </c>
      <c r="AM15" s="17">
        <f t="shared" si="16"/>
        <v>731</v>
      </c>
      <c r="AN15" s="13">
        <f t="shared" si="22"/>
        <v>0.99591280653950953</v>
      </c>
      <c r="AP15" s="17">
        <f>MajorData!O15</f>
        <v>104</v>
      </c>
      <c r="AQ15" s="17">
        <f>MajorData!S15</f>
        <v>627</v>
      </c>
      <c r="AR15" s="43">
        <f t="shared" si="23"/>
        <v>627</v>
      </c>
      <c r="AS15" s="42">
        <f t="shared" si="24"/>
        <v>1</v>
      </c>
      <c r="AU15" s="17">
        <f>MajorData!I15</f>
        <v>326</v>
      </c>
      <c r="AV15" s="43">
        <f t="shared" si="25"/>
        <v>325</v>
      </c>
      <c r="AW15" s="42">
        <f t="shared" si="26"/>
        <v>0.99693251533742333</v>
      </c>
      <c r="AX15" s="17">
        <f>MajorData!Q15</f>
        <v>301</v>
      </c>
      <c r="AY15" s="13">
        <f t="shared" si="27"/>
        <v>0.48006379585326953</v>
      </c>
      <c r="AZ15" s="39">
        <f t="shared" si="28"/>
        <v>538</v>
      </c>
      <c r="BA15" s="39">
        <f t="shared" si="29"/>
        <v>1.787375415282392</v>
      </c>
      <c r="BC15">
        <f>MajorData!C15</f>
        <v>137</v>
      </c>
      <c r="BD15">
        <f>MajorData!E15</f>
        <v>188</v>
      </c>
      <c r="BF15">
        <f>MajorData!L15</f>
        <v>259</v>
      </c>
      <c r="BG15" s="13">
        <f t="shared" si="30"/>
        <v>0.86046511627906974</v>
      </c>
      <c r="BH15">
        <f t="shared" si="31"/>
        <v>252</v>
      </c>
      <c r="BI15" s="50">
        <f t="shared" si="32"/>
        <v>0.97297297297297303</v>
      </c>
      <c r="BJ15">
        <f>MajorData!M15</f>
        <v>279</v>
      </c>
      <c r="BK15" s="13">
        <f t="shared" si="33"/>
        <v>0.92691029900332222</v>
      </c>
      <c r="BL15" s="17">
        <f t="shared" si="34"/>
        <v>41</v>
      </c>
      <c r="BM15" s="13">
        <f t="shared" si="35"/>
        <v>0.14695340501792115</v>
      </c>
      <c r="BO15" t="e">
        <v>#N/A</v>
      </c>
      <c r="BP15">
        <f t="shared" si="36"/>
        <v>235</v>
      </c>
      <c r="BQ15">
        <f>IntData!T15</f>
        <v>17</v>
      </c>
      <c r="BS15" t="e">
        <v>#N/A</v>
      </c>
      <c r="BT15">
        <f t="shared" si="37"/>
        <v>235</v>
      </c>
      <c r="BU15" t="e">
        <v>#N/A</v>
      </c>
      <c r="BV15" s="48">
        <v>0</v>
      </c>
      <c r="BX15">
        <f>IntData!K15</f>
        <v>255</v>
      </c>
      <c r="BY15">
        <f>MinorData!DR15</f>
        <v>20</v>
      </c>
      <c r="CA15" t="e">
        <v>#N/A</v>
      </c>
      <c r="CB15">
        <f t="shared" si="38"/>
        <v>31</v>
      </c>
      <c r="CD15" s="17">
        <f>IntData!U15</f>
        <v>10</v>
      </c>
      <c r="CF15" t="e">
        <v>#N/A</v>
      </c>
      <c r="CG15" s="48">
        <v>0</v>
      </c>
      <c r="CH15">
        <f>IntData!L15</f>
        <v>31</v>
      </c>
    </row>
    <row r="16" spans="1:86" x14ac:dyDescent="0.35">
      <c r="A16" s="7">
        <v>1885</v>
      </c>
      <c r="B16" s="6">
        <v>674</v>
      </c>
      <c r="C16" s="6">
        <v>588</v>
      </c>
      <c r="D16" s="6">
        <f t="array" ref="D16">SUM(IF(ISNUMBER(MinorData!$DJ16:$EI16),MinorData!$DJ16:$EI16))</f>
        <v>587.10000000000025</v>
      </c>
      <c r="E16" s="6">
        <f t="array" ref="E16">SUM(IF(ISNUMBER(MinorData!$EJ16:$FM16),MinorData!$EJ16:$FM16))</f>
        <v>460.8</v>
      </c>
      <c r="F16" s="13">
        <f t="shared" si="17"/>
        <v>0.87106824925816062</v>
      </c>
      <c r="G16" s="13">
        <f t="shared" si="18"/>
        <v>0.78367346938775517</v>
      </c>
      <c r="H16" s="17"/>
      <c r="J16" s="17">
        <f>MajorData!G16</f>
        <v>305</v>
      </c>
      <c r="K16" s="17">
        <f>MajorData!J16</f>
        <v>502</v>
      </c>
      <c r="L16" s="17">
        <f>MajorData!N16</f>
        <v>40</v>
      </c>
      <c r="M16" s="17">
        <f>MajorData!P16</f>
        <v>103</v>
      </c>
      <c r="N16" s="17">
        <f>MajorData!U16</f>
        <v>103</v>
      </c>
      <c r="O16" s="17">
        <f>MajorData!V16</f>
        <v>166</v>
      </c>
      <c r="P16" s="17">
        <f>IntData!T16</f>
        <v>15</v>
      </c>
      <c r="Q16" s="17">
        <f>IntData!U16</f>
        <v>10</v>
      </c>
      <c r="R16" s="17">
        <f>IntData!V16</f>
        <v>20</v>
      </c>
      <c r="S16" s="17">
        <f>IntData!W16</f>
        <v>77</v>
      </c>
      <c r="T16" s="17">
        <f t="shared" si="19"/>
        <v>102</v>
      </c>
      <c r="U16" s="17">
        <f t="shared" si="4"/>
        <v>571</v>
      </c>
      <c r="V16" s="13">
        <f t="shared" si="20"/>
        <v>0.99029126213592233</v>
      </c>
      <c r="W16" s="13">
        <f t="shared" si="21"/>
        <v>0.61445783132530118</v>
      </c>
      <c r="X16" s="13"/>
      <c r="Z16" s="13">
        <f t="shared" si="5"/>
        <v>0.45252225519287836</v>
      </c>
      <c r="AA16" s="13">
        <f t="shared" si="6"/>
        <v>0.74480712166172103</v>
      </c>
      <c r="AB16" s="13">
        <f t="shared" si="7"/>
        <v>5.9347181008902079E-2</v>
      </c>
      <c r="AC16" s="13">
        <f t="shared" si="8"/>
        <v>0.15281899109792285</v>
      </c>
      <c r="AD16" s="13">
        <f t="shared" si="9"/>
        <v>0.15281899109792285</v>
      </c>
      <c r="AE16" s="13">
        <f t="shared" si="10"/>
        <v>0.24629080118694363</v>
      </c>
      <c r="AF16" s="13">
        <f t="shared" si="11"/>
        <v>2.2255192878338281E-2</v>
      </c>
      <c r="AG16" s="13">
        <f t="shared" si="12"/>
        <v>1.483679525222552E-2</v>
      </c>
      <c r="AH16" s="13">
        <f t="shared" si="13"/>
        <v>0.1142433234421365</v>
      </c>
      <c r="AJ16" s="13">
        <f t="shared" si="14"/>
        <v>0.95697329376854601</v>
      </c>
      <c r="AL16">
        <f t="shared" si="15"/>
        <v>674</v>
      </c>
      <c r="AM16" s="17">
        <f t="shared" si="16"/>
        <v>671</v>
      </c>
      <c r="AN16" s="13">
        <f t="shared" si="22"/>
        <v>0.99554896142433236</v>
      </c>
      <c r="AP16" s="17">
        <f>MajorData!O16</f>
        <v>100</v>
      </c>
      <c r="AQ16" s="17">
        <f>MajorData!S16</f>
        <v>571</v>
      </c>
      <c r="AR16" s="43">
        <f t="shared" si="23"/>
        <v>571</v>
      </c>
      <c r="AS16" s="42">
        <f t="shared" si="24"/>
        <v>1</v>
      </c>
      <c r="AU16" s="17">
        <f>MajorData!I16</f>
        <v>316</v>
      </c>
      <c r="AV16" s="43">
        <f t="shared" si="25"/>
        <v>316</v>
      </c>
      <c r="AW16" s="42">
        <f t="shared" si="26"/>
        <v>1</v>
      </c>
      <c r="AX16" s="17">
        <f>MajorData!Q16</f>
        <v>255</v>
      </c>
      <c r="AY16" s="13">
        <f t="shared" si="27"/>
        <v>0.44658493870402804</v>
      </c>
      <c r="AZ16" s="39">
        <f t="shared" si="28"/>
        <v>456</v>
      </c>
      <c r="BA16" s="39">
        <f t="shared" si="29"/>
        <v>1.7882352941176471</v>
      </c>
      <c r="BC16">
        <f>MajorData!C16</f>
        <v>127</v>
      </c>
      <c r="BD16">
        <f>MajorData!E16</f>
        <v>189</v>
      </c>
      <c r="BF16">
        <f>MajorData!L16</f>
        <v>215</v>
      </c>
      <c r="BG16" s="13">
        <f t="shared" si="30"/>
        <v>0.84313725490196079</v>
      </c>
      <c r="BH16">
        <f t="shared" si="31"/>
        <v>209.4</v>
      </c>
      <c r="BI16" s="50">
        <f t="shared" si="32"/>
        <v>0.97395348837209306</v>
      </c>
      <c r="BJ16">
        <f>MajorData!M16</f>
        <v>241</v>
      </c>
      <c r="BK16" s="13">
        <f t="shared" si="33"/>
        <v>0.94509803921568625</v>
      </c>
      <c r="BL16" s="17">
        <f t="shared" si="34"/>
        <v>38</v>
      </c>
      <c r="BM16" s="13">
        <f t="shared" si="35"/>
        <v>0.15767634854771784</v>
      </c>
      <c r="BO16" t="e">
        <v>#N/A</v>
      </c>
      <c r="BP16">
        <f t="shared" si="36"/>
        <v>194.4</v>
      </c>
      <c r="BQ16">
        <f>IntData!T16</f>
        <v>15</v>
      </c>
      <c r="BS16" t="e">
        <v>#N/A</v>
      </c>
      <c r="BT16">
        <f t="shared" si="37"/>
        <v>194.4</v>
      </c>
      <c r="BU16" t="e">
        <v>#N/A</v>
      </c>
      <c r="BV16" s="48">
        <v>0</v>
      </c>
      <c r="BX16">
        <f>IntData!K16</f>
        <v>221</v>
      </c>
      <c r="BY16">
        <f>MinorData!DR16</f>
        <v>26.6</v>
      </c>
      <c r="CA16" t="e">
        <v>#N/A</v>
      </c>
      <c r="CB16">
        <f t="shared" si="38"/>
        <v>28</v>
      </c>
      <c r="CD16" s="17">
        <f>IntData!U16</f>
        <v>10</v>
      </c>
      <c r="CF16" t="e">
        <v>#N/A</v>
      </c>
      <c r="CG16" s="48">
        <v>0</v>
      </c>
      <c r="CH16">
        <f>IntData!L16</f>
        <v>28</v>
      </c>
    </row>
    <row r="17" spans="1:86" x14ac:dyDescent="0.35">
      <c r="A17" s="7">
        <v>1886</v>
      </c>
      <c r="B17" s="6">
        <v>700</v>
      </c>
      <c r="C17" s="6">
        <v>663</v>
      </c>
      <c r="D17" s="6">
        <f t="array" ref="D17">SUM(IF(ISNUMBER(MinorData!$DJ17:$EI17),MinorData!$DJ17:$EI17))</f>
        <v>625.59999999999991</v>
      </c>
      <c r="E17" s="6">
        <f t="array" ref="E17">SUM(IF(ISNUMBER(MinorData!$EJ17:$FM17),MinorData!$EJ17:$FM17))</f>
        <v>522.4</v>
      </c>
      <c r="F17" s="13">
        <f t="shared" si="17"/>
        <v>0.89371428571428557</v>
      </c>
      <c r="G17" s="13">
        <f t="shared" si="18"/>
        <v>0.7879336349924585</v>
      </c>
      <c r="H17" s="17"/>
      <c r="J17" s="17">
        <f>MajorData!G17</f>
        <v>309</v>
      </c>
      <c r="K17" s="17">
        <f>MajorData!J17</f>
        <v>535</v>
      </c>
      <c r="L17" s="17">
        <f>MajorData!N17</f>
        <v>38</v>
      </c>
      <c r="M17" s="17">
        <f>MajorData!P17</f>
        <v>103</v>
      </c>
      <c r="N17" s="17">
        <f>MajorData!U17</f>
        <v>96</v>
      </c>
      <c r="O17" s="17">
        <f>MajorData!V17</f>
        <v>159</v>
      </c>
      <c r="P17" s="17">
        <f>IntData!T17</f>
        <v>13</v>
      </c>
      <c r="Q17" s="17">
        <f>IntData!U17</f>
        <v>9</v>
      </c>
      <c r="R17" s="17">
        <f>IntData!V17</f>
        <v>19</v>
      </c>
      <c r="S17" s="17">
        <f>IntData!W17</f>
        <v>74</v>
      </c>
      <c r="T17" s="17">
        <f t="shared" si="19"/>
        <v>96</v>
      </c>
      <c r="U17" s="17">
        <f t="shared" si="4"/>
        <v>604</v>
      </c>
      <c r="V17" s="13">
        <f t="shared" si="20"/>
        <v>1</v>
      </c>
      <c r="W17" s="13">
        <f t="shared" si="21"/>
        <v>0.60377358490566035</v>
      </c>
      <c r="X17" s="13"/>
      <c r="Z17" s="13">
        <f t="shared" si="5"/>
        <v>0.44142857142857145</v>
      </c>
      <c r="AA17" s="13">
        <f t="shared" si="6"/>
        <v>0.76428571428571423</v>
      </c>
      <c r="AB17" s="13">
        <f t="shared" si="7"/>
        <v>5.4285714285714284E-2</v>
      </c>
      <c r="AC17" s="13">
        <f t="shared" si="8"/>
        <v>0.14714285714285713</v>
      </c>
      <c r="AD17" s="13">
        <f t="shared" si="9"/>
        <v>0.13714285714285715</v>
      </c>
      <c r="AE17" s="13">
        <f t="shared" si="10"/>
        <v>0.22714285714285715</v>
      </c>
      <c r="AF17" s="13">
        <f t="shared" si="11"/>
        <v>1.8571428571428572E-2</v>
      </c>
      <c r="AG17" s="13">
        <f t="shared" si="12"/>
        <v>1.2857142857142857E-2</v>
      </c>
      <c r="AH17" s="13">
        <f t="shared" si="13"/>
        <v>0.10571428571428572</v>
      </c>
      <c r="AJ17" s="13">
        <f t="shared" si="14"/>
        <v>0.96571428571428564</v>
      </c>
      <c r="AL17">
        <f t="shared" si="15"/>
        <v>700</v>
      </c>
      <c r="AM17" s="17">
        <f t="shared" si="16"/>
        <v>698</v>
      </c>
      <c r="AN17" s="13">
        <f t="shared" si="22"/>
        <v>0.99714285714285711</v>
      </c>
      <c r="AP17" s="17">
        <f>MajorData!O17</f>
        <v>100</v>
      </c>
      <c r="AQ17" s="17">
        <f>MajorData!S17</f>
        <v>598</v>
      </c>
      <c r="AR17" s="43">
        <f t="shared" si="23"/>
        <v>597</v>
      </c>
      <c r="AS17" s="42">
        <f t="shared" si="24"/>
        <v>0.99832775919732442</v>
      </c>
      <c r="AU17" s="17">
        <f>MajorData!I17</f>
        <v>318</v>
      </c>
      <c r="AV17" s="43">
        <f t="shared" si="25"/>
        <v>319</v>
      </c>
      <c r="AW17" s="42">
        <f t="shared" si="26"/>
        <v>1.0031446540880504</v>
      </c>
      <c r="AX17" s="17">
        <f>MajorData!Q17</f>
        <v>279</v>
      </c>
      <c r="AY17" s="13">
        <f t="shared" si="27"/>
        <v>0.46655518394648832</v>
      </c>
      <c r="AZ17" s="39">
        <f t="shared" si="28"/>
        <v>511</v>
      </c>
      <c r="BA17" s="39">
        <f t="shared" si="29"/>
        <v>1.8315412186379929</v>
      </c>
      <c r="BC17">
        <f>MajorData!C17</f>
        <v>148</v>
      </c>
      <c r="BD17">
        <f>MajorData!E17</f>
        <v>171</v>
      </c>
      <c r="BF17">
        <f>MajorData!L17</f>
        <v>241</v>
      </c>
      <c r="BG17" s="13">
        <f t="shared" si="30"/>
        <v>0.86379928315412191</v>
      </c>
      <c r="BH17">
        <f t="shared" si="31"/>
        <v>235.7</v>
      </c>
      <c r="BI17" s="50">
        <f t="shared" si="32"/>
        <v>0.97800829875518669</v>
      </c>
      <c r="BJ17">
        <f>MajorData!M17</f>
        <v>270</v>
      </c>
      <c r="BK17" s="13">
        <f t="shared" si="33"/>
        <v>0.967741935483871</v>
      </c>
      <c r="BL17" s="17">
        <f t="shared" si="34"/>
        <v>36</v>
      </c>
      <c r="BM17" s="13">
        <f t="shared" si="35"/>
        <v>0.13333333333333333</v>
      </c>
      <c r="BO17" t="e">
        <v>#N/A</v>
      </c>
      <c r="BP17">
        <f t="shared" si="36"/>
        <v>222.7</v>
      </c>
      <c r="BQ17">
        <f>IntData!T17</f>
        <v>13</v>
      </c>
      <c r="BS17" t="e">
        <v>#N/A</v>
      </c>
      <c r="BT17">
        <f t="shared" si="37"/>
        <v>222.7</v>
      </c>
      <c r="BU17" t="e">
        <v>#N/A</v>
      </c>
      <c r="BV17" s="48">
        <v>0</v>
      </c>
      <c r="BX17">
        <f>IntData!K17</f>
        <v>251</v>
      </c>
      <c r="BY17">
        <f>MinorData!DR17</f>
        <v>28.3</v>
      </c>
      <c r="CA17" t="e">
        <v>#N/A</v>
      </c>
      <c r="CB17">
        <f t="shared" si="38"/>
        <v>27</v>
      </c>
      <c r="CD17" s="17">
        <f>IntData!U17</f>
        <v>9</v>
      </c>
      <c r="CF17" t="e">
        <v>#N/A</v>
      </c>
      <c r="CG17" s="48">
        <v>0</v>
      </c>
      <c r="CH17">
        <f>IntData!L17</f>
        <v>27</v>
      </c>
    </row>
    <row r="18" spans="1:86" x14ac:dyDescent="0.35">
      <c r="A18" s="7">
        <v>1887</v>
      </c>
      <c r="B18" s="8">
        <v>703</v>
      </c>
      <c r="C18" s="6">
        <v>709</v>
      </c>
      <c r="D18" s="6">
        <f t="array" ref="D18">SUM(IF(ISNUMBER(MinorData!$DJ18:$EI18),MinorData!$DJ18:$EI18))</f>
        <v>629.90000000000009</v>
      </c>
      <c r="E18" s="6">
        <f t="array" ref="E18">SUM(IF(ISNUMBER(MinorData!$EJ18:$FM18),MinorData!$EJ18:$FM18))</f>
        <v>557.60000000000014</v>
      </c>
      <c r="F18" s="13">
        <f t="shared" si="17"/>
        <v>0.89601706970128037</v>
      </c>
      <c r="G18" s="13">
        <f t="shared" si="18"/>
        <v>0.78645980253878722</v>
      </c>
      <c r="H18" s="17"/>
      <c r="J18" s="17">
        <f>MajorData!G18</f>
        <v>304</v>
      </c>
      <c r="K18" s="17">
        <f>MajorData!J18</f>
        <v>532</v>
      </c>
      <c r="L18" s="17">
        <f>MajorData!N18</f>
        <v>42</v>
      </c>
      <c r="M18" s="17">
        <f>MajorData!P18</f>
        <v>103</v>
      </c>
      <c r="N18" s="17">
        <f>MajorData!U18</f>
        <v>100</v>
      </c>
      <c r="O18" s="17">
        <f>MajorData!V18</f>
        <v>165</v>
      </c>
      <c r="P18" s="17">
        <f>IntData!T18</f>
        <v>15</v>
      </c>
      <c r="Q18" s="17">
        <f>IntData!U18</f>
        <v>9</v>
      </c>
      <c r="R18" s="17">
        <f>IntData!V18</f>
        <v>22</v>
      </c>
      <c r="S18" s="17">
        <f>IntData!W18</f>
        <v>75</v>
      </c>
      <c r="T18" s="17">
        <f t="shared" si="19"/>
        <v>99</v>
      </c>
      <c r="U18" s="17">
        <f t="shared" si="4"/>
        <v>603</v>
      </c>
      <c r="V18" s="13">
        <f t="shared" si="20"/>
        <v>0.99</v>
      </c>
      <c r="W18" s="13">
        <f t="shared" si="21"/>
        <v>0.6</v>
      </c>
      <c r="X18" s="13"/>
      <c r="Z18" s="13">
        <f t="shared" si="5"/>
        <v>0.43243243243243246</v>
      </c>
      <c r="AA18" s="13">
        <f t="shared" si="6"/>
        <v>0.7567567567567568</v>
      </c>
      <c r="AB18" s="13">
        <f t="shared" si="7"/>
        <v>5.9743954480796585E-2</v>
      </c>
      <c r="AC18" s="13">
        <f t="shared" si="8"/>
        <v>0.1465149359886202</v>
      </c>
      <c r="AD18" s="13">
        <f t="shared" si="9"/>
        <v>0.14224751066856331</v>
      </c>
      <c r="AE18" s="13">
        <f t="shared" si="10"/>
        <v>0.23470839260312945</v>
      </c>
      <c r="AF18" s="13">
        <f t="shared" si="11"/>
        <v>2.1337126600284494E-2</v>
      </c>
      <c r="AG18" s="13">
        <f t="shared" si="12"/>
        <v>1.2802275960170697E-2</v>
      </c>
      <c r="AH18" s="13">
        <f t="shared" si="13"/>
        <v>0.10668563300142248</v>
      </c>
      <c r="AJ18" s="13">
        <f t="shared" si="14"/>
        <v>0.96301564722617361</v>
      </c>
      <c r="AL18">
        <f t="shared" si="15"/>
        <v>703</v>
      </c>
      <c r="AM18" s="17">
        <f t="shared" si="16"/>
        <v>701</v>
      </c>
      <c r="AN18" s="13">
        <f t="shared" si="22"/>
        <v>0.99715504978662872</v>
      </c>
      <c r="AP18" s="17">
        <f>MajorData!O18</f>
        <v>100</v>
      </c>
      <c r="AQ18" s="17">
        <f>MajorData!S18</f>
        <v>601</v>
      </c>
      <c r="AR18" s="43">
        <f t="shared" si="23"/>
        <v>601</v>
      </c>
      <c r="AS18" s="42">
        <f t="shared" si="24"/>
        <v>1</v>
      </c>
      <c r="AU18" s="17">
        <f>MajorData!I18</f>
        <v>312</v>
      </c>
      <c r="AV18" s="43">
        <f t="shared" si="25"/>
        <v>312</v>
      </c>
      <c r="AW18" s="42">
        <f t="shared" si="26"/>
        <v>1</v>
      </c>
      <c r="AX18" s="17">
        <f>MajorData!Q18</f>
        <v>289</v>
      </c>
      <c r="AY18" s="13">
        <f t="shared" si="27"/>
        <v>0.48086522462562398</v>
      </c>
      <c r="AZ18" s="39">
        <f t="shared" si="28"/>
        <v>515</v>
      </c>
      <c r="BA18" s="39">
        <f t="shared" si="29"/>
        <v>1.7820069204152249</v>
      </c>
      <c r="BC18">
        <f>MajorData!C18</f>
        <v>137</v>
      </c>
      <c r="BD18">
        <f>MajorData!E18</f>
        <v>175</v>
      </c>
      <c r="BF18">
        <f>MajorData!L18</f>
        <v>247</v>
      </c>
      <c r="BG18" s="13">
        <f t="shared" si="30"/>
        <v>0.8546712802768166</v>
      </c>
      <c r="BH18">
        <f t="shared" si="31"/>
        <v>240.1</v>
      </c>
      <c r="BI18" s="50">
        <f t="shared" si="32"/>
        <v>0.97206477732793517</v>
      </c>
      <c r="BJ18">
        <f>MajorData!M18</f>
        <v>268</v>
      </c>
      <c r="BK18" s="13">
        <f t="shared" si="33"/>
        <v>0.9273356401384083</v>
      </c>
      <c r="BL18" s="17">
        <f t="shared" si="34"/>
        <v>39</v>
      </c>
      <c r="BM18" s="13">
        <f t="shared" si="35"/>
        <v>0.1455223880597015</v>
      </c>
      <c r="BO18" t="e">
        <v>#N/A</v>
      </c>
      <c r="BP18">
        <f t="shared" si="36"/>
        <v>225.1</v>
      </c>
      <c r="BQ18">
        <f>IntData!T18</f>
        <v>15</v>
      </c>
      <c r="BS18" t="e">
        <v>#N/A</v>
      </c>
      <c r="BT18">
        <f t="shared" si="37"/>
        <v>225.1</v>
      </c>
      <c r="BU18" t="e">
        <v>#N/A</v>
      </c>
      <c r="BV18" s="48">
        <v>0</v>
      </c>
      <c r="BX18">
        <f>IntData!K18</f>
        <v>246</v>
      </c>
      <c r="BY18">
        <f>MinorData!DR18</f>
        <v>20.9</v>
      </c>
      <c r="CA18" t="e">
        <v>#N/A</v>
      </c>
      <c r="CB18">
        <f t="shared" si="38"/>
        <v>30</v>
      </c>
      <c r="CD18" s="17">
        <f>IntData!U18</f>
        <v>9</v>
      </c>
      <c r="CF18" t="e">
        <v>#N/A</v>
      </c>
      <c r="CG18" s="48">
        <v>0</v>
      </c>
      <c r="CH18">
        <f>IntData!L18</f>
        <v>30</v>
      </c>
    </row>
    <row r="19" spans="1:86" x14ac:dyDescent="0.35">
      <c r="A19" s="7">
        <v>1888</v>
      </c>
      <c r="B19" s="9">
        <v>680</v>
      </c>
      <c r="C19" s="6">
        <v>725</v>
      </c>
      <c r="D19" s="6">
        <f t="array" ref="D19">SUM(IF(ISNUMBER(MinorData!$DJ19:$EI19),MinorData!$DJ19:$EI19))</f>
        <v>603.30000000000007</v>
      </c>
      <c r="E19" s="6">
        <f t="array" ref="E19">SUM(IF(ISNUMBER(MinorData!$EJ19:$FM19),MinorData!$EJ19:$FM19))</f>
        <v>567.10000000000014</v>
      </c>
      <c r="F19" s="13">
        <f t="shared" si="17"/>
        <v>0.88720588235294129</v>
      </c>
      <c r="G19" s="13">
        <f t="shared" si="18"/>
        <v>0.78220689655172437</v>
      </c>
      <c r="H19" s="17"/>
      <c r="J19" s="17">
        <f>MajorData!G19</f>
        <v>254</v>
      </c>
      <c r="K19" s="17">
        <f>MajorData!J19</f>
        <v>494</v>
      </c>
      <c r="L19" s="17">
        <f>MajorData!N19</f>
        <v>46</v>
      </c>
      <c r="M19" s="17">
        <f>MajorData!P19</f>
        <v>107</v>
      </c>
      <c r="N19" s="17">
        <f>MajorData!U19</f>
        <v>114</v>
      </c>
      <c r="O19" s="17">
        <f>MajorData!V19</f>
        <v>180</v>
      </c>
      <c r="P19" s="17">
        <f>IntData!T19</f>
        <v>20</v>
      </c>
      <c r="Q19" s="17">
        <f>IntData!U19</f>
        <v>13</v>
      </c>
      <c r="R19" s="17">
        <f>IntData!V19</f>
        <v>26</v>
      </c>
      <c r="S19" s="17">
        <f>IntData!W19</f>
        <v>81</v>
      </c>
      <c r="T19" s="17">
        <f t="shared" si="19"/>
        <v>114</v>
      </c>
      <c r="U19" s="17">
        <f t="shared" si="4"/>
        <v>566</v>
      </c>
      <c r="V19" s="13">
        <f t="shared" si="20"/>
        <v>1</v>
      </c>
      <c r="W19" s="13">
        <f t="shared" si="21"/>
        <v>0.6333333333333333</v>
      </c>
      <c r="X19" s="13"/>
      <c r="Z19" s="13">
        <f t="shared" si="5"/>
        <v>0.37352941176470589</v>
      </c>
      <c r="AA19" s="13">
        <f t="shared" si="6"/>
        <v>0.72647058823529409</v>
      </c>
      <c r="AB19" s="13">
        <f t="shared" si="7"/>
        <v>6.7647058823529407E-2</v>
      </c>
      <c r="AC19" s="13">
        <f t="shared" si="8"/>
        <v>0.15735294117647058</v>
      </c>
      <c r="AD19" s="13">
        <f t="shared" si="9"/>
        <v>0.1676470588235294</v>
      </c>
      <c r="AE19" s="13">
        <f t="shared" si="10"/>
        <v>0.26470588235294118</v>
      </c>
      <c r="AF19" s="13">
        <f t="shared" si="11"/>
        <v>2.9411764705882353E-2</v>
      </c>
      <c r="AG19" s="13">
        <f t="shared" si="12"/>
        <v>1.9117647058823531E-2</v>
      </c>
      <c r="AH19" s="13">
        <f t="shared" si="13"/>
        <v>0.11911764705882352</v>
      </c>
      <c r="AJ19" s="13">
        <f t="shared" si="14"/>
        <v>0.95147058823529407</v>
      </c>
      <c r="AL19">
        <f t="shared" si="15"/>
        <v>680</v>
      </c>
      <c r="AM19" s="17">
        <f t="shared" si="16"/>
        <v>677</v>
      </c>
      <c r="AN19" s="13">
        <f t="shared" si="22"/>
        <v>0.99558823529411766</v>
      </c>
      <c r="AP19" s="17">
        <f>MajorData!O19</f>
        <v>103</v>
      </c>
      <c r="AQ19" s="17">
        <f>MajorData!S19</f>
        <v>574</v>
      </c>
      <c r="AR19" s="43">
        <f t="shared" si="23"/>
        <v>574</v>
      </c>
      <c r="AS19" s="42">
        <f t="shared" si="24"/>
        <v>1</v>
      </c>
      <c r="AU19" s="17">
        <f>MajorData!I19</f>
        <v>265</v>
      </c>
      <c r="AV19" s="43">
        <f t="shared" si="25"/>
        <v>265</v>
      </c>
      <c r="AW19" s="42">
        <f t="shared" si="26"/>
        <v>1</v>
      </c>
      <c r="AX19" s="17">
        <f>MajorData!Q19</f>
        <v>309</v>
      </c>
      <c r="AY19" s="13">
        <f t="shared" si="27"/>
        <v>0.5383275261324042</v>
      </c>
      <c r="AZ19" s="39">
        <f t="shared" si="28"/>
        <v>545</v>
      </c>
      <c r="BA19" s="39">
        <f t="shared" si="29"/>
        <v>1.7637540453074434</v>
      </c>
      <c r="BC19">
        <f>MajorData!C19</f>
        <v>100</v>
      </c>
      <c r="BD19">
        <f>MajorData!E19</f>
        <v>165</v>
      </c>
      <c r="BF19">
        <f>MajorData!L19</f>
        <v>263</v>
      </c>
      <c r="BG19" s="13">
        <f t="shared" si="30"/>
        <v>0.85113268608414239</v>
      </c>
      <c r="BH19">
        <f t="shared" si="31"/>
        <v>257.3</v>
      </c>
      <c r="BI19" s="50">
        <f t="shared" si="32"/>
        <v>0.97832699619771868</v>
      </c>
      <c r="BJ19">
        <f>MajorData!M19</f>
        <v>282</v>
      </c>
      <c r="BK19" s="13">
        <f t="shared" si="33"/>
        <v>0.91262135922330101</v>
      </c>
      <c r="BL19" s="17">
        <f t="shared" si="34"/>
        <v>44</v>
      </c>
      <c r="BM19" s="13">
        <f t="shared" si="35"/>
        <v>0.15602836879432624</v>
      </c>
      <c r="BO19" t="e">
        <v>#N/A</v>
      </c>
      <c r="BP19">
        <f t="shared" si="36"/>
        <v>237.3</v>
      </c>
      <c r="BQ19">
        <f>IntData!T19</f>
        <v>20</v>
      </c>
      <c r="BS19" t="e">
        <v>#N/A</v>
      </c>
      <c r="BT19">
        <f t="shared" si="37"/>
        <v>237.3</v>
      </c>
      <c r="BU19" t="e">
        <v>#N/A</v>
      </c>
      <c r="BV19" s="48">
        <v>0</v>
      </c>
      <c r="BX19">
        <f>IntData!K19</f>
        <v>256</v>
      </c>
      <c r="BY19">
        <f>MinorData!DR19</f>
        <v>18.7</v>
      </c>
      <c r="CA19" t="e">
        <v>#N/A</v>
      </c>
      <c r="CB19">
        <f t="shared" si="38"/>
        <v>31</v>
      </c>
      <c r="CD19" s="17">
        <f>IntData!U19</f>
        <v>13</v>
      </c>
      <c r="CF19" t="e">
        <v>#N/A</v>
      </c>
      <c r="CG19" s="48">
        <v>0</v>
      </c>
      <c r="CH19">
        <f>IntData!L19</f>
        <v>31</v>
      </c>
    </row>
    <row r="20" spans="1:86" x14ac:dyDescent="0.35">
      <c r="A20" s="7">
        <v>1889</v>
      </c>
      <c r="B20" s="8">
        <v>814</v>
      </c>
      <c r="C20" s="6">
        <v>771</v>
      </c>
      <c r="D20" s="6">
        <f t="array" ref="D20">SUM(IF(ISNUMBER(MinorData!$DJ20:$EI20),MinorData!$DJ20:$EI20))</f>
        <v>722.4</v>
      </c>
      <c r="E20" s="6">
        <f t="array" ref="E20">SUM(IF(ISNUMBER(MinorData!$EJ20:$FM20),MinorData!$EJ20:$FM20))</f>
        <v>596.70000000000005</v>
      </c>
      <c r="F20" s="13">
        <f t="shared" si="17"/>
        <v>0.88746928746928744</v>
      </c>
      <c r="G20" s="13">
        <f t="shared" si="18"/>
        <v>0.77392996108949419</v>
      </c>
      <c r="H20" s="17"/>
      <c r="J20" s="17">
        <f>MajorData!G20</f>
        <v>319</v>
      </c>
      <c r="K20" s="17">
        <f>MajorData!J20</f>
        <v>602</v>
      </c>
      <c r="L20" s="17">
        <f>MajorData!N20</f>
        <v>50</v>
      </c>
      <c r="M20" s="17">
        <f>MajorData!P20</f>
        <v>124</v>
      </c>
      <c r="N20" s="17">
        <f>MajorData!U20</f>
        <v>128</v>
      </c>
      <c r="O20" s="17">
        <f>MajorData!V20</f>
        <v>205</v>
      </c>
      <c r="P20" s="17">
        <f>IntData!T20</f>
        <v>22</v>
      </c>
      <c r="Q20" s="17">
        <f>IntData!U20</f>
        <v>8</v>
      </c>
      <c r="R20" s="17">
        <f>IntData!V20</f>
        <v>34</v>
      </c>
      <c r="S20" s="17">
        <f>IntData!W20</f>
        <v>97</v>
      </c>
      <c r="T20" s="17">
        <f t="shared" si="19"/>
        <v>127</v>
      </c>
      <c r="U20" s="17">
        <f t="shared" si="4"/>
        <v>686</v>
      </c>
      <c r="V20" s="13">
        <f t="shared" si="20"/>
        <v>0.9921875</v>
      </c>
      <c r="W20" s="13">
        <f t="shared" si="21"/>
        <v>0.61951219512195121</v>
      </c>
      <c r="X20" s="13"/>
      <c r="Z20" s="13">
        <f t="shared" si="5"/>
        <v>0.39189189189189189</v>
      </c>
      <c r="AA20" s="13">
        <f t="shared" si="6"/>
        <v>0.73955773955773951</v>
      </c>
      <c r="AB20" s="13">
        <f t="shared" si="7"/>
        <v>6.1425061425061427E-2</v>
      </c>
      <c r="AC20" s="13">
        <f t="shared" si="8"/>
        <v>0.15233415233415235</v>
      </c>
      <c r="AD20" s="13">
        <f t="shared" si="9"/>
        <v>0.15724815724815724</v>
      </c>
      <c r="AE20" s="13">
        <f t="shared" si="10"/>
        <v>0.25184275184275184</v>
      </c>
      <c r="AF20" s="13">
        <f t="shared" si="11"/>
        <v>2.7027027027027029E-2</v>
      </c>
      <c r="AG20" s="13">
        <f t="shared" si="12"/>
        <v>9.8280098280098278E-3</v>
      </c>
      <c r="AH20" s="13">
        <f t="shared" si="13"/>
        <v>0.11916461916461916</v>
      </c>
      <c r="AJ20" s="13">
        <f t="shared" si="14"/>
        <v>0.95331695331695332</v>
      </c>
      <c r="AL20">
        <f t="shared" si="15"/>
        <v>814</v>
      </c>
      <c r="AM20" s="17">
        <f t="shared" si="16"/>
        <v>811</v>
      </c>
      <c r="AN20" s="13">
        <f t="shared" si="22"/>
        <v>0.99631449631449631</v>
      </c>
      <c r="AP20" s="17">
        <f>MajorData!O20</f>
        <v>120</v>
      </c>
      <c r="AQ20" s="17">
        <f>MajorData!S20</f>
        <v>691</v>
      </c>
      <c r="AR20" s="43">
        <f t="shared" si="23"/>
        <v>690</v>
      </c>
      <c r="AS20" s="42">
        <f t="shared" si="24"/>
        <v>0.9985528219971056</v>
      </c>
      <c r="AU20" s="17">
        <f>MajorData!I20</f>
        <v>331</v>
      </c>
      <c r="AV20" s="43">
        <f t="shared" si="25"/>
        <v>332</v>
      </c>
      <c r="AW20" s="42">
        <f t="shared" si="26"/>
        <v>1.0030211480362539</v>
      </c>
      <c r="AX20" s="17">
        <f>MajorData!Q20</f>
        <v>359</v>
      </c>
      <c r="AY20" s="13">
        <f t="shared" si="27"/>
        <v>0.51953690303907385</v>
      </c>
      <c r="AZ20" s="39">
        <f t="shared" si="28"/>
        <v>640</v>
      </c>
      <c r="BA20" s="39">
        <f t="shared" si="29"/>
        <v>1.7827298050139275</v>
      </c>
      <c r="BC20">
        <f>MajorData!C20</f>
        <v>130</v>
      </c>
      <c r="BD20">
        <f>MajorData!E20</f>
        <v>202</v>
      </c>
      <c r="BF20">
        <f>MajorData!L20</f>
        <v>309</v>
      </c>
      <c r="BG20" s="13">
        <f t="shared" si="30"/>
        <v>0.8607242339832869</v>
      </c>
      <c r="BH20">
        <f t="shared" si="31"/>
        <v>302</v>
      </c>
      <c r="BI20" s="50">
        <f t="shared" si="32"/>
        <v>0.97734627831715215</v>
      </c>
      <c r="BJ20">
        <f>MajorData!M20</f>
        <v>331</v>
      </c>
      <c r="BK20" s="13">
        <f t="shared" si="33"/>
        <v>0.92200557103064062</v>
      </c>
      <c r="BL20" s="17">
        <f t="shared" si="34"/>
        <v>47</v>
      </c>
      <c r="BM20" s="13">
        <f t="shared" si="35"/>
        <v>0.1419939577039275</v>
      </c>
      <c r="BO20" t="e">
        <v>#N/A</v>
      </c>
      <c r="BP20">
        <f t="shared" si="36"/>
        <v>280</v>
      </c>
      <c r="BQ20">
        <f>IntData!T20</f>
        <v>22</v>
      </c>
      <c r="BS20" t="e">
        <v>#N/A</v>
      </c>
      <c r="BT20">
        <f t="shared" si="37"/>
        <v>280</v>
      </c>
      <c r="BU20" t="e">
        <v>#N/A</v>
      </c>
      <c r="BV20" s="48">
        <v>0</v>
      </c>
      <c r="BX20">
        <f>IntData!K20</f>
        <v>302</v>
      </c>
      <c r="BY20">
        <f>MinorData!DR20</f>
        <v>22</v>
      </c>
      <c r="CA20" t="e">
        <v>#N/A</v>
      </c>
      <c r="CB20">
        <f t="shared" si="38"/>
        <v>39</v>
      </c>
      <c r="CD20" s="17">
        <f>IntData!U20</f>
        <v>8</v>
      </c>
      <c r="CF20" t="e">
        <v>#N/A</v>
      </c>
      <c r="CG20" s="48">
        <v>0</v>
      </c>
      <c r="CH20">
        <f>IntData!L20</f>
        <v>39</v>
      </c>
    </row>
    <row r="21" spans="1:86" x14ac:dyDescent="0.35">
      <c r="A21" s="7">
        <v>1890</v>
      </c>
      <c r="B21" s="8">
        <v>846</v>
      </c>
      <c r="C21" s="6">
        <v>823</v>
      </c>
      <c r="D21" s="6">
        <f t="array" ref="D21">SUM(IF(ISNUMBER(MinorData!$DJ21:$EI21),MinorData!$DJ21:$EI21))</f>
        <v>754.90000000000009</v>
      </c>
      <c r="E21" s="6">
        <f t="array" ref="E21">SUM(IF(ISNUMBER(MinorData!$EJ21:$FM21),MinorData!$EJ21:$FM21))</f>
        <v>631.30000000000018</v>
      </c>
      <c r="F21" s="13">
        <f t="shared" si="17"/>
        <v>0.89231678486997645</v>
      </c>
      <c r="G21" s="13">
        <f t="shared" si="18"/>
        <v>0.76707168894289213</v>
      </c>
      <c r="H21" s="17"/>
      <c r="J21" s="17">
        <f>MajorData!G21</f>
        <v>360</v>
      </c>
      <c r="K21" s="17">
        <f>MajorData!J21</f>
        <v>634</v>
      </c>
      <c r="L21" s="17">
        <f>MajorData!N21</f>
        <v>51</v>
      </c>
      <c r="M21" s="17">
        <f>MajorData!P21</f>
        <v>127</v>
      </c>
      <c r="N21" s="17">
        <f>MajorData!U21</f>
        <v>129</v>
      </c>
      <c r="O21" s="17">
        <f>MajorData!V21</f>
        <v>202</v>
      </c>
      <c r="P21" s="17">
        <f>IntData!T21</f>
        <v>20</v>
      </c>
      <c r="Q21" s="17">
        <f>IntData!U21</f>
        <v>9</v>
      </c>
      <c r="R21" s="17">
        <f>IntData!V21</f>
        <v>37</v>
      </c>
      <c r="S21" s="17">
        <f>IntData!W21</f>
        <v>100</v>
      </c>
      <c r="T21" s="17">
        <f t="shared" si="19"/>
        <v>129</v>
      </c>
      <c r="U21" s="17">
        <f t="shared" si="4"/>
        <v>717</v>
      </c>
      <c r="V21" s="13">
        <f t="shared" si="20"/>
        <v>1</v>
      </c>
      <c r="W21" s="13">
        <f t="shared" si="21"/>
        <v>0.63861386138613863</v>
      </c>
      <c r="X21" s="13"/>
      <c r="Z21" s="13">
        <f t="shared" si="5"/>
        <v>0.42553191489361702</v>
      </c>
      <c r="AA21" s="13">
        <f t="shared" si="6"/>
        <v>0.74940898345153661</v>
      </c>
      <c r="AB21" s="13">
        <f t="shared" si="7"/>
        <v>6.0283687943262408E-2</v>
      </c>
      <c r="AC21" s="13">
        <f t="shared" si="8"/>
        <v>0.15011820330969267</v>
      </c>
      <c r="AD21" s="13">
        <f t="shared" si="9"/>
        <v>0.1524822695035461</v>
      </c>
      <c r="AE21" s="13">
        <f t="shared" si="10"/>
        <v>0.23877068557919623</v>
      </c>
      <c r="AF21" s="13">
        <f t="shared" si="11"/>
        <v>2.3640661938534278E-2</v>
      </c>
      <c r="AG21" s="13">
        <f t="shared" si="12"/>
        <v>1.0638297872340425E-2</v>
      </c>
      <c r="AH21" s="13">
        <f t="shared" si="13"/>
        <v>0.1182033096926714</v>
      </c>
      <c r="AJ21" s="13">
        <f t="shared" si="14"/>
        <v>0.95981087470449178</v>
      </c>
      <c r="AL21">
        <f t="shared" si="15"/>
        <v>846</v>
      </c>
      <c r="AM21" s="17">
        <f t="shared" si="16"/>
        <v>841</v>
      </c>
      <c r="AN21" s="13">
        <f t="shared" si="22"/>
        <v>0.99408983451536648</v>
      </c>
      <c r="AP21" s="17">
        <f>MajorData!O21</f>
        <v>123</v>
      </c>
      <c r="AQ21" s="17">
        <f>MajorData!S21</f>
        <v>718</v>
      </c>
      <c r="AR21" s="43">
        <f t="shared" si="23"/>
        <v>718</v>
      </c>
      <c r="AS21" s="42">
        <f t="shared" si="24"/>
        <v>1</v>
      </c>
      <c r="AU21" s="17">
        <f>MajorData!I21</f>
        <v>371</v>
      </c>
      <c r="AV21" s="43">
        <f t="shared" si="25"/>
        <v>370</v>
      </c>
      <c r="AW21" s="42">
        <f t="shared" si="26"/>
        <v>0.99730458221024254</v>
      </c>
      <c r="AX21" s="17">
        <f>MajorData!Q21</f>
        <v>347</v>
      </c>
      <c r="AY21" s="13">
        <f t="shared" si="27"/>
        <v>0.4832869080779944</v>
      </c>
      <c r="AZ21" s="39">
        <f t="shared" si="28"/>
        <v>613</v>
      </c>
      <c r="BA21" s="39">
        <f t="shared" si="29"/>
        <v>1.7665706051873198</v>
      </c>
      <c r="BC21">
        <f>MajorData!C21</f>
        <v>144</v>
      </c>
      <c r="BD21">
        <f>MajorData!E21</f>
        <v>226</v>
      </c>
      <c r="BF21">
        <f>MajorData!L21</f>
        <v>296</v>
      </c>
      <c r="BG21" s="13">
        <f t="shared" si="30"/>
        <v>0.85302593659942361</v>
      </c>
      <c r="BH21">
        <f t="shared" si="31"/>
        <v>289.8</v>
      </c>
      <c r="BI21" s="50">
        <f t="shared" si="32"/>
        <v>0.9790540540540541</v>
      </c>
      <c r="BJ21">
        <f>MajorData!M21</f>
        <v>317</v>
      </c>
      <c r="BK21" s="13">
        <f t="shared" si="33"/>
        <v>0.91354466858789629</v>
      </c>
      <c r="BL21" s="17">
        <f t="shared" si="34"/>
        <v>48</v>
      </c>
      <c r="BM21" s="13">
        <f t="shared" si="35"/>
        <v>0.15141955835962145</v>
      </c>
      <c r="BO21" t="e">
        <v>#N/A</v>
      </c>
      <c r="BP21">
        <f t="shared" si="36"/>
        <v>269.8</v>
      </c>
      <c r="BQ21">
        <f>IntData!T21</f>
        <v>20</v>
      </c>
      <c r="BS21" t="e">
        <v>#N/A</v>
      </c>
      <c r="BT21">
        <f t="shared" si="37"/>
        <v>269.8</v>
      </c>
      <c r="BU21" t="e">
        <v>#N/A</v>
      </c>
      <c r="BV21" s="48">
        <v>0</v>
      </c>
      <c r="BX21">
        <f>IntData!K21</f>
        <v>291</v>
      </c>
      <c r="BY21">
        <f>MinorData!DR21</f>
        <v>21.2</v>
      </c>
      <c r="CA21" t="e">
        <v>#N/A</v>
      </c>
      <c r="CB21">
        <f t="shared" si="38"/>
        <v>39</v>
      </c>
      <c r="CD21" s="17">
        <f>IntData!U21</f>
        <v>9</v>
      </c>
      <c r="CF21" t="e">
        <v>#N/A</v>
      </c>
      <c r="CG21" s="48">
        <v>0</v>
      </c>
      <c r="CH21">
        <f>IntData!L21</f>
        <v>39</v>
      </c>
    </row>
    <row r="22" spans="1:86" x14ac:dyDescent="0.35">
      <c r="A22" s="7">
        <v>1891</v>
      </c>
      <c r="B22" s="6">
        <v>957</v>
      </c>
      <c r="C22" s="8">
        <v>828</v>
      </c>
      <c r="D22" s="6">
        <f t="array" ref="D22">SUM(IF(ISNUMBER(MinorData!$DJ22:$EI22),MinorData!$DJ22:$EI22))</f>
        <v>858.49999999999977</v>
      </c>
      <c r="E22" s="6">
        <f t="array" ref="E22">SUM(IF(ISNUMBER(MinorData!$EJ22:$FM22),MinorData!$EJ22:$FM22))</f>
        <v>650.00000000000011</v>
      </c>
      <c r="F22" s="13">
        <f t="shared" si="17"/>
        <v>0.89707419017763823</v>
      </c>
      <c r="G22" s="13">
        <f t="shared" si="18"/>
        <v>0.78502415458937214</v>
      </c>
      <c r="H22" s="17"/>
      <c r="J22" s="17">
        <f>MajorData!G22</f>
        <v>438</v>
      </c>
      <c r="K22" s="17">
        <f>MajorData!J22</f>
        <v>735</v>
      </c>
      <c r="L22" s="17">
        <f>MajorData!N22</f>
        <v>58</v>
      </c>
      <c r="M22" s="17">
        <f>MajorData!P22</f>
        <v>128</v>
      </c>
      <c r="N22" s="17">
        <f>MajorData!U22</f>
        <v>139</v>
      </c>
      <c r="O22" s="17">
        <f>MajorData!V22</f>
        <v>214</v>
      </c>
      <c r="P22" s="17">
        <f>IntData!T22</f>
        <v>23</v>
      </c>
      <c r="Q22" s="17">
        <f>IntData!U22</f>
        <v>18</v>
      </c>
      <c r="R22" s="17">
        <f>IntData!V22</f>
        <v>40</v>
      </c>
      <c r="S22" s="17">
        <f>IntData!W22</f>
        <v>98</v>
      </c>
      <c r="T22" s="17">
        <f t="shared" si="19"/>
        <v>139</v>
      </c>
      <c r="U22" s="17">
        <f t="shared" si="4"/>
        <v>818</v>
      </c>
      <c r="V22" s="13">
        <f t="shared" si="20"/>
        <v>1</v>
      </c>
      <c r="W22" s="13">
        <f t="shared" si="21"/>
        <v>0.64953271028037385</v>
      </c>
      <c r="X22" s="13"/>
      <c r="Z22" s="13">
        <f t="shared" si="5"/>
        <v>0.45768025078369906</v>
      </c>
      <c r="AA22" s="13">
        <f t="shared" si="6"/>
        <v>0.76802507836990597</v>
      </c>
      <c r="AB22" s="13">
        <f t="shared" si="7"/>
        <v>6.0606060606060608E-2</v>
      </c>
      <c r="AC22" s="13">
        <f t="shared" si="8"/>
        <v>0.13375130616509928</v>
      </c>
      <c r="AD22" s="13">
        <f t="shared" si="9"/>
        <v>0.14524555903866249</v>
      </c>
      <c r="AE22" s="13">
        <f t="shared" si="10"/>
        <v>0.22361546499477533</v>
      </c>
      <c r="AF22" s="13">
        <f t="shared" si="11"/>
        <v>2.4033437826541274E-2</v>
      </c>
      <c r="AG22" s="13">
        <f t="shared" si="12"/>
        <v>1.8808777429467086E-2</v>
      </c>
      <c r="AH22" s="13">
        <f t="shared" si="13"/>
        <v>0.10240334378265413</v>
      </c>
      <c r="AJ22" s="13">
        <f t="shared" si="14"/>
        <v>0.96238244514106586</v>
      </c>
      <c r="AL22">
        <f t="shared" si="15"/>
        <v>957</v>
      </c>
      <c r="AM22" s="17">
        <f t="shared" si="16"/>
        <v>953</v>
      </c>
      <c r="AN22" s="13">
        <f t="shared" si="22"/>
        <v>0.99582027168234066</v>
      </c>
      <c r="AP22" s="17">
        <f>MajorData!O22</f>
        <v>123</v>
      </c>
      <c r="AQ22" s="17">
        <f>MajorData!S22</f>
        <v>830</v>
      </c>
      <c r="AR22" s="43">
        <f t="shared" si="23"/>
        <v>830</v>
      </c>
      <c r="AS22" s="42">
        <f t="shared" si="24"/>
        <v>1</v>
      </c>
      <c r="AU22" s="17">
        <f>MajorData!I22</f>
        <v>449</v>
      </c>
      <c r="AV22" s="43">
        <f t="shared" si="25"/>
        <v>449</v>
      </c>
      <c r="AW22" s="42">
        <f t="shared" si="26"/>
        <v>1</v>
      </c>
      <c r="AX22" s="17">
        <f>MajorData!Q22</f>
        <v>381</v>
      </c>
      <c r="AY22" s="13">
        <f t="shared" si="27"/>
        <v>0.45903614457831327</v>
      </c>
      <c r="AZ22" s="39">
        <f t="shared" si="28"/>
        <v>666</v>
      </c>
      <c r="BA22" s="39">
        <f t="shared" si="29"/>
        <v>1.7480314960629921</v>
      </c>
      <c r="BC22">
        <f>MajorData!C22</f>
        <v>219</v>
      </c>
      <c r="BD22">
        <f>MajorData!E22</f>
        <v>230</v>
      </c>
      <c r="BF22">
        <f>MajorData!L22</f>
        <v>323</v>
      </c>
      <c r="BG22" s="13">
        <f t="shared" si="30"/>
        <v>0.84776902887139105</v>
      </c>
      <c r="BH22">
        <f t="shared" si="31"/>
        <v>316.60000000000002</v>
      </c>
      <c r="BI22" s="50">
        <f t="shared" si="32"/>
        <v>0.98018575851393197</v>
      </c>
      <c r="BJ22">
        <f>MajorData!M22</f>
        <v>343</v>
      </c>
      <c r="BK22" s="13">
        <f t="shared" si="33"/>
        <v>0.90026246719160108</v>
      </c>
      <c r="BL22" s="17">
        <f t="shared" si="34"/>
        <v>55</v>
      </c>
      <c r="BM22" s="13">
        <f t="shared" si="35"/>
        <v>0.16034985422740525</v>
      </c>
      <c r="BO22" t="e">
        <v>#N/A</v>
      </c>
      <c r="BP22">
        <f t="shared" si="36"/>
        <v>293.60000000000002</v>
      </c>
      <c r="BQ22">
        <f>IntData!T22</f>
        <v>23</v>
      </c>
      <c r="BS22" t="e">
        <v>#N/A</v>
      </c>
      <c r="BT22">
        <f t="shared" si="37"/>
        <v>293.60000000000002</v>
      </c>
      <c r="BU22" t="e">
        <v>#N/A</v>
      </c>
      <c r="BV22" s="48">
        <v>0</v>
      </c>
      <c r="BX22">
        <f>IntData!K22</f>
        <v>314</v>
      </c>
      <c r="BY22">
        <f>MinorData!DR22</f>
        <v>20.399999999999999</v>
      </c>
      <c r="CA22" t="e">
        <v>#N/A</v>
      </c>
      <c r="CB22">
        <f t="shared" si="38"/>
        <v>37</v>
      </c>
      <c r="CD22" s="17">
        <f>IntData!U22</f>
        <v>18</v>
      </c>
      <c r="CF22" t="e">
        <v>#N/A</v>
      </c>
      <c r="CG22" s="48">
        <v>0</v>
      </c>
      <c r="CH22">
        <f>IntData!L22</f>
        <v>37</v>
      </c>
    </row>
    <row r="23" spans="1:86" x14ac:dyDescent="0.35">
      <c r="A23" s="7">
        <v>1892</v>
      </c>
      <c r="B23" s="6">
        <v>923</v>
      </c>
      <c r="C23" s="6">
        <v>841</v>
      </c>
      <c r="D23" s="6">
        <f t="array" ref="D23">SUM(IF(ISNUMBER(MinorData!$DJ23:$EI23),MinorData!$DJ23:$EI23))</f>
        <v>830.50000000000023</v>
      </c>
      <c r="E23" s="6">
        <f t="array" ref="E23">SUM(IF(ISNUMBER(MinorData!$EJ23:$FM23),MinorData!$EJ23:$FM23))</f>
        <v>640.79999999999995</v>
      </c>
      <c r="F23" s="13">
        <f t="shared" si="17"/>
        <v>0.89978331527627331</v>
      </c>
      <c r="G23" s="13">
        <f t="shared" si="18"/>
        <v>0.76195005945303207</v>
      </c>
      <c r="H23" s="17"/>
      <c r="J23" s="17">
        <f>MajorData!G23</f>
        <v>480</v>
      </c>
      <c r="K23" s="17">
        <f>MajorData!J23</f>
        <v>715</v>
      </c>
      <c r="L23" s="17">
        <f>MajorData!N23</f>
        <v>52</v>
      </c>
      <c r="M23" s="17">
        <f>MajorData!P23</f>
        <v>120</v>
      </c>
      <c r="N23" s="17">
        <f>MajorData!U23</f>
        <v>127</v>
      </c>
      <c r="O23" s="17">
        <f>MajorData!V23</f>
        <v>201</v>
      </c>
      <c r="P23" s="17">
        <f>IntData!T23</f>
        <v>24</v>
      </c>
      <c r="Q23" s="17">
        <f>IntData!U23</f>
        <v>13</v>
      </c>
      <c r="R23" s="17">
        <f>IntData!V23</f>
        <v>36</v>
      </c>
      <c r="S23" s="17">
        <f>IntData!W23</f>
        <v>91</v>
      </c>
      <c r="T23" s="17">
        <f t="shared" si="19"/>
        <v>128</v>
      </c>
      <c r="U23" s="17">
        <f t="shared" si="4"/>
        <v>796</v>
      </c>
      <c r="V23" s="13">
        <f t="shared" si="20"/>
        <v>1.0078740157480315</v>
      </c>
      <c r="W23" s="13">
        <f t="shared" si="21"/>
        <v>0.63681592039800994</v>
      </c>
      <c r="X23" s="13"/>
      <c r="Z23" s="13">
        <f t="shared" si="5"/>
        <v>0.52004333694474536</v>
      </c>
      <c r="AA23" s="13">
        <f t="shared" si="6"/>
        <v>0.77464788732394363</v>
      </c>
      <c r="AB23" s="13">
        <f t="shared" si="7"/>
        <v>5.6338028169014086E-2</v>
      </c>
      <c r="AC23" s="13">
        <f t="shared" si="8"/>
        <v>0.13001083423618634</v>
      </c>
      <c r="AD23" s="13">
        <f t="shared" si="9"/>
        <v>0.13759479956663057</v>
      </c>
      <c r="AE23" s="13">
        <f t="shared" si="10"/>
        <v>0.21776814734561215</v>
      </c>
      <c r="AF23" s="13">
        <f t="shared" si="11"/>
        <v>2.600216684723727E-2</v>
      </c>
      <c r="AG23" s="13">
        <f t="shared" si="12"/>
        <v>1.4084507042253521E-2</v>
      </c>
      <c r="AH23" s="13">
        <f t="shared" si="13"/>
        <v>9.8591549295774641E-2</v>
      </c>
      <c r="AJ23" s="13">
        <f t="shared" si="14"/>
        <v>0.96099674972914406</v>
      </c>
      <c r="AL23">
        <f t="shared" si="15"/>
        <v>923</v>
      </c>
      <c r="AM23" s="17">
        <f t="shared" si="16"/>
        <v>919</v>
      </c>
      <c r="AN23" s="13">
        <f t="shared" si="22"/>
        <v>0.99566630552546043</v>
      </c>
      <c r="AP23" s="17">
        <f>MajorData!O23</f>
        <v>116</v>
      </c>
      <c r="AQ23" s="17">
        <f>MajorData!S23</f>
        <v>803</v>
      </c>
      <c r="AR23" s="43">
        <f t="shared" si="23"/>
        <v>803</v>
      </c>
      <c r="AS23" s="42">
        <f t="shared" si="24"/>
        <v>1</v>
      </c>
      <c r="AU23" s="17">
        <f>MajorData!I23</f>
        <v>491</v>
      </c>
      <c r="AV23" s="43">
        <f t="shared" si="25"/>
        <v>491</v>
      </c>
      <c r="AW23" s="42">
        <f t="shared" si="26"/>
        <v>1</v>
      </c>
      <c r="AX23" s="17">
        <f>MajorData!Q23</f>
        <v>312</v>
      </c>
      <c r="AY23" s="13">
        <f t="shared" si="27"/>
        <v>0.38854296388542964</v>
      </c>
      <c r="AZ23" s="39">
        <f t="shared" si="28"/>
        <v>542</v>
      </c>
      <c r="BA23" s="39">
        <f t="shared" si="29"/>
        <v>1.7371794871794872</v>
      </c>
      <c r="BC23">
        <f>MajorData!C23</f>
        <v>225</v>
      </c>
      <c r="BD23">
        <f>MajorData!E23</f>
        <v>266</v>
      </c>
      <c r="BF23">
        <f>MajorData!L23</f>
        <v>260</v>
      </c>
      <c r="BG23" s="13">
        <f t="shared" si="30"/>
        <v>0.83333333333333337</v>
      </c>
      <c r="BH23">
        <f t="shared" si="31"/>
        <v>255.3</v>
      </c>
      <c r="BI23" s="50">
        <f t="shared" si="32"/>
        <v>0.98192307692307701</v>
      </c>
      <c r="BJ23">
        <f>MajorData!M23</f>
        <v>282</v>
      </c>
      <c r="BK23" s="13">
        <f t="shared" si="33"/>
        <v>0.90384615384615385</v>
      </c>
      <c r="BL23" s="17">
        <f t="shared" si="34"/>
        <v>50</v>
      </c>
      <c r="BM23" s="13">
        <f t="shared" si="35"/>
        <v>0.1773049645390071</v>
      </c>
      <c r="BO23" t="e">
        <v>#N/A</v>
      </c>
      <c r="BP23">
        <f t="shared" si="36"/>
        <v>231.3</v>
      </c>
      <c r="BQ23">
        <f>IntData!T23</f>
        <v>24</v>
      </c>
      <c r="BS23" t="e">
        <v>#N/A</v>
      </c>
      <c r="BT23">
        <f t="shared" si="37"/>
        <v>231.3</v>
      </c>
      <c r="BU23" t="e">
        <v>#N/A</v>
      </c>
      <c r="BV23" s="48">
        <v>0</v>
      </c>
      <c r="BX23">
        <f>IntData!K23</f>
        <v>253</v>
      </c>
      <c r="BY23">
        <f>MinorData!DR23</f>
        <v>21.7</v>
      </c>
      <c r="CA23" t="e">
        <v>#N/A</v>
      </c>
      <c r="CB23">
        <f t="shared" si="38"/>
        <v>37</v>
      </c>
      <c r="CD23" s="17">
        <f>IntData!U23</f>
        <v>13</v>
      </c>
      <c r="CF23" t="e">
        <v>#N/A</v>
      </c>
      <c r="CG23" s="48">
        <v>0</v>
      </c>
      <c r="CH23">
        <f>IntData!L23</f>
        <v>37</v>
      </c>
    </row>
    <row r="24" spans="1:86" x14ac:dyDescent="0.35">
      <c r="A24" s="7">
        <v>1893</v>
      </c>
      <c r="B24" s="6">
        <v>855</v>
      </c>
      <c r="C24" s="6">
        <v>776</v>
      </c>
      <c r="D24" s="6">
        <f t="array" ref="D24">SUM(IF(ISNUMBER(MinorData!$DJ24:$EI24),MinorData!$DJ24:$EI24))</f>
        <v>754.3</v>
      </c>
      <c r="E24" s="6">
        <f t="array" ref="E24">SUM(IF(ISNUMBER(MinorData!$EJ24:$FM24),MinorData!$EJ24:$FM24))</f>
        <v>615.60000000000014</v>
      </c>
      <c r="F24" s="13">
        <f t="shared" si="17"/>
        <v>0.88222222222222213</v>
      </c>
      <c r="G24" s="13">
        <f t="shared" si="18"/>
        <v>0.79329896907216513</v>
      </c>
      <c r="H24" s="17"/>
      <c r="J24" s="17">
        <f>MajorData!G24</f>
        <v>393</v>
      </c>
      <c r="K24" s="17">
        <f>MajorData!J24</f>
        <v>621</v>
      </c>
      <c r="L24" s="17">
        <f>MajorData!N24</f>
        <v>64</v>
      </c>
      <c r="M24" s="17">
        <f>MajorData!P24</f>
        <v>128</v>
      </c>
      <c r="N24" s="17">
        <f>MajorData!U24</f>
        <v>147</v>
      </c>
      <c r="O24" s="17">
        <f>MajorData!V24</f>
        <v>225</v>
      </c>
      <c r="P24" s="17">
        <f>IntData!T24</f>
        <v>25</v>
      </c>
      <c r="Q24" s="17">
        <f>IntData!U24</f>
        <v>25</v>
      </c>
      <c r="R24" s="17">
        <f>IntData!V24</f>
        <v>42</v>
      </c>
      <c r="S24" s="17">
        <f>IntData!W24</f>
        <v>97</v>
      </c>
      <c r="T24" s="17">
        <f t="shared" si="19"/>
        <v>147</v>
      </c>
      <c r="U24" s="17">
        <f t="shared" si="4"/>
        <v>708</v>
      </c>
      <c r="V24" s="13">
        <f t="shared" si="20"/>
        <v>1</v>
      </c>
      <c r="W24" s="13">
        <f t="shared" si="21"/>
        <v>0.65333333333333332</v>
      </c>
      <c r="X24" s="13"/>
      <c r="Z24" s="13">
        <f t="shared" si="5"/>
        <v>0.45964912280701753</v>
      </c>
      <c r="AA24" s="13">
        <f t="shared" si="6"/>
        <v>0.72631578947368425</v>
      </c>
      <c r="AB24" s="13">
        <f t="shared" si="7"/>
        <v>7.4853801169590645E-2</v>
      </c>
      <c r="AC24" s="13">
        <f t="shared" si="8"/>
        <v>0.14970760233918129</v>
      </c>
      <c r="AD24" s="13">
        <f t="shared" si="9"/>
        <v>0.17192982456140352</v>
      </c>
      <c r="AE24" s="13">
        <f t="shared" si="10"/>
        <v>0.26315789473684209</v>
      </c>
      <c r="AF24" s="13">
        <f t="shared" si="11"/>
        <v>2.9239766081871343E-2</v>
      </c>
      <c r="AG24" s="13">
        <f t="shared" si="12"/>
        <v>2.9239766081871343E-2</v>
      </c>
      <c r="AH24" s="13">
        <f t="shared" si="13"/>
        <v>0.11345029239766082</v>
      </c>
      <c r="AJ24" s="13">
        <f t="shared" si="14"/>
        <v>0.95087719298245621</v>
      </c>
      <c r="AL24">
        <f t="shared" si="15"/>
        <v>855</v>
      </c>
      <c r="AM24" s="17">
        <f t="shared" si="16"/>
        <v>850</v>
      </c>
      <c r="AN24" s="13">
        <f t="shared" si="22"/>
        <v>0.99415204678362568</v>
      </c>
      <c r="AP24" s="17">
        <f>MajorData!O24</f>
        <v>124</v>
      </c>
      <c r="AQ24" s="17">
        <f>MajorData!S24</f>
        <v>726</v>
      </c>
      <c r="AR24" s="43">
        <f t="shared" si="23"/>
        <v>726</v>
      </c>
      <c r="AS24" s="42">
        <f t="shared" si="24"/>
        <v>1</v>
      </c>
      <c r="AU24" s="17">
        <f>MajorData!I24</f>
        <v>406</v>
      </c>
      <c r="AV24" s="43">
        <f t="shared" si="25"/>
        <v>406</v>
      </c>
      <c r="AW24" s="42">
        <f t="shared" si="26"/>
        <v>1</v>
      </c>
      <c r="AX24" s="17">
        <f>MajorData!Q24</f>
        <v>320</v>
      </c>
      <c r="AY24" s="13">
        <f t="shared" si="27"/>
        <v>0.44077134986225897</v>
      </c>
      <c r="AZ24" s="39">
        <f t="shared" si="28"/>
        <v>536</v>
      </c>
      <c r="BA24" s="39">
        <f t="shared" si="29"/>
        <v>1.675</v>
      </c>
      <c r="BC24">
        <f>MajorData!C24</f>
        <v>163</v>
      </c>
      <c r="BD24">
        <f>MajorData!E24</f>
        <v>243</v>
      </c>
      <c r="BF24">
        <f>MajorData!L24</f>
        <v>256</v>
      </c>
      <c r="BG24" s="13">
        <f t="shared" si="30"/>
        <v>0.8</v>
      </c>
      <c r="BH24">
        <f t="shared" si="31"/>
        <v>250.2</v>
      </c>
      <c r="BI24" s="50">
        <f t="shared" si="32"/>
        <v>0.97734374999999996</v>
      </c>
      <c r="BJ24">
        <f>MajorData!M24</f>
        <v>280</v>
      </c>
      <c r="BK24" s="13">
        <f t="shared" si="33"/>
        <v>0.875</v>
      </c>
      <c r="BL24" s="17">
        <f t="shared" si="34"/>
        <v>62</v>
      </c>
      <c r="BM24" s="13">
        <f t="shared" si="35"/>
        <v>0.22142857142857142</v>
      </c>
      <c r="BO24" t="e">
        <v>#N/A</v>
      </c>
      <c r="BP24">
        <f t="shared" si="36"/>
        <v>225.2</v>
      </c>
      <c r="BQ24">
        <f>IntData!T24</f>
        <v>25</v>
      </c>
      <c r="BS24" t="e">
        <v>#N/A</v>
      </c>
      <c r="BT24">
        <f t="shared" si="37"/>
        <v>225.2</v>
      </c>
      <c r="BU24" t="e">
        <v>#N/A</v>
      </c>
      <c r="BV24" s="48">
        <v>0</v>
      </c>
      <c r="BX24">
        <f>IntData!K24</f>
        <v>249</v>
      </c>
      <c r="BY24">
        <f>MinorData!DR24</f>
        <v>23.8</v>
      </c>
      <c r="CA24" t="e">
        <v>#N/A</v>
      </c>
      <c r="CB24">
        <f t="shared" si="38"/>
        <v>37</v>
      </c>
      <c r="CD24" s="17">
        <f>IntData!U24</f>
        <v>25</v>
      </c>
      <c r="CF24" t="e">
        <v>#N/A</v>
      </c>
      <c r="CG24" s="48">
        <v>0</v>
      </c>
      <c r="CH24">
        <f>IntData!L24</f>
        <v>37</v>
      </c>
    </row>
    <row r="25" spans="1:86" x14ac:dyDescent="0.35">
      <c r="A25" s="7">
        <v>1894</v>
      </c>
      <c r="B25" s="6">
        <v>807</v>
      </c>
      <c r="C25" s="6">
        <v>673</v>
      </c>
      <c r="D25" s="6">
        <f t="array" ref="D25">SUM(IF(ISNUMBER(MinorData!$DJ25:$EI25),MinorData!$DJ25:$EI25))</f>
        <v>716.4</v>
      </c>
      <c r="E25" s="6">
        <f t="array" ref="E25">SUM(IF(ISNUMBER(MinorData!$EJ25:$FM25),MinorData!$EJ25:$FM25))</f>
        <v>531.20000000000005</v>
      </c>
      <c r="F25" s="13">
        <f t="shared" si="17"/>
        <v>0.88773234200743489</v>
      </c>
      <c r="G25" s="13">
        <f t="shared" si="18"/>
        <v>0.78930163447251123</v>
      </c>
      <c r="H25" s="17"/>
      <c r="J25" s="17">
        <f>MajorData!G25</f>
        <v>358</v>
      </c>
      <c r="K25" s="17">
        <f>MajorData!J25</f>
        <v>575</v>
      </c>
      <c r="L25" s="17">
        <f>MajorData!N25</f>
        <v>67</v>
      </c>
      <c r="M25" s="17">
        <f>MajorData!P25</f>
        <v>126</v>
      </c>
      <c r="N25" s="17">
        <f>MajorData!U25</f>
        <v>141</v>
      </c>
      <c r="O25" s="17">
        <f>MajorData!V25</f>
        <v>224</v>
      </c>
      <c r="P25" s="17">
        <f>IntData!T25</f>
        <v>22</v>
      </c>
      <c r="Q25" s="17">
        <f>IntData!U25</f>
        <v>25</v>
      </c>
      <c r="R25" s="17">
        <f>IntData!V25</f>
        <v>40</v>
      </c>
      <c r="S25" s="17">
        <f>IntData!W25</f>
        <v>94</v>
      </c>
      <c r="T25" s="17">
        <f t="shared" si="19"/>
        <v>141</v>
      </c>
      <c r="U25" s="17">
        <f t="shared" si="4"/>
        <v>666</v>
      </c>
      <c r="V25" s="13">
        <f t="shared" si="20"/>
        <v>1</v>
      </c>
      <c r="W25" s="13">
        <f t="shared" si="21"/>
        <v>0.6294642857142857</v>
      </c>
      <c r="X25" s="13"/>
      <c r="Z25" s="13">
        <f t="shared" si="5"/>
        <v>0.44361833952912022</v>
      </c>
      <c r="AA25" s="13">
        <f t="shared" si="6"/>
        <v>0.71251548946716237</v>
      </c>
      <c r="AB25" s="13">
        <f t="shared" si="7"/>
        <v>8.302354399008674E-2</v>
      </c>
      <c r="AC25" s="13">
        <f t="shared" si="8"/>
        <v>0.15613382899628253</v>
      </c>
      <c r="AD25" s="13">
        <f t="shared" si="9"/>
        <v>0.17472118959107807</v>
      </c>
      <c r="AE25" s="13">
        <f t="shared" si="10"/>
        <v>0.27757125154894674</v>
      </c>
      <c r="AF25" s="13">
        <f t="shared" si="11"/>
        <v>2.7261462205700124E-2</v>
      </c>
      <c r="AG25" s="13">
        <f t="shared" si="12"/>
        <v>3.0978934324659233E-2</v>
      </c>
      <c r="AH25" s="13">
        <f t="shared" si="13"/>
        <v>0.11648079306071871</v>
      </c>
      <c r="AJ25" s="13">
        <f t="shared" si="14"/>
        <v>0.95167286245353155</v>
      </c>
      <c r="AL25">
        <f t="shared" si="15"/>
        <v>807</v>
      </c>
      <c r="AM25" s="17">
        <f t="shared" si="16"/>
        <v>803</v>
      </c>
      <c r="AN25" s="13">
        <f t="shared" si="22"/>
        <v>0.99504337050805447</v>
      </c>
      <c r="AP25" s="17">
        <f>MajorData!O25</f>
        <v>122</v>
      </c>
      <c r="AQ25" s="17">
        <f>MajorData!S25</f>
        <v>681</v>
      </c>
      <c r="AR25" s="43">
        <f t="shared" si="23"/>
        <v>681</v>
      </c>
      <c r="AS25" s="42">
        <f t="shared" si="24"/>
        <v>1</v>
      </c>
      <c r="AU25" s="17">
        <f>MajorData!I25</f>
        <v>372</v>
      </c>
      <c r="AV25" s="43">
        <f t="shared" si="25"/>
        <v>371</v>
      </c>
      <c r="AW25" s="42">
        <f t="shared" si="26"/>
        <v>0.99731182795698925</v>
      </c>
      <c r="AX25" s="17">
        <f>MajorData!Q25</f>
        <v>309</v>
      </c>
      <c r="AY25" s="13">
        <f t="shared" si="27"/>
        <v>0.45374449339207046</v>
      </c>
      <c r="AZ25" s="39">
        <f t="shared" si="28"/>
        <v>510</v>
      </c>
      <c r="BA25" s="39">
        <f t="shared" si="29"/>
        <v>1.6504854368932038</v>
      </c>
      <c r="BC25">
        <f>MajorData!C25</f>
        <v>135</v>
      </c>
      <c r="BD25">
        <f>MajorData!E25</f>
        <v>236</v>
      </c>
      <c r="BF25">
        <f>MajorData!L25</f>
        <v>242</v>
      </c>
      <c r="BG25" s="13">
        <f t="shared" si="30"/>
        <v>0.78317152103559873</v>
      </c>
      <c r="BH25">
        <f t="shared" si="31"/>
        <v>236.2</v>
      </c>
      <c r="BI25" s="50">
        <f t="shared" si="32"/>
        <v>0.97603305785123962</v>
      </c>
      <c r="BJ25">
        <f>MajorData!M25</f>
        <v>268</v>
      </c>
      <c r="BK25" s="13">
        <f t="shared" si="33"/>
        <v>0.8673139158576052</v>
      </c>
      <c r="BL25" s="17">
        <f t="shared" si="34"/>
        <v>65</v>
      </c>
      <c r="BM25" s="13">
        <f t="shared" si="35"/>
        <v>0.24253731343283583</v>
      </c>
      <c r="BO25" t="e">
        <v>#N/A</v>
      </c>
      <c r="BP25">
        <f t="shared" si="36"/>
        <v>214.2</v>
      </c>
      <c r="BQ25">
        <f>IntData!T25</f>
        <v>22</v>
      </c>
      <c r="BS25" t="e">
        <v>#N/A</v>
      </c>
      <c r="BT25">
        <f t="shared" si="37"/>
        <v>214.2</v>
      </c>
      <c r="BU25" t="e">
        <v>#N/A</v>
      </c>
      <c r="BV25" s="48">
        <v>0</v>
      </c>
      <c r="BX25">
        <f>IntData!K25</f>
        <v>240</v>
      </c>
      <c r="BY25">
        <f>MinorData!DR25</f>
        <v>25.8</v>
      </c>
      <c r="CA25" t="e">
        <v>#N/A</v>
      </c>
      <c r="CB25">
        <f t="shared" si="38"/>
        <v>40</v>
      </c>
      <c r="CD25" s="17">
        <f>IntData!U25</f>
        <v>25</v>
      </c>
      <c r="CF25" t="e">
        <v>#N/A</v>
      </c>
      <c r="CG25" s="48">
        <v>0</v>
      </c>
      <c r="CH25">
        <f>IntData!L25</f>
        <v>40</v>
      </c>
    </row>
    <row r="26" spans="1:86" x14ac:dyDescent="0.35">
      <c r="A26" s="7">
        <v>1895</v>
      </c>
      <c r="B26" s="8">
        <v>808</v>
      </c>
      <c r="C26" s="6">
        <v>802</v>
      </c>
      <c r="D26" s="6">
        <f t="array" ref="D26">SUM(IF(ISNUMBER(MinorData!$DJ26:$EI26),MinorData!$DJ26:$EI26))</f>
        <v>712.50000000000011</v>
      </c>
      <c r="E26" s="6">
        <f t="array" ref="E26">SUM(IF(ISNUMBER(MinorData!$EJ26:$FM26),MinorData!$EJ26:$FM26))</f>
        <v>623.69999999999982</v>
      </c>
      <c r="F26" s="13">
        <f t="shared" si="17"/>
        <v>0.88180693069306948</v>
      </c>
      <c r="G26" s="13">
        <f t="shared" si="18"/>
        <v>0.77768079800498735</v>
      </c>
      <c r="H26" s="17"/>
      <c r="J26" s="17">
        <f>MajorData!G26</f>
        <v>341</v>
      </c>
      <c r="K26" s="17">
        <f>MajorData!J26</f>
        <v>547</v>
      </c>
      <c r="L26" s="17">
        <f>MajorData!N26</f>
        <v>72</v>
      </c>
      <c r="M26" s="17">
        <f>MajorData!P26</f>
        <v>151</v>
      </c>
      <c r="N26" s="17">
        <f>MajorData!U26</f>
        <v>165</v>
      </c>
      <c r="O26" s="17">
        <f>MajorData!V26</f>
        <v>252</v>
      </c>
      <c r="P26" s="17">
        <f>IntData!T26</f>
        <v>24</v>
      </c>
      <c r="Q26" s="17">
        <f>IntData!U26</f>
        <v>25</v>
      </c>
      <c r="R26" s="17">
        <f>IntData!V26</f>
        <v>47</v>
      </c>
      <c r="S26" s="17">
        <f>IntData!W26</f>
        <v>117</v>
      </c>
      <c r="T26" s="17">
        <f t="shared" si="19"/>
        <v>166</v>
      </c>
      <c r="U26" s="17">
        <f t="shared" si="4"/>
        <v>643</v>
      </c>
      <c r="V26" s="13">
        <f t="shared" si="20"/>
        <v>1.0060606060606061</v>
      </c>
      <c r="W26" s="13">
        <f t="shared" si="21"/>
        <v>0.65873015873015872</v>
      </c>
      <c r="X26" s="13"/>
      <c r="Z26" s="13">
        <f t="shared" si="5"/>
        <v>0.42202970297029702</v>
      </c>
      <c r="AA26" s="13">
        <f t="shared" si="6"/>
        <v>0.67698019801980203</v>
      </c>
      <c r="AB26" s="13">
        <f t="shared" si="7"/>
        <v>8.9108910891089105E-2</v>
      </c>
      <c r="AC26" s="13">
        <f t="shared" si="8"/>
        <v>0.18688118811881188</v>
      </c>
      <c r="AD26" s="13">
        <f t="shared" si="9"/>
        <v>0.2042079207920792</v>
      </c>
      <c r="AE26" s="13">
        <f t="shared" si="10"/>
        <v>0.31188118811881188</v>
      </c>
      <c r="AF26" s="13">
        <f t="shared" si="11"/>
        <v>2.9702970297029702E-2</v>
      </c>
      <c r="AG26" s="13">
        <f t="shared" si="12"/>
        <v>3.094059405940594E-2</v>
      </c>
      <c r="AH26" s="13">
        <f t="shared" si="13"/>
        <v>0.14480198019801979</v>
      </c>
      <c r="AJ26" s="13">
        <f t="shared" si="14"/>
        <v>0.95297029702970293</v>
      </c>
      <c r="AL26">
        <f t="shared" si="15"/>
        <v>808</v>
      </c>
      <c r="AM26" s="17">
        <f t="shared" si="16"/>
        <v>803</v>
      </c>
      <c r="AN26" s="13">
        <f t="shared" si="22"/>
        <v>0.99381188118811881</v>
      </c>
      <c r="AP26" s="17">
        <f>MajorData!O26</f>
        <v>146</v>
      </c>
      <c r="AQ26" s="17">
        <f>MajorData!S26</f>
        <v>657</v>
      </c>
      <c r="AR26" s="43">
        <f t="shared" si="23"/>
        <v>657</v>
      </c>
      <c r="AS26" s="42">
        <f t="shared" si="24"/>
        <v>1</v>
      </c>
      <c r="AU26" s="17">
        <f>MajorData!I26</f>
        <v>352</v>
      </c>
      <c r="AV26" s="43">
        <f t="shared" si="25"/>
        <v>352</v>
      </c>
      <c r="AW26" s="42">
        <f t="shared" si="26"/>
        <v>1</v>
      </c>
      <c r="AX26" s="17">
        <f>MajorData!Q26</f>
        <v>305</v>
      </c>
      <c r="AY26" s="13">
        <f t="shared" si="27"/>
        <v>0.46423135464231352</v>
      </c>
      <c r="AZ26" s="39">
        <f t="shared" si="28"/>
        <v>491</v>
      </c>
      <c r="BA26" s="39">
        <f t="shared" si="29"/>
        <v>1.6098360655737705</v>
      </c>
      <c r="BC26">
        <f>MajorData!C26</f>
        <v>131</v>
      </c>
      <c r="BD26">
        <f>MajorData!E26</f>
        <v>221</v>
      </c>
      <c r="BF26">
        <f>MajorData!L26</f>
        <v>233</v>
      </c>
      <c r="BG26" s="13">
        <f t="shared" si="30"/>
        <v>0.76393442622950825</v>
      </c>
      <c r="BH26">
        <f t="shared" si="31"/>
        <v>227.3</v>
      </c>
      <c r="BI26" s="50">
        <f t="shared" si="32"/>
        <v>0.9755364806866953</v>
      </c>
      <c r="BJ26">
        <f>MajorData!M26</f>
        <v>258</v>
      </c>
      <c r="BK26" s="13">
        <f t="shared" si="33"/>
        <v>0.84590163934426232</v>
      </c>
      <c r="BL26" s="17">
        <f t="shared" si="34"/>
        <v>70</v>
      </c>
      <c r="BM26" s="13">
        <f t="shared" si="35"/>
        <v>0.27131782945736432</v>
      </c>
      <c r="BO26" t="e">
        <v>#N/A</v>
      </c>
      <c r="BP26">
        <f t="shared" si="36"/>
        <v>203.3</v>
      </c>
      <c r="BQ26">
        <f>IntData!T26</f>
        <v>24</v>
      </c>
      <c r="BS26" t="e">
        <v>#N/A</v>
      </c>
      <c r="BT26">
        <f t="shared" si="37"/>
        <v>203.3</v>
      </c>
      <c r="BU26" t="e">
        <v>#N/A</v>
      </c>
      <c r="BV26" s="48">
        <v>0</v>
      </c>
      <c r="BX26">
        <f>IntData!K26</f>
        <v>228</v>
      </c>
      <c r="BY26">
        <f>MinorData!DR26</f>
        <v>24.7</v>
      </c>
      <c r="CA26" t="e">
        <v>#N/A</v>
      </c>
      <c r="CB26">
        <f t="shared" si="38"/>
        <v>45</v>
      </c>
      <c r="CD26" s="17">
        <f>IntData!U26</f>
        <v>25</v>
      </c>
      <c r="CF26" t="e">
        <v>#N/A</v>
      </c>
      <c r="CG26" s="48">
        <v>0</v>
      </c>
      <c r="CH26">
        <f>IntData!L26</f>
        <v>45</v>
      </c>
    </row>
    <row r="27" spans="1:86" x14ac:dyDescent="0.35">
      <c r="A27" s="7">
        <v>1896</v>
      </c>
      <c r="B27" s="8">
        <v>987</v>
      </c>
      <c r="C27" s="6">
        <v>682</v>
      </c>
      <c r="D27" s="6">
        <f t="array" ref="D27">SUM(IF(ISNUMBER(MinorData!$DJ27:$EI27),MinorData!$DJ27:$EI27))</f>
        <v>872.6</v>
      </c>
      <c r="E27" s="6">
        <f t="array" ref="E27">SUM(IF(ISNUMBER(MinorData!$EJ27:$FM27),MinorData!$EJ27:$FM27))</f>
        <v>526.5</v>
      </c>
      <c r="F27" s="13">
        <f t="shared" si="17"/>
        <v>0.88409321175278621</v>
      </c>
      <c r="G27" s="13">
        <f t="shared" si="18"/>
        <v>0.77199413489736068</v>
      </c>
      <c r="H27" s="17"/>
      <c r="J27" s="17">
        <f>MajorData!G27</f>
        <v>408</v>
      </c>
      <c r="K27" s="17">
        <f>MajorData!J27</f>
        <v>667</v>
      </c>
      <c r="L27" s="17">
        <f>MajorData!N27</f>
        <v>95</v>
      </c>
      <c r="M27" s="17">
        <f>MajorData!P27</f>
        <v>185</v>
      </c>
      <c r="N27" s="17">
        <f>MajorData!U27</f>
        <v>209</v>
      </c>
      <c r="O27" s="17">
        <f>MajorData!V27</f>
        <v>309</v>
      </c>
      <c r="P27" s="17">
        <f>IntData!T27</f>
        <v>24</v>
      </c>
      <c r="Q27" s="17">
        <f>IntData!U27</f>
        <v>43</v>
      </c>
      <c r="R27" s="17">
        <f>IntData!V27</f>
        <v>63</v>
      </c>
      <c r="S27" s="17">
        <f>IntData!W27</f>
        <v>142</v>
      </c>
      <c r="T27" s="17">
        <f t="shared" si="19"/>
        <v>209</v>
      </c>
      <c r="U27" s="17">
        <f t="shared" si="4"/>
        <v>778</v>
      </c>
      <c r="V27" s="13">
        <f t="shared" si="20"/>
        <v>1</v>
      </c>
      <c r="W27" s="13">
        <f t="shared" si="21"/>
        <v>0.6763754045307443</v>
      </c>
      <c r="X27" s="13"/>
      <c r="Z27" s="13">
        <f t="shared" si="5"/>
        <v>0.41337386018237082</v>
      </c>
      <c r="AA27" s="13">
        <f t="shared" si="6"/>
        <v>0.67578520770010131</v>
      </c>
      <c r="AB27" s="13">
        <f t="shared" si="7"/>
        <v>9.6251266464032426E-2</v>
      </c>
      <c r="AC27" s="13">
        <f t="shared" si="8"/>
        <v>0.18743667679837892</v>
      </c>
      <c r="AD27" s="13">
        <f t="shared" si="9"/>
        <v>0.21175278622087132</v>
      </c>
      <c r="AE27" s="13">
        <f t="shared" si="10"/>
        <v>0.31306990881458968</v>
      </c>
      <c r="AF27" s="13">
        <f t="shared" si="11"/>
        <v>2.4316109422492401E-2</v>
      </c>
      <c r="AG27" s="13">
        <f t="shared" si="12"/>
        <v>4.3566362715298887E-2</v>
      </c>
      <c r="AH27" s="13">
        <f t="shared" si="13"/>
        <v>0.14387031408308004</v>
      </c>
      <c r="AJ27" s="13">
        <f t="shared" si="14"/>
        <v>0.95947315096251262</v>
      </c>
      <c r="AL27">
        <f t="shared" si="15"/>
        <v>987</v>
      </c>
      <c r="AM27" s="17">
        <f t="shared" si="16"/>
        <v>980</v>
      </c>
      <c r="AN27" s="13">
        <f t="shared" si="22"/>
        <v>0.99290780141843971</v>
      </c>
      <c r="AP27" s="17">
        <f>MajorData!O27</f>
        <v>180</v>
      </c>
      <c r="AQ27" s="17">
        <f>MajorData!S27</f>
        <v>800</v>
      </c>
      <c r="AR27" s="43">
        <f t="shared" si="23"/>
        <v>800</v>
      </c>
      <c r="AS27" s="42">
        <f t="shared" si="24"/>
        <v>1</v>
      </c>
      <c r="AU27" s="17">
        <f>MajorData!I27</f>
        <v>420</v>
      </c>
      <c r="AV27" s="43">
        <f t="shared" si="25"/>
        <v>421</v>
      </c>
      <c r="AW27" s="42">
        <f t="shared" si="26"/>
        <v>1.0023809523809524</v>
      </c>
      <c r="AX27" s="17">
        <f>MajorData!Q27</f>
        <v>380</v>
      </c>
      <c r="AY27" s="13">
        <f t="shared" si="27"/>
        <v>0.47499999999999998</v>
      </c>
      <c r="AZ27" s="39">
        <f t="shared" si="28"/>
        <v>594</v>
      </c>
      <c r="BA27" s="39">
        <f t="shared" si="29"/>
        <v>1.5631578947368421</v>
      </c>
      <c r="BC27">
        <f>MajorData!C27</f>
        <v>190</v>
      </c>
      <c r="BD27">
        <f>MajorData!E27</f>
        <v>231</v>
      </c>
      <c r="BF27">
        <f>MajorData!L27</f>
        <v>285</v>
      </c>
      <c r="BG27" s="13">
        <f t="shared" si="30"/>
        <v>0.75</v>
      </c>
      <c r="BH27">
        <f t="shared" si="31"/>
        <v>277.89999999999998</v>
      </c>
      <c r="BI27" s="50">
        <f t="shared" si="32"/>
        <v>0.97508771929824556</v>
      </c>
      <c r="BJ27">
        <f>MajorData!M27</f>
        <v>309</v>
      </c>
      <c r="BK27" s="13">
        <f t="shared" si="33"/>
        <v>0.81315789473684208</v>
      </c>
      <c r="BL27" s="17">
        <f t="shared" si="34"/>
        <v>92</v>
      </c>
      <c r="BM27" s="13">
        <f t="shared" si="35"/>
        <v>0.29773462783171523</v>
      </c>
      <c r="BO27" t="e">
        <v>#N/A</v>
      </c>
      <c r="BP27">
        <f t="shared" si="36"/>
        <v>253.9</v>
      </c>
      <c r="BQ27">
        <f>IntData!T27</f>
        <v>24</v>
      </c>
      <c r="BS27" t="e">
        <v>#N/A</v>
      </c>
      <c r="BT27">
        <f t="shared" si="37"/>
        <v>253.9</v>
      </c>
      <c r="BU27" t="e">
        <v>#N/A</v>
      </c>
      <c r="BV27" s="48">
        <v>0</v>
      </c>
      <c r="BX27">
        <f>IntData!K27</f>
        <v>278</v>
      </c>
      <c r="BY27">
        <f>MinorData!DR27</f>
        <v>24.1</v>
      </c>
      <c r="CA27" t="e">
        <v>#N/A</v>
      </c>
      <c r="CB27">
        <f t="shared" si="38"/>
        <v>49</v>
      </c>
      <c r="CD27" s="17">
        <f>IntData!U27</f>
        <v>43</v>
      </c>
      <c r="CF27" t="e">
        <v>#N/A</v>
      </c>
      <c r="CG27" s="48">
        <v>0</v>
      </c>
      <c r="CH27">
        <f>IntData!L27</f>
        <v>49</v>
      </c>
    </row>
    <row r="28" spans="1:86" x14ac:dyDescent="0.35">
      <c r="A28" s="7">
        <v>1897</v>
      </c>
      <c r="B28" s="6">
        <v>1080</v>
      </c>
      <c r="C28" s="6">
        <v>743</v>
      </c>
      <c r="D28" s="6">
        <f t="array" ref="D28">SUM(IF(ISNUMBER(MinorData!$DJ28:$EI28),MinorData!$DJ28:$EI28))</f>
        <v>964.4000000000002</v>
      </c>
      <c r="E28" s="6">
        <f t="array" ref="E28">SUM(IF(ISNUMBER(MinorData!$EJ28:$FM28),MinorData!$EJ28:$FM28))</f>
        <v>576.20000000000005</v>
      </c>
      <c r="F28" s="13">
        <f t="shared" si="17"/>
        <v>0.89296296296296318</v>
      </c>
      <c r="G28" s="13">
        <f t="shared" si="18"/>
        <v>0.77550471063257076</v>
      </c>
      <c r="H28" s="17"/>
      <c r="J28" s="17">
        <f>MajorData!G28</f>
        <v>498</v>
      </c>
      <c r="K28" s="17">
        <f>MajorData!J28</f>
        <v>733</v>
      </c>
      <c r="L28" s="17">
        <f>MajorData!N28</f>
        <v>109</v>
      </c>
      <c r="M28" s="17">
        <f>MajorData!P28</f>
        <v>201</v>
      </c>
      <c r="N28" s="17">
        <f>MajorData!U28</f>
        <v>229</v>
      </c>
      <c r="O28" s="17">
        <f>MajorData!V28</f>
        <v>335</v>
      </c>
      <c r="P28" s="17">
        <f>IntData!T28</f>
        <v>23</v>
      </c>
      <c r="Q28" s="17">
        <f>IntData!U28</f>
        <v>52</v>
      </c>
      <c r="R28" s="17">
        <f>IntData!V28</f>
        <v>79</v>
      </c>
      <c r="S28" s="17">
        <f>IntData!W28</f>
        <v>155</v>
      </c>
      <c r="T28" s="17">
        <f t="shared" si="19"/>
        <v>230</v>
      </c>
      <c r="U28" s="17">
        <f t="shared" si="4"/>
        <v>851</v>
      </c>
      <c r="V28" s="13">
        <f t="shared" si="20"/>
        <v>1.0043668122270741</v>
      </c>
      <c r="W28" s="13">
        <f t="shared" si="21"/>
        <v>0.68656716417910446</v>
      </c>
      <c r="X28" s="13"/>
      <c r="Z28" s="13">
        <f t="shared" si="5"/>
        <v>0.46111111111111114</v>
      </c>
      <c r="AA28" s="13">
        <f t="shared" si="6"/>
        <v>0.6787037037037037</v>
      </c>
      <c r="AB28" s="13">
        <f t="shared" si="7"/>
        <v>0.10092592592592593</v>
      </c>
      <c r="AC28" s="13">
        <f t="shared" si="8"/>
        <v>0.18611111111111112</v>
      </c>
      <c r="AD28" s="13">
        <f t="shared" si="9"/>
        <v>0.21203703703703702</v>
      </c>
      <c r="AE28" s="13">
        <f t="shared" si="10"/>
        <v>0.31018518518518517</v>
      </c>
      <c r="AF28" s="13">
        <f t="shared" si="11"/>
        <v>2.1296296296296296E-2</v>
      </c>
      <c r="AG28" s="13">
        <f t="shared" si="12"/>
        <v>4.8148148148148148E-2</v>
      </c>
      <c r="AH28" s="13">
        <f t="shared" si="13"/>
        <v>0.14351851851851852</v>
      </c>
      <c r="AJ28" s="13">
        <f t="shared" si="14"/>
        <v>0.96574074074074079</v>
      </c>
      <c r="AL28">
        <f t="shared" si="15"/>
        <v>1080</v>
      </c>
      <c r="AM28" s="17">
        <f t="shared" si="16"/>
        <v>1073</v>
      </c>
      <c r="AN28" s="13">
        <f t="shared" si="22"/>
        <v>0.99351851851851847</v>
      </c>
      <c r="AP28" s="17">
        <f>MajorData!O28</f>
        <v>196</v>
      </c>
      <c r="AQ28" s="17">
        <f>MajorData!S28</f>
        <v>877</v>
      </c>
      <c r="AR28" s="43">
        <f t="shared" si="23"/>
        <v>878</v>
      </c>
      <c r="AS28" s="42">
        <f t="shared" si="24"/>
        <v>1.0011402508551881</v>
      </c>
      <c r="AU28" s="17">
        <f>MajorData!I28</f>
        <v>510</v>
      </c>
      <c r="AV28" s="43">
        <f t="shared" si="25"/>
        <v>510</v>
      </c>
      <c r="AW28" s="42">
        <f t="shared" si="26"/>
        <v>1</v>
      </c>
      <c r="AX28" s="17">
        <f>MajorData!Q28</f>
        <v>368</v>
      </c>
      <c r="AY28" s="13">
        <f t="shared" si="27"/>
        <v>0.41961231470923605</v>
      </c>
      <c r="AZ28" s="39">
        <f t="shared" si="28"/>
        <v>541</v>
      </c>
      <c r="BA28" s="39">
        <f t="shared" si="29"/>
        <v>1.4701086956521738</v>
      </c>
      <c r="BC28">
        <f>MajorData!C28</f>
        <v>258</v>
      </c>
      <c r="BD28">
        <f>MajorData!E28</f>
        <v>252</v>
      </c>
      <c r="BF28">
        <f>MajorData!L28</f>
        <v>259</v>
      </c>
      <c r="BG28" s="13">
        <f t="shared" si="30"/>
        <v>0.70380434782608692</v>
      </c>
      <c r="BH28">
        <f t="shared" si="31"/>
        <v>252.2</v>
      </c>
      <c r="BI28" s="50">
        <f t="shared" si="32"/>
        <v>0.97374517374517366</v>
      </c>
      <c r="BJ28">
        <f>MajorData!M28</f>
        <v>282</v>
      </c>
      <c r="BK28" s="13">
        <f t="shared" si="33"/>
        <v>0.76630434782608692</v>
      </c>
      <c r="BL28" s="17">
        <f t="shared" si="34"/>
        <v>106</v>
      </c>
      <c r="BM28" s="13">
        <f t="shared" si="35"/>
        <v>0.37588652482269502</v>
      </c>
      <c r="BO28" t="e">
        <v>#N/A</v>
      </c>
      <c r="BP28">
        <f t="shared" si="36"/>
        <v>229.2</v>
      </c>
      <c r="BQ28">
        <f>IntData!T28</f>
        <v>23</v>
      </c>
      <c r="BS28" t="e">
        <v>#N/A</v>
      </c>
      <c r="BT28">
        <f t="shared" si="37"/>
        <v>229.2</v>
      </c>
      <c r="BU28" t="e">
        <v>#N/A</v>
      </c>
      <c r="BV28" s="48">
        <v>0</v>
      </c>
      <c r="BX28">
        <f>IntData!K28</f>
        <v>252</v>
      </c>
      <c r="BY28">
        <f>MinorData!DR28</f>
        <v>22.8</v>
      </c>
      <c r="CA28" t="e">
        <v>#N/A</v>
      </c>
      <c r="CB28">
        <f t="shared" si="38"/>
        <v>54</v>
      </c>
      <c r="CD28" s="17">
        <f>IntData!U28</f>
        <v>52</v>
      </c>
      <c r="CF28" t="e">
        <v>#N/A</v>
      </c>
      <c r="CG28" s="48">
        <v>0</v>
      </c>
      <c r="CH28">
        <f>IntData!L28</f>
        <v>54</v>
      </c>
    </row>
    <row r="29" spans="1:86" x14ac:dyDescent="0.35">
      <c r="A29" s="7">
        <v>1898</v>
      </c>
      <c r="B29" s="6">
        <v>1234</v>
      </c>
      <c r="C29" s="6">
        <v>635</v>
      </c>
      <c r="D29" s="6">
        <f t="array" ref="D29">SUM(IF(ISNUMBER(MinorData!$DJ29:$EI29),MinorData!$DJ29:$EI29))</f>
        <v>1102.9000000000001</v>
      </c>
      <c r="E29" s="6">
        <f t="array" ref="E29">SUM(IF(ISNUMBER(MinorData!$EJ29:$FM29),MinorData!$EJ29:$FM29))</f>
        <v>492.5</v>
      </c>
      <c r="F29" s="13">
        <f t="shared" si="17"/>
        <v>0.89376012965964347</v>
      </c>
      <c r="G29" s="13">
        <f t="shared" si="18"/>
        <v>0.77559055118110232</v>
      </c>
      <c r="H29" s="17"/>
      <c r="J29" s="17">
        <f>MajorData!G29</f>
        <v>593</v>
      </c>
      <c r="K29" s="17">
        <f>MajorData!J29</f>
        <v>856</v>
      </c>
      <c r="L29" s="17">
        <f>MajorData!N29</f>
        <v>117</v>
      </c>
      <c r="M29" s="17">
        <f>MajorData!P29</f>
        <v>223</v>
      </c>
      <c r="N29" s="17">
        <f>MajorData!U29</f>
        <v>255</v>
      </c>
      <c r="O29" s="17">
        <f>MajorData!V29</f>
        <v>365</v>
      </c>
      <c r="P29" s="17">
        <f>IntData!T29</f>
        <v>24</v>
      </c>
      <c r="Q29" s="17">
        <f>IntData!U29</f>
        <v>57</v>
      </c>
      <c r="R29" s="17">
        <f>IntData!V29</f>
        <v>104</v>
      </c>
      <c r="S29" s="17">
        <f>IntData!W29</f>
        <v>174</v>
      </c>
      <c r="T29" s="17">
        <f t="shared" si="19"/>
        <v>255</v>
      </c>
      <c r="U29" s="17">
        <f t="shared" si="4"/>
        <v>979</v>
      </c>
      <c r="V29" s="13">
        <f t="shared" si="20"/>
        <v>1</v>
      </c>
      <c r="W29" s="13">
        <f t="shared" si="21"/>
        <v>0.69863013698630139</v>
      </c>
      <c r="X29" s="13"/>
      <c r="Z29" s="13">
        <f t="shared" si="5"/>
        <v>0.48055105348460292</v>
      </c>
      <c r="AA29" s="13">
        <f t="shared" si="6"/>
        <v>0.69367909238249592</v>
      </c>
      <c r="AB29" s="13">
        <f t="shared" si="7"/>
        <v>9.4813614262560783E-2</v>
      </c>
      <c r="AC29" s="13">
        <f t="shared" si="8"/>
        <v>0.18071312803889789</v>
      </c>
      <c r="AD29" s="13">
        <f t="shared" si="9"/>
        <v>0.20664505672609401</v>
      </c>
      <c r="AE29" s="13">
        <f t="shared" si="10"/>
        <v>0.29578606158833065</v>
      </c>
      <c r="AF29" s="13">
        <f t="shared" si="11"/>
        <v>1.9448946515397084E-2</v>
      </c>
      <c r="AG29" s="13">
        <f t="shared" si="12"/>
        <v>4.6191247974068074E-2</v>
      </c>
      <c r="AH29" s="13">
        <f t="shared" si="13"/>
        <v>0.14100486223662884</v>
      </c>
      <c r="AJ29" s="13">
        <f t="shared" si="14"/>
        <v>0.96920583468395449</v>
      </c>
      <c r="AL29">
        <f t="shared" si="15"/>
        <v>1234</v>
      </c>
      <c r="AM29" s="17">
        <f t="shared" si="16"/>
        <v>1226</v>
      </c>
      <c r="AN29" s="13">
        <f t="shared" si="22"/>
        <v>0.99351701782820101</v>
      </c>
      <c r="AP29" s="17">
        <f>MajorData!O29</f>
        <v>218</v>
      </c>
      <c r="AQ29" s="17">
        <f>MajorData!S29</f>
        <v>1008</v>
      </c>
      <c r="AR29" s="43">
        <f t="shared" si="23"/>
        <v>1008</v>
      </c>
      <c r="AS29" s="42">
        <f t="shared" si="24"/>
        <v>1</v>
      </c>
      <c r="AU29" s="17">
        <f>MajorData!I29</f>
        <v>605</v>
      </c>
      <c r="AV29" s="43">
        <f t="shared" si="25"/>
        <v>605</v>
      </c>
      <c r="AW29" s="42">
        <f t="shared" si="26"/>
        <v>1</v>
      </c>
      <c r="AX29" s="17">
        <f>MajorData!Q29</f>
        <v>403</v>
      </c>
      <c r="AY29" s="13">
        <f t="shared" si="27"/>
        <v>0.39980158730158732</v>
      </c>
      <c r="AZ29" s="39">
        <f t="shared" si="28"/>
        <v>596</v>
      </c>
      <c r="BA29" s="39">
        <f t="shared" si="29"/>
        <v>1.4789081885856079</v>
      </c>
      <c r="BC29">
        <f>MajorData!C29</f>
        <v>303</v>
      </c>
      <c r="BD29">
        <f>MajorData!E29</f>
        <v>302</v>
      </c>
      <c r="BF29">
        <f>MajorData!L29</f>
        <v>286</v>
      </c>
      <c r="BG29" s="13">
        <f t="shared" si="30"/>
        <v>0.70967741935483875</v>
      </c>
      <c r="BH29">
        <f t="shared" si="31"/>
        <v>280.2</v>
      </c>
      <c r="BI29" s="50">
        <f t="shared" si="32"/>
        <v>0.97972027972027964</v>
      </c>
      <c r="BJ29">
        <f>MajorData!M29</f>
        <v>310</v>
      </c>
      <c r="BK29" s="13">
        <f t="shared" si="33"/>
        <v>0.76923076923076927</v>
      </c>
      <c r="BL29" s="17">
        <f t="shared" si="34"/>
        <v>112</v>
      </c>
      <c r="BM29" s="13">
        <f t="shared" si="35"/>
        <v>0.36129032258064514</v>
      </c>
      <c r="BO29" t="e">
        <v>#N/A</v>
      </c>
      <c r="BP29">
        <f t="shared" si="36"/>
        <v>256.2</v>
      </c>
      <c r="BQ29">
        <f>IntData!T29</f>
        <v>24</v>
      </c>
      <c r="BS29" t="e">
        <v>#N/A</v>
      </c>
      <c r="BT29">
        <f t="shared" si="37"/>
        <v>256.2</v>
      </c>
      <c r="BU29" t="e">
        <v>#N/A</v>
      </c>
      <c r="BV29" s="48">
        <v>0</v>
      </c>
      <c r="BX29">
        <f>IntData!K29</f>
        <v>280</v>
      </c>
      <c r="BY29">
        <f>MinorData!DR29</f>
        <v>23.8</v>
      </c>
      <c r="CA29" t="e">
        <v>#N/A</v>
      </c>
      <c r="CB29">
        <f t="shared" si="38"/>
        <v>55</v>
      </c>
      <c r="CD29" s="17">
        <f>IntData!U29</f>
        <v>57</v>
      </c>
      <c r="CF29" t="e">
        <v>#N/A</v>
      </c>
      <c r="CG29" s="48">
        <v>0</v>
      </c>
      <c r="CH29">
        <f>IntData!L29</f>
        <v>55</v>
      </c>
    </row>
    <row r="30" spans="1:86" x14ac:dyDescent="0.35">
      <c r="A30" s="7">
        <v>1899</v>
      </c>
      <c r="B30" s="6">
        <v>1253</v>
      </c>
      <c r="C30" s="6">
        <v>799</v>
      </c>
      <c r="D30" s="6">
        <f t="array" ref="D30">SUM(IF(ISNUMBER(MinorData!$DJ30:$EI30),MinorData!$DJ30:$EI30))</f>
        <v>1095.4000000000003</v>
      </c>
      <c r="E30" s="6">
        <f t="array" ref="E30">SUM(IF(ISNUMBER(MinorData!$EJ30:$FM30),MinorData!$EJ30:$FM30))</f>
        <v>623.70000000000005</v>
      </c>
      <c r="F30" s="13">
        <f t="shared" si="17"/>
        <v>0.87422186751795716</v>
      </c>
      <c r="G30" s="13">
        <f t="shared" si="18"/>
        <v>0.78060075093867343</v>
      </c>
      <c r="H30" s="17"/>
      <c r="J30" s="17">
        <f>MajorData!G30</f>
        <v>564</v>
      </c>
      <c r="K30" s="17">
        <f>MajorData!J30</f>
        <v>788</v>
      </c>
      <c r="L30" s="17">
        <f>MajorData!N30</f>
        <v>144</v>
      </c>
      <c r="M30" s="17">
        <f>MajorData!P30</f>
        <v>276</v>
      </c>
      <c r="N30" s="17">
        <f>MajorData!U30</f>
        <v>318</v>
      </c>
      <c r="O30" s="17">
        <f>MajorData!V30</f>
        <v>451</v>
      </c>
      <c r="P30" s="17">
        <f>IntData!T30</f>
        <v>30</v>
      </c>
      <c r="Q30" s="17">
        <f>IntData!U30</f>
        <v>72</v>
      </c>
      <c r="R30" s="17">
        <f>IntData!V30</f>
        <v>130</v>
      </c>
      <c r="S30" s="17">
        <f>IntData!W30</f>
        <v>217</v>
      </c>
      <c r="T30" s="17">
        <f t="shared" si="19"/>
        <v>319</v>
      </c>
      <c r="U30" s="17">
        <f t="shared" si="4"/>
        <v>935</v>
      </c>
      <c r="V30" s="13">
        <f t="shared" si="20"/>
        <v>1.0031446540880504</v>
      </c>
      <c r="W30" s="13">
        <f t="shared" si="21"/>
        <v>0.70731707317073167</v>
      </c>
      <c r="X30" s="13"/>
      <c r="Z30" s="13">
        <f t="shared" si="5"/>
        <v>0.45011971268954509</v>
      </c>
      <c r="AA30" s="13">
        <f t="shared" si="6"/>
        <v>0.62889066241021552</v>
      </c>
      <c r="AB30" s="13">
        <f t="shared" si="7"/>
        <v>0.1149241819632881</v>
      </c>
      <c r="AC30" s="13">
        <f t="shared" si="8"/>
        <v>0.22027134876296889</v>
      </c>
      <c r="AD30" s="13">
        <f t="shared" si="9"/>
        <v>0.25379090183559455</v>
      </c>
      <c r="AE30" s="13">
        <f t="shared" si="10"/>
        <v>0.35993615323224259</v>
      </c>
      <c r="AF30" s="13">
        <f t="shared" si="11"/>
        <v>2.3942537909018357E-2</v>
      </c>
      <c r="AG30" s="13">
        <f t="shared" si="12"/>
        <v>5.7462090981644051E-2</v>
      </c>
      <c r="AH30" s="13">
        <f t="shared" si="13"/>
        <v>0.17318435754189945</v>
      </c>
      <c r="AJ30" s="13">
        <f t="shared" si="14"/>
        <v>0.96408619313647259</v>
      </c>
      <c r="AL30">
        <f t="shared" si="15"/>
        <v>1253</v>
      </c>
      <c r="AM30" s="17">
        <f t="shared" si="16"/>
        <v>1244</v>
      </c>
      <c r="AN30" s="13">
        <f t="shared" si="22"/>
        <v>0.99281723862729454</v>
      </c>
      <c r="AP30" s="17">
        <f>MajorData!O30</f>
        <v>271</v>
      </c>
      <c r="AQ30" s="17">
        <f>MajorData!S30</f>
        <v>973</v>
      </c>
      <c r="AR30" s="43">
        <f t="shared" si="23"/>
        <v>973</v>
      </c>
      <c r="AS30" s="42">
        <f t="shared" si="24"/>
        <v>1</v>
      </c>
      <c r="AU30" s="17">
        <f>MajorData!I30</f>
        <v>576</v>
      </c>
      <c r="AV30" s="43">
        <f t="shared" si="25"/>
        <v>576</v>
      </c>
      <c r="AW30" s="42">
        <f t="shared" si="26"/>
        <v>1</v>
      </c>
      <c r="AX30" s="17">
        <f>MajorData!Q30</f>
        <v>397</v>
      </c>
      <c r="AY30" s="13">
        <f t="shared" si="27"/>
        <v>0.40801644398766701</v>
      </c>
      <c r="AZ30" s="39">
        <f t="shared" si="28"/>
        <v>536</v>
      </c>
      <c r="BA30" s="39">
        <f t="shared" si="29"/>
        <v>1.350125944584383</v>
      </c>
      <c r="BC30">
        <f>MajorData!C30</f>
        <v>260</v>
      </c>
      <c r="BD30">
        <f>MajorData!E30</f>
        <v>316</v>
      </c>
      <c r="BF30">
        <f>MajorData!L30</f>
        <v>253</v>
      </c>
      <c r="BG30" s="13">
        <f t="shared" si="30"/>
        <v>0.63727959697732994</v>
      </c>
      <c r="BH30">
        <f t="shared" si="31"/>
        <v>246</v>
      </c>
      <c r="BI30" s="50">
        <f t="shared" si="32"/>
        <v>0.97233201581027673</v>
      </c>
      <c r="BJ30">
        <f>MajorData!M30</f>
        <v>283</v>
      </c>
      <c r="BK30" s="13">
        <f t="shared" si="33"/>
        <v>0.7128463476070529</v>
      </c>
      <c r="BL30" s="17">
        <f t="shared" si="34"/>
        <v>139</v>
      </c>
      <c r="BM30" s="13">
        <f t="shared" si="35"/>
        <v>0.49116607773851589</v>
      </c>
      <c r="BO30" t="e">
        <v>#N/A</v>
      </c>
      <c r="BP30">
        <f t="shared" si="36"/>
        <v>216</v>
      </c>
      <c r="BQ30">
        <f>IntData!T30</f>
        <v>30</v>
      </c>
      <c r="BS30" t="e">
        <v>#N/A</v>
      </c>
      <c r="BT30">
        <f t="shared" si="37"/>
        <v>216</v>
      </c>
      <c r="BU30" t="e">
        <v>#N/A</v>
      </c>
      <c r="BV30" s="48">
        <v>0</v>
      </c>
      <c r="BX30">
        <f>IntData!K30</f>
        <v>246</v>
      </c>
      <c r="BY30">
        <f>MinorData!DR30</f>
        <v>30</v>
      </c>
      <c r="CA30" t="e">
        <v>#N/A</v>
      </c>
      <c r="CB30">
        <f t="shared" si="38"/>
        <v>67</v>
      </c>
      <c r="CD30" s="17">
        <f>IntData!U30</f>
        <v>72</v>
      </c>
      <c r="CF30" t="e">
        <v>#N/A</v>
      </c>
      <c r="CG30" s="48">
        <v>0</v>
      </c>
      <c r="CH30">
        <f>IntData!L30</f>
        <v>67</v>
      </c>
    </row>
    <row r="31" spans="1:86" x14ac:dyDescent="0.35">
      <c r="A31" s="7">
        <v>1900</v>
      </c>
      <c r="B31" s="8">
        <v>1453</v>
      </c>
      <c r="C31" s="6">
        <v>829</v>
      </c>
      <c r="D31" s="6">
        <f t="array" ref="D31">SUM(IF(ISNUMBER(MinorData!$DJ31:$EI31),MinorData!$DJ31:$EI31))</f>
        <v>1271.7</v>
      </c>
      <c r="E31" s="6">
        <f t="array" ref="E31">SUM(IF(ISNUMBER(MinorData!$EJ31:$FM31),MinorData!$EJ31:$FM31))</f>
        <v>635.4000000000002</v>
      </c>
      <c r="F31" s="13">
        <f t="shared" si="17"/>
        <v>0.87522367515485211</v>
      </c>
      <c r="G31" s="13">
        <f t="shared" si="18"/>
        <v>0.7664656212303983</v>
      </c>
      <c r="H31" s="17"/>
      <c r="J31" s="17">
        <f>MajorData!G31</f>
        <v>553</v>
      </c>
      <c r="K31" s="17">
        <f>MajorData!J31</f>
        <v>910</v>
      </c>
      <c r="L31" s="17">
        <f>MajorData!N31</f>
        <v>176</v>
      </c>
      <c r="M31" s="17">
        <f>MajorData!P31</f>
        <v>308</v>
      </c>
      <c r="N31" s="17">
        <f>MajorData!U31</f>
        <v>382</v>
      </c>
      <c r="O31" s="17">
        <f>MajorData!V31</f>
        <v>526</v>
      </c>
      <c r="P31" s="17">
        <f>IntData!T31</f>
        <v>37</v>
      </c>
      <c r="Q31" s="17">
        <f>IntData!U31</f>
        <v>96</v>
      </c>
      <c r="R31" s="17">
        <f>IntData!V31</f>
        <v>153</v>
      </c>
      <c r="S31" s="17">
        <f>IntData!W31</f>
        <v>250</v>
      </c>
      <c r="T31" s="17">
        <f t="shared" si="19"/>
        <v>383</v>
      </c>
      <c r="U31" s="17">
        <f t="shared" si="4"/>
        <v>1071</v>
      </c>
      <c r="V31" s="13">
        <f t="shared" si="20"/>
        <v>1.0026178010471205</v>
      </c>
      <c r="W31" s="13">
        <f t="shared" si="21"/>
        <v>0.72813688212927752</v>
      </c>
      <c r="X31" s="13"/>
      <c r="Z31" s="13">
        <f t="shared" si="5"/>
        <v>0.38059187887130075</v>
      </c>
      <c r="AA31" s="13">
        <f t="shared" si="6"/>
        <v>0.62629043358568481</v>
      </c>
      <c r="AB31" s="13">
        <f t="shared" si="7"/>
        <v>0.12112869924294563</v>
      </c>
      <c r="AC31" s="13">
        <f t="shared" si="8"/>
        <v>0.21197522367515484</v>
      </c>
      <c r="AD31" s="13">
        <f t="shared" si="9"/>
        <v>0.26290433585684791</v>
      </c>
      <c r="AE31" s="13">
        <f t="shared" si="10"/>
        <v>0.36200963523743979</v>
      </c>
      <c r="AF31" s="13">
        <f t="shared" si="11"/>
        <v>2.5464556090846524E-2</v>
      </c>
      <c r="AG31" s="13">
        <f t="shared" si="12"/>
        <v>6.6070199587061257E-2</v>
      </c>
      <c r="AH31" s="13">
        <f t="shared" si="13"/>
        <v>0.17205781142463869</v>
      </c>
      <c r="AJ31" s="13">
        <f t="shared" si="14"/>
        <v>0.95939435650378535</v>
      </c>
      <c r="AL31">
        <f t="shared" si="15"/>
        <v>1453</v>
      </c>
      <c r="AM31" s="17">
        <f t="shared" si="16"/>
        <v>1441</v>
      </c>
      <c r="AN31" s="13">
        <f t="shared" si="22"/>
        <v>0.99174122505161733</v>
      </c>
      <c r="AP31" s="17">
        <f>MajorData!O31</f>
        <v>302</v>
      </c>
      <c r="AQ31" s="17">
        <f>MajorData!S31</f>
        <v>1139</v>
      </c>
      <c r="AR31" s="43">
        <f t="shared" si="23"/>
        <v>1139</v>
      </c>
      <c r="AS31" s="42">
        <f t="shared" si="24"/>
        <v>1</v>
      </c>
      <c r="AU31" s="17">
        <f>MajorData!I31</f>
        <v>569</v>
      </c>
      <c r="AV31" s="43">
        <f t="shared" si="25"/>
        <v>569</v>
      </c>
      <c r="AW31" s="42">
        <f t="shared" si="26"/>
        <v>1</v>
      </c>
      <c r="AX31" s="17">
        <f>MajorData!Q31</f>
        <v>570</v>
      </c>
      <c r="AY31" s="13">
        <f t="shared" si="27"/>
        <v>0.50043898156277433</v>
      </c>
      <c r="AZ31" s="39">
        <f t="shared" si="28"/>
        <v>814</v>
      </c>
      <c r="BA31" s="39">
        <f t="shared" si="29"/>
        <v>1.4280701754385965</v>
      </c>
      <c r="BC31">
        <f>MajorData!C31</f>
        <v>244</v>
      </c>
      <c r="BD31">
        <f>MajorData!E31</f>
        <v>325</v>
      </c>
      <c r="BF31">
        <f>MajorData!L31</f>
        <v>394</v>
      </c>
      <c r="BG31" s="13">
        <f t="shared" si="30"/>
        <v>0.69122807017543864</v>
      </c>
      <c r="BH31">
        <f t="shared" si="31"/>
        <v>385.1</v>
      </c>
      <c r="BI31" s="50">
        <f t="shared" si="32"/>
        <v>0.97741116751269042</v>
      </c>
      <c r="BJ31">
        <f>MajorData!M31</f>
        <v>420</v>
      </c>
      <c r="BK31" s="13">
        <f t="shared" si="33"/>
        <v>0.73684210526315785</v>
      </c>
      <c r="BL31" s="17">
        <f t="shared" si="34"/>
        <v>170</v>
      </c>
      <c r="BM31" s="13">
        <f t="shared" si="35"/>
        <v>0.40476190476190477</v>
      </c>
      <c r="BO31" t="e">
        <v>#N/A</v>
      </c>
      <c r="BP31">
        <f t="shared" si="36"/>
        <v>348.1</v>
      </c>
      <c r="BQ31">
        <f>IntData!T31</f>
        <v>37</v>
      </c>
      <c r="BS31" t="e">
        <v>#N/A</v>
      </c>
      <c r="BT31">
        <f t="shared" si="37"/>
        <v>348.1</v>
      </c>
      <c r="BU31" t="e">
        <v>#N/A</v>
      </c>
      <c r="BV31" s="48">
        <v>0</v>
      </c>
      <c r="BX31">
        <f>IntData!K31</f>
        <v>375</v>
      </c>
      <c r="BY31">
        <f>MinorData!DR31</f>
        <v>26.9</v>
      </c>
      <c r="CA31" t="e">
        <v>#N/A</v>
      </c>
      <c r="CB31">
        <f t="shared" si="38"/>
        <v>74</v>
      </c>
      <c r="CD31" s="17">
        <f>IntData!U31</f>
        <v>96</v>
      </c>
      <c r="CF31" t="e">
        <v>#N/A</v>
      </c>
      <c r="CG31" s="48">
        <v>0</v>
      </c>
      <c r="CH31">
        <f>IntData!L31</f>
        <v>74</v>
      </c>
    </row>
    <row r="32" spans="1:86" x14ac:dyDescent="0.35">
      <c r="A32" s="7">
        <v>1901</v>
      </c>
      <c r="B32" s="8">
        <v>1438</v>
      </c>
      <c r="C32" s="6">
        <v>880</v>
      </c>
      <c r="D32" s="6">
        <f t="array" ref="D32">SUM(IF(ISNUMBER(MinorData!$DJ32:$EI32),MinorData!$DJ32:$EI32))</f>
        <v>1263.2999999999997</v>
      </c>
      <c r="E32" s="6">
        <f t="array" ref="E32">SUM(IF(ISNUMBER(MinorData!$EJ32:$FM32),MinorData!$EJ32:$FM32))</f>
        <v>670.5</v>
      </c>
      <c r="F32" s="13">
        <f t="shared" si="17"/>
        <v>0.87851182197496502</v>
      </c>
      <c r="G32" s="13">
        <f t="shared" si="18"/>
        <v>0.76193181818181821</v>
      </c>
      <c r="H32" s="17"/>
      <c r="J32" s="17">
        <f>MajorData!G32</f>
        <v>606</v>
      </c>
      <c r="K32" s="17">
        <f>MajorData!J32</f>
        <v>943</v>
      </c>
      <c r="L32" s="17">
        <f>MajorData!N32</f>
        <v>140</v>
      </c>
      <c r="M32" s="17">
        <f>MajorData!P32</f>
        <v>298</v>
      </c>
      <c r="N32" s="17">
        <f>MajorData!U32</f>
        <v>334</v>
      </c>
      <c r="O32" s="17">
        <f>MajorData!V32</f>
        <v>479</v>
      </c>
      <c r="P32" s="17">
        <f>IntData!T32</f>
        <v>38</v>
      </c>
      <c r="Q32" s="17">
        <f>IntData!U32</f>
        <v>62</v>
      </c>
      <c r="R32" s="17">
        <f>IntData!V32</f>
        <v>136</v>
      </c>
      <c r="S32" s="17">
        <f>IntData!W32</f>
        <v>235</v>
      </c>
      <c r="T32" s="17">
        <f t="shared" si="19"/>
        <v>335</v>
      </c>
      <c r="U32" s="17">
        <f t="shared" si="4"/>
        <v>1104</v>
      </c>
      <c r="V32" s="13">
        <f t="shared" si="20"/>
        <v>1.0029940119760479</v>
      </c>
      <c r="W32" s="13">
        <f t="shared" si="21"/>
        <v>0.69937369519832981</v>
      </c>
      <c r="X32" s="13"/>
      <c r="Z32" s="13">
        <f t="shared" si="5"/>
        <v>0.42141863699582754</v>
      </c>
      <c r="AA32" s="13">
        <f t="shared" si="6"/>
        <v>0.65577190542420027</v>
      </c>
      <c r="AB32" s="13">
        <f t="shared" si="7"/>
        <v>9.7357440890125171E-2</v>
      </c>
      <c r="AC32" s="13">
        <f t="shared" si="8"/>
        <v>0.20723226703755215</v>
      </c>
      <c r="AD32" s="13">
        <f t="shared" si="9"/>
        <v>0.23226703755215578</v>
      </c>
      <c r="AE32" s="13">
        <f t="shared" si="10"/>
        <v>0.33310152990264258</v>
      </c>
      <c r="AF32" s="13">
        <f t="shared" si="11"/>
        <v>2.6425591098748261E-2</v>
      </c>
      <c r="AG32" s="13">
        <f t="shared" si="12"/>
        <v>4.3115438108484005E-2</v>
      </c>
      <c r="AH32" s="13">
        <f t="shared" si="13"/>
        <v>0.16342141863699583</v>
      </c>
      <c r="AJ32" s="13">
        <f t="shared" si="14"/>
        <v>0.96036161335187764</v>
      </c>
      <c r="AL32">
        <f t="shared" si="15"/>
        <v>1438</v>
      </c>
      <c r="AM32" s="17">
        <f t="shared" si="16"/>
        <v>1428</v>
      </c>
      <c r="AN32" s="13">
        <f t="shared" si="22"/>
        <v>0.99304589707927682</v>
      </c>
      <c r="AP32" s="17">
        <f>MajorData!O32</f>
        <v>293</v>
      </c>
      <c r="AQ32" s="17">
        <f>MajorData!S32</f>
        <v>1135</v>
      </c>
      <c r="AR32" s="43">
        <f t="shared" si="23"/>
        <v>1135</v>
      </c>
      <c r="AS32" s="42">
        <f t="shared" si="24"/>
        <v>1</v>
      </c>
      <c r="AU32" s="17">
        <f>MajorData!I32</f>
        <v>621</v>
      </c>
      <c r="AV32" s="43">
        <f t="shared" si="25"/>
        <v>621</v>
      </c>
      <c r="AW32" s="42">
        <f t="shared" si="26"/>
        <v>1</v>
      </c>
      <c r="AX32" s="17">
        <f>MajorData!Q32</f>
        <v>514</v>
      </c>
      <c r="AY32" s="13">
        <f t="shared" si="27"/>
        <v>0.45286343612334801</v>
      </c>
      <c r="AZ32" s="39">
        <f t="shared" si="28"/>
        <v>776</v>
      </c>
      <c r="BA32" s="39">
        <f t="shared" si="29"/>
        <v>1.5097276264591439</v>
      </c>
      <c r="BC32">
        <f>MajorData!C32</f>
        <v>274</v>
      </c>
      <c r="BD32">
        <f>MajorData!E32</f>
        <v>347</v>
      </c>
      <c r="BF32">
        <f>MajorData!L32</f>
        <v>375</v>
      </c>
      <c r="BG32" s="13">
        <f t="shared" si="30"/>
        <v>0.72957198443579763</v>
      </c>
      <c r="BH32">
        <f t="shared" si="31"/>
        <v>367.1</v>
      </c>
      <c r="BI32" s="50">
        <f t="shared" si="32"/>
        <v>0.97893333333333343</v>
      </c>
      <c r="BJ32">
        <f>MajorData!M32</f>
        <v>401</v>
      </c>
      <c r="BK32" s="13">
        <f t="shared" si="33"/>
        <v>0.78015564202334631</v>
      </c>
      <c r="BL32" s="17">
        <f t="shared" si="34"/>
        <v>133</v>
      </c>
      <c r="BM32" s="13">
        <f t="shared" si="35"/>
        <v>0.33167082294264338</v>
      </c>
      <c r="BO32" t="e">
        <v>#N/A</v>
      </c>
      <c r="BP32">
        <f t="shared" si="36"/>
        <v>329.1</v>
      </c>
      <c r="BQ32">
        <f>IntData!T32</f>
        <v>38</v>
      </c>
      <c r="BS32" t="e">
        <v>#N/A</v>
      </c>
      <c r="BT32">
        <f t="shared" si="37"/>
        <v>329.1</v>
      </c>
      <c r="BU32" t="e">
        <v>#N/A</v>
      </c>
      <c r="BV32" s="48">
        <v>0</v>
      </c>
      <c r="BX32">
        <f>IntData!K32</f>
        <v>356</v>
      </c>
      <c r="BY32">
        <f>MinorData!DR32</f>
        <v>26.9</v>
      </c>
      <c r="CA32" t="e">
        <v>#N/A</v>
      </c>
      <c r="CB32">
        <f t="shared" si="38"/>
        <v>71</v>
      </c>
      <c r="CD32" s="17">
        <f>IntData!U32</f>
        <v>62</v>
      </c>
      <c r="CF32" t="e">
        <v>#N/A</v>
      </c>
      <c r="CG32" s="48">
        <v>0</v>
      </c>
      <c r="CH32">
        <f>IntData!L32</f>
        <v>71</v>
      </c>
    </row>
    <row r="33" spans="1:86" x14ac:dyDescent="0.35">
      <c r="A33" s="7">
        <v>1902</v>
      </c>
      <c r="B33" s="6">
        <v>1333</v>
      </c>
      <c r="C33" s="6">
        <v>969</v>
      </c>
      <c r="D33" s="6">
        <f t="array" ref="D33">SUM(IF(ISNUMBER(MinorData!$DJ33:$EI33),MinorData!$DJ33:$EI33))</f>
        <v>1151.8999999999996</v>
      </c>
      <c r="E33" s="6">
        <f t="array" ref="E33">SUM(IF(ISNUMBER(MinorData!$EJ33:$FM33),MinorData!$EJ33:$FM33))</f>
        <v>725.49999999999977</v>
      </c>
      <c r="F33" s="13">
        <f t="shared" si="17"/>
        <v>0.86414103525881447</v>
      </c>
      <c r="G33" s="13">
        <f t="shared" si="18"/>
        <v>0.74871001031991724</v>
      </c>
      <c r="H33" s="17"/>
      <c r="J33" s="17">
        <f>MajorData!G33</f>
        <v>502</v>
      </c>
      <c r="K33" s="17">
        <f>MajorData!J33</f>
        <v>822</v>
      </c>
      <c r="L33" s="17">
        <f>MajorData!N33</f>
        <v>150</v>
      </c>
      <c r="M33" s="17">
        <f>MajorData!P33</f>
        <v>303</v>
      </c>
      <c r="N33" s="17">
        <f>MajorData!U33</f>
        <v>335</v>
      </c>
      <c r="O33" s="17">
        <f>MajorData!V33</f>
        <v>495</v>
      </c>
      <c r="P33" s="17">
        <f>IntData!T33</f>
        <v>34</v>
      </c>
      <c r="Q33" s="17">
        <f>IntData!U33</f>
        <v>72</v>
      </c>
      <c r="R33" s="17">
        <f>IntData!V33</f>
        <v>134</v>
      </c>
      <c r="S33" s="17">
        <f>IntData!W33</f>
        <v>230</v>
      </c>
      <c r="T33" s="17">
        <f t="shared" si="19"/>
        <v>336</v>
      </c>
      <c r="U33" s="17">
        <f t="shared" si="4"/>
        <v>998</v>
      </c>
      <c r="V33" s="13">
        <f t="shared" si="20"/>
        <v>1.0029850746268656</v>
      </c>
      <c r="W33" s="13">
        <f t="shared" si="21"/>
        <v>0.67878787878787883</v>
      </c>
      <c r="X33" s="13"/>
      <c r="Z33" s="13">
        <f t="shared" si="5"/>
        <v>0.3765941485371343</v>
      </c>
      <c r="AA33" s="13">
        <f t="shared" si="6"/>
        <v>0.6166541635408852</v>
      </c>
      <c r="AB33" s="13">
        <f t="shared" si="7"/>
        <v>0.11252813203300825</v>
      </c>
      <c r="AC33" s="13">
        <f t="shared" si="8"/>
        <v>0.22730682670667668</v>
      </c>
      <c r="AD33" s="13">
        <f t="shared" si="9"/>
        <v>0.25131282820705175</v>
      </c>
      <c r="AE33" s="13">
        <f t="shared" si="10"/>
        <v>0.37134283570892723</v>
      </c>
      <c r="AF33" s="13">
        <f t="shared" si="11"/>
        <v>2.5506376594148537E-2</v>
      </c>
      <c r="AG33" s="13">
        <f t="shared" si="12"/>
        <v>5.4013503375843958E-2</v>
      </c>
      <c r="AH33" s="13">
        <f t="shared" si="13"/>
        <v>0.17254313578394598</v>
      </c>
      <c r="AJ33" s="13">
        <f t="shared" si="14"/>
        <v>0.95648912228057015</v>
      </c>
      <c r="AL33">
        <f t="shared" si="15"/>
        <v>1333</v>
      </c>
      <c r="AM33" s="17">
        <f t="shared" si="16"/>
        <v>1322</v>
      </c>
      <c r="AN33" s="13">
        <f t="shared" si="22"/>
        <v>0.99174793698424601</v>
      </c>
      <c r="AP33" s="17">
        <f>MajorData!O33</f>
        <v>297</v>
      </c>
      <c r="AQ33" s="17">
        <f>MajorData!S33</f>
        <v>1025</v>
      </c>
      <c r="AR33" s="43">
        <f t="shared" si="23"/>
        <v>1026</v>
      </c>
      <c r="AS33" s="42">
        <f t="shared" si="24"/>
        <v>1.0009756097560976</v>
      </c>
      <c r="AU33" s="17">
        <f>MajorData!I33</f>
        <v>518</v>
      </c>
      <c r="AV33" s="43">
        <f t="shared" si="25"/>
        <v>518</v>
      </c>
      <c r="AW33" s="42">
        <f t="shared" si="26"/>
        <v>1</v>
      </c>
      <c r="AX33" s="17">
        <f>MajorData!Q33</f>
        <v>508</v>
      </c>
      <c r="AY33" s="13">
        <f t="shared" si="27"/>
        <v>0.49560975609756097</v>
      </c>
      <c r="AZ33" s="39">
        <f t="shared" si="28"/>
        <v>750</v>
      </c>
      <c r="BA33" s="39">
        <f t="shared" si="29"/>
        <v>1.4763779527559056</v>
      </c>
      <c r="BC33">
        <f>MajorData!C33</f>
        <v>195</v>
      </c>
      <c r="BD33">
        <f>MajorData!E33</f>
        <v>323</v>
      </c>
      <c r="BF33">
        <f>MajorData!L33</f>
        <v>358</v>
      </c>
      <c r="BG33" s="13">
        <f t="shared" si="30"/>
        <v>0.70472440944881887</v>
      </c>
      <c r="BH33">
        <f t="shared" si="31"/>
        <v>348.4</v>
      </c>
      <c r="BI33" s="50">
        <f t="shared" si="32"/>
        <v>0.97318435754189936</v>
      </c>
      <c r="BJ33">
        <f>MajorData!M33</f>
        <v>392</v>
      </c>
      <c r="BK33" s="13">
        <f t="shared" si="33"/>
        <v>0.77165354330708658</v>
      </c>
      <c r="BL33" s="17">
        <f t="shared" si="34"/>
        <v>146</v>
      </c>
      <c r="BM33" s="13">
        <f t="shared" si="35"/>
        <v>0.37244897959183676</v>
      </c>
      <c r="BO33" t="e">
        <v>#N/A</v>
      </c>
      <c r="BP33">
        <f t="shared" si="36"/>
        <v>314.39999999999998</v>
      </c>
      <c r="BQ33">
        <f>IntData!T33</f>
        <v>34</v>
      </c>
      <c r="BS33" t="e">
        <v>#N/A</v>
      </c>
      <c r="BT33">
        <f t="shared" si="37"/>
        <v>314.39999999999998</v>
      </c>
      <c r="BU33" t="e">
        <v>#N/A</v>
      </c>
      <c r="BV33" s="48">
        <v>0</v>
      </c>
      <c r="BX33">
        <f>IntData!K33</f>
        <v>349</v>
      </c>
      <c r="BY33">
        <f>MinorData!DR33</f>
        <v>34.6</v>
      </c>
      <c r="CA33" t="e">
        <v>#N/A</v>
      </c>
      <c r="CB33">
        <f t="shared" si="38"/>
        <v>74</v>
      </c>
      <c r="CD33" s="17">
        <f>IntData!U33</f>
        <v>72</v>
      </c>
      <c r="CF33" t="e">
        <v>#N/A</v>
      </c>
      <c r="CG33" s="48">
        <v>0</v>
      </c>
      <c r="CH33">
        <f>IntData!L33</f>
        <v>74</v>
      </c>
    </row>
    <row r="34" spans="1:86" x14ac:dyDescent="0.35">
      <c r="A34" s="7">
        <v>1903</v>
      </c>
      <c r="B34" s="6">
        <v>1458</v>
      </c>
      <c r="C34" s="6">
        <v>995</v>
      </c>
      <c r="D34" s="6">
        <f t="array" ref="D34">SUM(IF(ISNUMBER(MinorData!$DJ34:$EI34),MinorData!$DJ34:$EI34))</f>
        <v>1270.2</v>
      </c>
      <c r="E34" s="6">
        <f t="array" ref="E34">SUM(IF(ISNUMBER(MinorData!$EJ34:$FM34),MinorData!$EJ34:$FM34))</f>
        <v>747.49999999999977</v>
      </c>
      <c r="F34" s="13">
        <f t="shared" si="17"/>
        <v>0.87119341563786012</v>
      </c>
      <c r="G34" s="13">
        <f t="shared" si="18"/>
        <v>0.75125628140703493</v>
      </c>
      <c r="H34" s="17"/>
      <c r="J34" s="17">
        <f>MajorData!G34</f>
        <v>512</v>
      </c>
      <c r="K34" s="17">
        <f>MajorData!J34</f>
        <v>917</v>
      </c>
      <c r="L34" s="17">
        <f>MajorData!N34</f>
        <v>163</v>
      </c>
      <c r="M34" s="17">
        <f>MajorData!P34</f>
        <v>316</v>
      </c>
      <c r="N34" s="17">
        <f>MajorData!U34</f>
        <v>358</v>
      </c>
      <c r="O34" s="17">
        <f>MajorData!V34</f>
        <v>528</v>
      </c>
      <c r="P34" s="17">
        <f>IntData!T34</f>
        <v>42</v>
      </c>
      <c r="Q34" s="17">
        <f>IntData!U34</f>
        <v>71</v>
      </c>
      <c r="R34" s="17">
        <f>IntData!V34</f>
        <v>142</v>
      </c>
      <c r="S34" s="17">
        <f>IntData!W34</f>
        <v>245</v>
      </c>
      <c r="T34" s="17">
        <f t="shared" si="19"/>
        <v>358</v>
      </c>
      <c r="U34" s="17">
        <f t="shared" si="4"/>
        <v>1100</v>
      </c>
      <c r="V34" s="13">
        <f t="shared" si="20"/>
        <v>1</v>
      </c>
      <c r="W34" s="13">
        <f t="shared" si="21"/>
        <v>0.67803030303030298</v>
      </c>
      <c r="X34" s="13"/>
      <c r="Z34" s="13">
        <f t="shared" si="5"/>
        <v>0.3511659807956104</v>
      </c>
      <c r="AA34" s="13">
        <f t="shared" si="6"/>
        <v>0.62894375857338825</v>
      </c>
      <c r="AB34" s="13">
        <f t="shared" si="7"/>
        <v>0.11179698216735254</v>
      </c>
      <c r="AC34" s="13">
        <f t="shared" si="8"/>
        <v>0.2167352537722908</v>
      </c>
      <c r="AD34" s="13">
        <f t="shared" si="9"/>
        <v>0.24554183813443073</v>
      </c>
      <c r="AE34" s="13">
        <f t="shared" si="10"/>
        <v>0.36213991769547327</v>
      </c>
      <c r="AF34" s="13">
        <f t="shared" si="11"/>
        <v>2.8806584362139918E-2</v>
      </c>
      <c r="AG34" s="13">
        <f t="shared" si="12"/>
        <v>4.8696844993141288E-2</v>
      </c>
      <c r="AH34" s="13">
        <f t="shared" si="13"/>
        <v>0.16803840877914952</v>
      </c>
      <c r="AJ34" s="13">
        <f t="shared" si="14"/>
        <v>0.95747599451303156</v>
      </c>
      <c r="AL34">
        <f t="shared" si="15"/>
        <v>1458</v>
      </c>
      <c r="AM34" s="17">
        <f t="shared" si="16"/>
        <v>1449</v>
      </c>
      <c r="AN34" s="13">
        <f t="shared" si="22"/>
        <v>0.99382716049382713</v>
      </c>
      <c r="AP34" s="17">
        <f>MajorData!O34</f>
        <v>310</v>
      </c>
      <c r="AQ34" s="17">
        <f>MajorData!S34</f>
        <v>1139</v>
      </c>
      <c r="AR34" s="43">
        <f t="shared" si="23"/>
        <v>1139</v>
      </c>
      <c r="AS34" s="42">
        <f t="shared" si="24"/>
        <v>1</v>
      </c>
      <c r="AU34" s="17">
        <f>MajorData!I34</f>
        <v>525</v>
      </c>
      <c r="AV34" s="43">
        <f t="shared" si="25"/>
        <v>526</v>
      </c>
      <c r="AW34" s="42">
        <f t="shared" si="26"/>
        <v>1.0019047619047619</v>
      </c>
      <c r="AX34" s="17">
        <f>MajorData!Q34</f>
        <v>614</v>
      </c>
      <c r="AY34" s="13">
        <f t="shared" si="27"/>
        <v>0.53906935908691833</v>
      </c>
      <c r="AZ34" s="39">
        <f t="shared" si="28"/>
        <v>932</v>
      </c>
      <c r="BA34" s="39">
        <f t="shared" si="29"/>
        <v>1.5179153094462541</v>
      </c>
      <c r="BC34">
        <f>MajorData!C34</f>
        <v>205</v>
      </c>
      <c r="BD34">
        <f>MajorData!E34</f>
        <v>321</v>
      </c>
      <c r="BF34">
        <f>MajorData!L34</f>
        <v>451</v>
      </c>
      <c r="BG34" s="13">
        <f t="shared" si="30"/>
        <v>0.73452768729641693</v>
      </c>
      <c r="BH34">
        <f t="shared" si="31"/>
        <v>439.2</v>
      </c>
      <c r="BI34" s="50">
        <f t="shared" si="32"/>
        <v>0.97383592017738352</v>
      </c>
      <c r="BJ34">
        <f>MajorData!M34</f>
        <v>481</v>
      </c>
      <c r="BK34" s="13">
        <f t="shared" si="33"/>
        <v>0.78338762214983715</v>
      </c>
      <c r="BL34" s="17">
        <f t="shared" si="34"/>
        <v>157</v>
      </c>
      <c r="BM34" s="13">
        <f t="shared" si="35"/>
        <v>0.32640332640332642</v>
      </c>
      <c r="BO34" t="e">
        <v>#N/A</v>
      </c>
      <c r="BP34">
        <f t="shared" si="36"/>
        <v>397.2</v>
      </c>
      <c r="BQ34">
        <f>IntData!T34</f>
        <v>42</v>
      </c>
      <c r="BS34" t="e">
        <v>#N/A</v>
      </c>
      <c r="BT34">
        <f t="shared" si="37"/>
        <v>397.2</v>
      </c>
      <c r="BU34" t="e">
        <v>#N/A</v>
      </c>
      <c r="BV34" s="48">
        <v>0</v>
      </c>
      <c r="BX34">
        <f>IntData!K34</f>
        <v>427</v>
      </c>
      <c r="BY34">
        <f>MinorData!DR34</f>
        <v>29.8</v>
      </c>
      <c r="CA34" t="e">
        <v>#N/A</v>
      </c>
      <c r="CB34">
        <f t="shared" si="38"/>
        <v>86</v>
      </c>
      <c r="CD34" s="17">
        <f>IntData!U34</f>
        <v>71</v>
      </c>
      <c r="CF34" t="e">
        <v>#N/A</v>
      </c>
      <c r="CG34" s="48">
        <v>0</v>
      </c>
      <c r="CH34">
        <f>IntData!L34</f>
        <v>86</v>
      </c>
    </row>
    <row r="35" spans="1:86" x14ac:dyDescent="0.35">
      <c r="A35" s="7">
        <v>1904</v>
      </c>
      <c r="B35" s="6">
        <v>1426</v>
      </c>
      <c r="C35" s="6">
        <v>1036</v>
      </c>
      <c r="D35" s="6">
        <f t="array" ref="D35">SUM(IF(ISNUMBER(MinorData!$DJ35:$EI35),MinorData!$DJ35:$EI35))</f>
        <v>1236.8000000000002</v>
      </c>
      <c r="E35" s="6">
        <f t="array" ref="E35">SUM(IF(ISNUMBER(MinorData!$EJ35:$FM35),MinorData!$EJ35:$FM35))</f>
        <v>798.6</v>
      </c>
      <c r="F35" s="13">
        <f t="shared" si="17"/>
        <v>0.86732117812061726</v>
      </c>
      <c r="G35" s="13">
        <f t="shared" si="18"/>
        <v>0.77084942084942087</v>
      </c>
      <c r="H35" s="17"/>
      <c r="J35" s="17">
        <f>MajorData!G35</f>
        <v>401</v>
      </c>
      <c r="K35" s="17">
        <f>MajorData!J35</f>
        <v>798</v>
      </c>
      <c r="L35" s="17">
        <f>MajorData!N35</f>
        <v>210</v>
      </c>
      <c r="M35" s="17">
        <f>MajorData!P35</f>
        <v>353</v>
      </c>
      <c r="N35" s="17">
        <f>MajorData!U35</f>
        <v>432</v>
      </c>
      <c r="O35" s="17">
        <f>MajorData!V35</f>
        <v>613</v>
      </c>
      <c r="P35" s="17">
        <f>IntData!T35</f>
        <v>44</v>
      </c>
      <c r="Q35" s="17">
        <f>IntData!U35</f>
        <v>113</v>
      </c>
      <c r="R35" s="17">
        <f>IntData!V35</f>
        <v>162</v>
      </c>
      <c r="S35" s="17">
        <f>IntData!W35</f>
        <v>275</v>
      </c>
      <c r="T35" s="17">
        <f t="shared" si="19"/>
        <v>432</v>
      </c>
      <c r="U35" s="17">
        <f t="shared" si="4"/>
        <v>994</v>
      </c>
      <c r="V35" s="13">
        <f t="shared" si="20"/>
        <v>1</v>
      </c>
      <c r="W35" s="13">
        <f t="shared" si="21"/>
        <v>0.70473083197389885</v>
      </c>
      <c r="X35" s="13"/>
      <c r="Z35" s="13">
        <f t="shared" si="5"/>
        <v>0.2812061711079944</v>
      </c>
      <c r="AA35" s="13">
        <f t="shared" si="6"/>
        <v>0.55960729312762969</v>
      </c>
      <c r="AB35" s="13">
        <f t="shared" si="7"/>
        <v>0.14726507713884993</v>
      </c>
      <c r="AC35" s="13">
        <f t="shared" si="8"/>
        <v>0.24754558204768584</v>
      </c>
      <c r="AD35" s="13">
        <f t="shared" si="9"/>
        <v>0.30294530154277699</v>
      </c>
      <c r="AE35" s="13">
        <f t="shared" si="10"/>
        <v>0.42987377279102384</v>
      </c>
      <c r="AF35" s="13">
        <f t="shared" si="11"/>
        <v>3.0855539971949508E-2</v>
      </c>
      <c r="AG35" s="13">
        <f t="shared" si="12"/>
        <v>7.9242636746143055E-2</v>
      </c>
      <c r="AH35" s="13">
        <f t="shared" si="13"/>
        <v>0.19284712482468444</v>
      </c>
      <c r="AJ35" s="13">
        <f t="shared" si="14"/>
        <v>0.95441795231416549</v>
      </c>
      <c r="AL35">
        <f t="shared" si="15"/>
        <v>1426</v>
      </c>
      <c r="AM35" s="17">
        <f t="shared" si="16"/>
        <v>1426</v>
      </c>
      <c r="AN35" s="13">
        <f t="shared" si="22"/>
        <v>1</v>
      </c>
      <c r="AP35" s="17">
        <f>MajorData!O35</f>
        <v>348</v>
      </c>
      <c r="AQ35" s="17">
        <f>MajorData!S35</f>
        <v>1078</v>
      </c>
      <c r="AR35" s="43">
        <f t="shared" si="23"/>
        <v>1069</v>
      </c>
      <c r="AS35" s="42">
        <f t="shared" si="24"/>
        <v>0.99165120593692024</v>
      </c>
      <c r="AU35" s="17">
        <f>MajorData!I35</f>
        <v>417</v>
      </c>
      <c r="AV35" s="43">
        <f t="shared" si="25"/>
        <v>417</v>
      </c>
      <c r="AW35" s="42">
        <f t="shared" si="26"/>
        <v>1</v>
      </c>
      <c r="AX35" s="17">
        <f>MajorData!Q35</f>
        <v>652</v>
      </c>
      <c r="AY35" s="13">
        <f t="shared" si="27"/>
        <v>0.60482374768089053</v>
      </c>
      <c r="AZ35" s="39">
        <f t="shared" si="28"/>
        <v>916</v>
      </c>
      <c r="BA35" s="39">
        <f t="shared" si="29"/>
        <v>1.4049079754601228</v>
      </c>
      <c r="BC35">
        <f>MajorData!C35</f>
        <v>134</v>
      </c>
      <c r="BD35">
        <f>MajorData!E35</f>
        <v>283</v>
      </c>
      <c r="BF35">
        <f>MajorData!L35</f>
        <v>442</v>
      </c>
      <c r="BG35" s="13">
        <f t="shared" si="30"/>
        <v>0.67791411042944782</v>
      </c>
      <c r="BH35">
        <f t="shared" si="31"/>
        <v>433.5</v>
      </c>
      <c r="BI35" s="50">
        <f t="shared" si="32"/>
        <v>0.98076923076923073</v>
      </c>
      <c r="BJ35">
        <f>MajorData!M35</f>
        <v>474</v>
      </c>
      <c r="BK35" s="13">
        <f t="shared" si="33"/>
        <v>0.72699386503067487</v>
      </c>
      <c r="BL35" s="17">
        <f t="shared" si="34"/>
        <v>205</v>
      </c>
      <c r="BM35" s="13">
        <f t="shared" si="35"/>
        <v>0.43248945147679324</v>
      </c>
      <c r="BO35" t="e">
        <v>#N/A</v>
      </c>
      <c r="BP35">
        <f t="shared" si="36"/>
        <v>389.5</v>
      </c>
      <c r="BQ35">
        <f>IntData!T35</f>
        <v>44</v>
      </c>
      <c r="BS35" t="e">
        <v>#N/A</v>
      </c>
      <c r="BT35">
        <f t="shared" si="37"/>
        <v>389.5</v>
      </c>
      <c r="BU35" t="e">
        <v>#N/A</v>
      </c>
      <c r="BV35" s="48">
        <v>0</v>
      </c>
      <c r="BX35">
        <f>IntData!K35</f>
        <v>421</v>
      </c>
      <c r="BY35">
        <f>MinorData!DR35</f>
        <v>31.5</v>
      </c>
      <c r="CA35" t="e">
        <v>#N/A</v>
      </c>
      <c r="CB35">
        <f t="shared" si="38"/>
        <v>92</v>
      </c>
      <c r="CD35" s="17">
        <f>IntData!U35</f>
        <v>113</v>
      </c>
      <c r="CF35" t="e">
        <v>#N/A</v>
      </c>
      <c r="CG35" s="48">
        <v>0</v>
      </c>
      <c r="CH35">
        <f>IntData!L35</f>
        <v>92</v>
      </c>
    </row>
    <row r="36" spans="1:86" x14ac:dyDescent="0.35">
      <c r="A36" s="7">
        <v>1905</v>
      </c>
      <c r="B36" s="6">
        <v>1599</v>
      </c>
      <c r="C36" s="6">
        <v>1179</v>
      </c>
      <c r="D36" s="6">
        <f t="array" ref="D36">SUM(IF(ISNUMBER(MinorData!$DJ36:$EI36),MinorData!$DJ36:$EI36))</f>
        <v>1396</v>
      </c>
      <c r="E36" s="6">
        <f t="array" ref="E36">SUM(IF(ISNUMBER(MinorData!$EJ36:$FM36),MinorData!$EJ36:$FM36))</f>
        <v>909.8</v>
      </c>
      <c r="F36" s="13">
        <f t="shared" si="17"/>
        <v>0.87304565353345842</v>
      </c>
      <c r="G36" s="13">
        <f t="shared" si="18"/>
        <v>0.7716709075487701</v>
      </c>
      <c r="H36" s="17"/>
      <c r="J36" s="17">
        <f>MajorData!G36</f>
        <v>484</v>
      </c>
      <c r="K36" s="17">
        <f>MajorData!J36</f>
        <v>901</v>
      </c>
      <c r="L36" s="17">
        <f>MajorData!N36</f>
        <v>221</v>
      </c>
      <c r="M36" s="17">
        <f>MajorData!P36</f>
        <v>408</v>
      </c>
      <c r="N36" s="17">
        <f>MajorData!U36</f>
        <v>471</v>
      </c>
      <c r="O36" s="17">
        <f>MajorData!V36</f>
        <v>681</v>
      </c>
      <c r="P36" s="17">
        <f>IntData!T36</f>
        <v>45</v>
      </c>
      <c r="Q36" s="17">
        <f>IntData!U36</f>
        <v>123</v>
      </c>
      <c r="R36" s="17">
        <f>IntData!V36</f>
        <v>185</v>
      </c>
      <c r="S36" s="17">
        <f>IntData!W36</f>
        <v>302</v>
      </c>
      <c r="T36" s="17">
        <f t="shared" si="19"/>
        <v>470</v>
      </c>
      <c r="U36" s="17">
        <f t="shared" si="4"/>
        <v>1128</v>
      </c>
      <c r="V36" s="13">
        <f t="shared" si="20"/>
        <v>0.99787685774946921</v>
      </c>
      <c r="W36" s="13">
        <f t="shared" si="21"/>
        <v>0.69016152716593249</v>
      </c>
      <c r="X36" s="13"/>
      <c r="Z36" s="13">
        <f t="shared" si="5"/>
        <v>0.30268918073796125</v>
      </c>
      <c r="AA36" s="13">
        <f t="shared" si="6"/>
        <v>0.56347717323327084</v>
      </c>
      <c r="AB36" s="13">
        <f t="shared" si="7"/>
        <v>0.13821138211382114</v>
      </c>
      <c r="AC36" s="13">
        <f t="shared" si="8"/>
        <v>0.25515947467166977</v>
      </c>
      <c r="AD36" s="13">
        <f t="shared" si="9"/>
        <v>0.2945590994371482</v>
      </c>
      <c r="AE36" s="13">
        <f t="shared" si="10"/>
        <v>0.42589118198874298</v>
      </c>
      <c r="AF36" s="13">
        <f t="shared" si="11"/>
        <v>2.8142589118198873E-2</v>
      </c>
      <c r="AG36" s="13">
        <f t="shared" si="12"/>
        <v>7.6923076923076927E-2</v>
      </c>
      <c r="AH36" s="13">
        <f t="shared" si="13"/>
        <v>0.1888680425265791</v>
      </c>
      <c r="AJ36" s="13">
        <f t="shared" si="14"/>
        <v>0.95684803001876173</v>
      </c>
      <c r="AL36">
        <f t="shared" si="15"/>
        <v>1599</v>
      </c>
      <c r="AM36" s="17">
        <f t="shared" si="16"/>
        <v>1588</v>
      </c>
      <c r="AN36" s="13">
        <f t="shared" si="22"/>
        <v>0.99312070043777356</v>
      </c>
      <c r="AP36" s="17">
        <f>MajorData!O36</f>
        <v>403</v>
      </c>
      <c r="AQ36" s="17">
        <f>MajorData!S36</f>
        <v>1185</v>
      </c>
      <c r="AR36" s="43">
        <f t="shared" si="23"/>
        <v>1185</v>
      </c>
      <c r="AS36" s="42">
        <f t="shared" si="24"/>
        <v>1</v>
      </c>
      <c r="AU36" s="17">
        <f>MajorData!I36</f>
        <v>498</v>
      </c>
      <c r="AV36" s="43">
        <f t="shared" si="25"/>
        <v>497</v>
      </c>
      <c r="AW36" s="42">
        <f t="shared" si="26"/>
        <v>0.99799196787148592</v>
      </c>
      <c r="AX36" s="17">
        <f>MajorData!Q36</f>
        <v>687</v>
      </c>
      <c r="AY36" s="13">
        <f t="shared" si="27"/>
        <v>0.57974683544303796</v>
      </c>
      <c r="AZ36" s="39">
        <f t="shared" si="28"/>
        <v>957</v>
      </c>
      <c r="BA36" s="39">
        <f t="shared" si="29"/>
        <v>1.3930131004366813</v>
      </c>
      <c r="BC36">
        <f>MajorData!C36</f>
        <v>183</v>
      </c>
      <c r="BD36">
        <f>MajorData!E36</f>
        <v>314</v>
      </c>
      <c r="BF36">
        <f>MajorData!L36</f>
        <v>465</v>
      </c>
      <c r="BG36" s="13">
        <f t="shared" si="30"/>
        <v>0.67685589519650657</v>
      </c>
      <c r="BH36">
        <f t="shared" si="31"/>
        <v>454.2</v>
      </c>
      <c r="BI36" s="50">
        <f t="shared" si="32"/>
        <v>0.97677419354838713</v>
      </c>
      <c r="BJ36">
        <f>MajorData!M36</f>
        <v>492</v>
      </c>
      <c r="BK36" s="13">
        <f t="shared" si="33"/>
        <v>0.71615720524017468</v>
      </c>
      <c r="BL36" s="17">
        <f t="shared" si="34"/>
        <v>215</v>
      </c>
      <c r="BM36" s="13">
        <f t="shared" si="35"/>
        <v>0.43699186991869921</v>
      </c>
      <c r="BO36" t="e">
        <v>#N/A</v>
      </c>
      <c r="BP36">
        <f t="shared" si="36"/>
        <v>409.2</v>
      </c>
      <c r="BQ36">
        <f>IntData!T36</f>
        <v>45</v>
      </c>
      <c r="BS36" t="e">
        <v>#N/A</v>
      </c>
      <c r="BT36">
        <f t="shared" si="37"/>
        <v>409.2</v>
      </c>
      <c r="BU36" t="e">
        <v>#N/A</v>
      </c>
      <c r="BV36" s="48">
        <v>0</v>
      </c>
      <c r="BX36">
        <f>IntData!K36</f>
        <v>436</v>
      </c>
      <c r="BY36">
        <f>MinorData!DR36</f>
        <v>26.8</v>
      </c>
      <c r="CA36" t="e">
        <v>#N/A</v>
      </c>
      <c r="CB36">
        <f t="shared" si="38"/>
        <v>92</v>
      </c>
      <c r="CD36" s="17">
        <f>IntData!U36</f>
        <v>123</v>
      </c>
      <c r="CF36" t="e">
        <v>#N/A</v>
      </c>
      <c r="CG36" s="48">
        <v>0</v>
      </c>
      <c r="CH36">
        <f>IntData!L36</f>
        <v>92</v>
      </c>
    </row>
    <row r="37" spans="1:86" x14ac:dyDescent="0.35">
      <c r="A37" s="7">
        <v>1906</v>
      </c>
      <c r="B37" s="6">
        <v>1773</v>
      </c>
      <c r="C37" s="6">
        <v>1321</v>
      </c>
      <c r="D37" s="6">
        <f t="array" ref="D37">SUM(IF(ISNUMBER(MinorData!$DJ37:$EI37),MinorData!$DJ37:$EI37))</f>
        <v>1532.6</v>
      </c>
      <c r="E37" s="6">
        <f t="array" ref="E37">SUM(IF(ISNUMBER(MinorData!$EJ37:$FM37),MinorData!$EJ37:$FM37))</f>
        <v>1003</v>
      </c>
      <c r="F37" s="13">
        <f t="shared" si="17"/>
        <v>0.86441060349689791</v>
      </c>
      <c r="G37" s="13">
        <f t="shared" si="18"/>
        <v>0.75927327781983345</v>
      </c>
      <c r="H37" s="17"/>
      <c r="J37" s="17">
        <f>MajorData!G37</f>
        <v>537</v>
      </c>
      <c r="K37" s="17">
        <f>MajorData!J37</f>
        <v>994</v>
      </c>
      <c r="L37" s="17">
        <f>MajorData!N37</f>
        <v>258</v>
      </c>
      <c r="M37" s="17">
        <f>MajorData!P37</f>
        <v>445</v>
      </c>
      <c r="N37" s="17">
        <f>MajorData!U37</f>
        <v>534</v>
      </c>
      <c r="O37" s="17">
        <f>MajorData!V37</f>
        <v>760</v>
      </c>
      <c r="P37" s="17">
        <f>IntData!T37</f>
        <v>50</v>
      </c>
      <c r="Q37" s="17">
        <f>IntData!U37</f>
        <v>134</v>
      </c>
      <c r="R37" s="17">
        <f>IntData!V37</f>
        <v>223</v>
      </c>
      <c r="S37" s="17">
        <f>IntData!W37</f>
        <v>350</v>
      </c>
      <c r="T37" s="17">
        <f t="shared" si="19"/>
        <v>534</v>
      </c>
      <c r="U37" s="17">
        <f t="shared" si="4"/>
        <v>1239</v>
      </c>
      <c r="V37" s="13">
        <f t="shared" si="20"/>
        <v>1</v>
      </c>
      <c r="W37" s="13">
        <f t="shared" si="21"/>
        <v>0.70263157894736838</v>
      </c>
      <c r="X37" s="13"/>
      <c r="Z37" s="13">
        <f t="shared" si="5"/>
        <v>0.30287648054145516</v>
      </c>
      <c r="AA37" s="13">
        <f t="shared" si="6"/>
        <v>0.56063169768753529</v>
      </c>
      <c r="AB37" s="13">
        <f t="shared" si="7"/>
        <v>0.1455160744500846</v>
      </c>
      <c r="AC37" s="13">
        <f t="shared" si="8"/>
        <v>0.25098702763677383</v>
      </c>
      <c r="AD37" s="13">
        <f t="shared" si="9"/>
        <v>0.30118443316412857</v>
      </c>
      <c r="AE37" s="13">
        <f t="shared" si="10"/>
        <v>0.42865200225606315</v>
      </c>
      <c r="AF37" s="13">
        <f t="shared" si="11"/>
        <v>2.820078962210942E-2</v>
      </c>
      <c r="AG37" s="13">
        <f t="shared" si="12"/>
        <v>7.5578116187253241E-2</v>
      </c>
      <c r="AH37" s="13">
        <f t="shared" si="13"/>
        <v>0.19740552735476594</v>
      </c>
      <c r="AJ37" s="13">
        <f t="shared" si="14"/>
        <v>0.95713479977439375</v>
      </c>
      <c r="AL37">
        <f t="shared" si="15"/>
        <v>1773</v>
      </c>
      <c r="AM37" s="17">
        <f t="shared" si="16"/>
        <v>1760</v>
      </c>
      <c r="AN37" s="13">
        <f t="shared" si="22"/>
        <v>0.9926677946982515</v>
      </c>
      <c r="AP37" s="17">
        <f>MajorData!O37</f>
        <v>440</v>
      </c>
      <c r="AQ37" s="17">
        <f>MajorData!S37</f>
        <v>1320</v>
      </c>
      <c r="AR37" s="43">
        <f t="shared" si="23"/>
        <v>1320</v>
      </c>
      <c r="AS37" s="42">
        <f t="shared" si="24"/>
        <v>1</v>
      </c>
      <c r="AU37" s="17">
        <f>MajorData!I37</f>
        <v>552</v>
      </c>
      <c r="AV37" s="43">
        <f t="shared" si="25"/>
        <v>552</v>
      </c>
      <c r="AW37" s="42">
        <f t="shared" si="26"/>
        <v>1</v>
      </c>
      <c r="AX37" s="17">
        <f>MajorData!Q37</f>
        <v>768</v>
      </c>
      <c r="AY37" s="13">
        <f t="shared" si="27"/>
        <v>0.58181818181818179</v>
      </c>
      <c r="AZ37" s="39">
        <f t="shared" si="28"/>
        <v>1052</v>
      </c>
      <c r="BA37" s="39">
        <f t="shared" si="29"/>
        <v>1.3697916666666667</v>
      </c>
      <c r="BC37">
        <f>MajorData!C37</f>
        <v>212</v>
      </c>
      <c r="BD37">
        <f>MajorData!E37</f>
        <v>340</v>
      </c>
      <c r="BF37">
        <f>MajorData!L37</f>
        <v>510</v>
      </c>
      <c r="BG37" s="13">
        <f t="shared" si="30"/>
        <v>0.6640625</v>
      </c>
      <c r="BH37">
        <f t="shared" si="31"/>
        <v>497.9</v>
      </c>
      <c r="BI37" s="50">
        <f t="shared" si="32"/>
        <v>0.9762745098039215</v>
      </c>
      <c r="BJ37">
        <f>MajorData!M37</f>
        <v>542</v>
      </c>
      <c r="BK37" s="13">
        <f t="shared" si="33"/>
        <v>0.70572916666666663</v>
      </c>
      <c r="BL37" s="17">
        <f t="shared" si="34"/>
        <v>252</v>
      </c>
      <c r="BM37" s="13">
        <f t="shared" si="35"/>
        <v>0.46494464944649444</v>
      </c>
      <c r="BO37" t="e">
        <v>#N/A</v>
      </c>
      <c r="BP37">
        <f t="shared" si="36"/>
        <v>447.9</v>
      </c>
      <c r="BQ37">
        <f>IntData!T37</f>
        <v>50</v>
      </c>
      <c r="BS37" t="e">
        <v>#N/A</v>
      </c>
      <c r="BT37">
        <f t="shared" si="37"/>
        <v>447.9</v>
      </c>
      <c r="BU37" t="e">
        <v>#N/A</v>
      </c>
      <c r="BV37" s="48">
        <v>0</v>
      </c>
      <c r="BX37">
        <f>IntData!K37</f>
        <v>480</v>
      </c>
      <c r="BY37">
        <f>MinorData!DR37</f>
        <v>32.1</v>
      </c>
      <c r="CA37" t="e">
        <v>#N/A</v>
      </c>
      <c r="CB37">
        <f t="shared" si="38"/>
        <v>118</v>
      </c>
      <c r="CD37" s="17">
        <f>IntData!U37</f>
        <v>134</v>
      </c>
      <c r="CF37" t="e">
        <v>#N/A</v>
      </c>
      <c r="CG37" s="48">
        <v>0</v>
      </c>
      <c r="CH37">
        <f>IntData!L37</f>
        <v>118</v>
      </c>
    </row>
    <row r="38" spans="1:86" x14ac:dyDescent="0.35">
      <c r="A38" s="7">
        <v>1907</v>
      </c>
      <c r="B38" s="6">
        <v>1895</v>
      </c>
      <c r="C38" s="6">
        <v>1423</v>
      </c>
      <c r="D38" s="6">
        <f t="array" ref="D38">SUM(IF(ISNUMBER(MinorData!$DJ38:$EI38),MinorData!$DJ38:$EI38))</f>
        <v>1647.2</v>
      </c>
      <c r="E38" s="6">
        <f t="array" ref="E38">SUM(IF(ISNUMBER(MinorData!$EJ38:$FM38),MinorData!$EJ38:$FM38))</f>
        <v>1057.8999999999999</v>
      </c>
      <c r="F38" s="13">
        <f t="shared" si="17"/>
        <v>0.86923482849604228</v>
      </c>
      <c r="G38" s="13">
        <f t="shared" si="18"/>
        <v>0.74342937456078695</v>
      </c>
      <c r="H38" s="17"/>
      <c r="J38" s="17">
        <f>MajorData!G38</f>
        <v>551</v>
      </c>
      <c r="K38" s="17">
        <f>MajorData!J38</f>
        <v>1060</v>
      </c>
      <c r="L38" s="17">
        <f>MajorData!N38</f>
        <v>279</v>
      </c>
      <c r="M38" s="17">
        <f>MajorData!P38</f>
        <v>472</v>
      </c>
      <c r="N38" s="17">
        <f>MajorData!U38</f>
        <v>599</v>
      </c>
      <c r="O38" s="17">
        <f>MajorData!V38</f>
        <v>814</v>
      </c>
      <c r="P38" s="17">
        <f>IntData!T38</f>
        <v>60</v>
      </c>
      <c r="Q38" s="17">
        <f>IntData!U38</f>
        <v>147</v>
      </c>
      <c r="R38" s="17">
        <f>IntData!V38</f>
        <v>253</v>
      </c>
      <c r="S38" s="17">
        <f>IntData!W38</f>
        <v>391</v>
      </c>
      <c r="T38" s="17">
        <f t="shared" si="19"/>
        <v>598</v>
      </c>
      <c r="U38" s="17">
        <f t="shared" si="4"/>
        <v>1296</v>
      </c>
      <c r="V38" s="13">
        <f t="shared" si="20"/>
        <v>0.998330550918197</v>
      </c>
      <c r="W38" s="13">
        <f t="shared" si="21"/>
        <v>0.73464373464373467</v>
      </c>
      <c r="X38" s="13"/>
      <c r="Z38" s="13">
        <f t="shared" si="5"/>
        <v>0.29076517150395781</v>
      </c>
      <c r="AA38" s="13">
        <f t="shared" si="6"/>
        <v>0.55936675461741425</v>
      </c>
      <c r="AB38" s="13">
        <f t="shared" si="7"/>
        <v>0.14722955145118732</v>
      </c>
      <c r="AC38" s="13">
        <f t="shared" si="8"/>
        <v>0.24907651715039578</v>
      </c>
      <c r="AD38" s="13">
        <f t="shared" si="9"/>
        <v>0.31609498680738785</v>
      </c>
      <c r="AE38" s="13">
        <f t="shared" si="10"/>
        <v>0.42955145118733506</v>
      </c>
      <c r="AF38" s="13">
        <f t="shared" si="11"/>
        <v>3.1662269129287601E-2</v>
      </c>
      <c r="AG38" s="13">
        <f t="shared" si="12"/>
        <v>7.7572559366754612E-2</v>
      </c>
      <c r="AH38" s="13">
        <f t="shared" si="13"/>
        <v>0.20633245382585752</v>
      </c>
      <c r="AJ38" s="13">
        <f t="shared" si="14"/>
        <v>0.95567282321899738</v>
      </c>
      <c r="AL38">
        <f t="shared" si="15"/>
        <v>1895</v>
      </c>
      <c r="AM38" s="17">
        <f t="shared" si="16"/>
        <v>1879</v>
      </c>
      <c r="AN38" s="13">
        <f t="shared" si="22"/>
        <v>0.99155672823218999</v>
      </c>
      <c r="AP38" s="17">
        <f>MajorData!O38</f>
        <v>466</v>
      </c>
      <c r="AQ38" s="17">
        <f>MajorData!S38</f>
        <v>1413</v>
      </c>
      <c r="AR38" s="43">
        <f t="shared" si="23"/>
        <v>1413</v>
      </c>
      <c r="AS38" s="42">
        <f t="shared" si="24"/>
        <v>1</v>
      </c>
      <c r="AU38" s="17">
        <f>MajorData!I38</f>
        <v>565</v>
      </c>
      <c r="AV38" s="43">
        <f t="shared" si="25"/>
        <v>566</v>
      </c>
      <c r="AW38" s="42">
        <f t="shared" si="26"/>
        <v>1.0017699115044247</v>
      </c>
      <c r="AX38" s="17">
        <f>MajorData!Q38</f>
        <v>848</v>
      </c>
      <c r="AY38" s="13">
        <f t="shared" si="27"/>
        <v>0.60014154281670207</v>
      </c>
      <c r="AZ38" s="39">
        <f t="shared" si="28"/>
        <v>1169</v>
      </c>
      <c r="BA38" s="39">
        <f t="shared" si="29"/>
        <v>1.3785377358490567</v>
      </c>
      <c r="BC38">
        <f>MajorData!C38</f>
        <v>229</v>
      </c>
      <c r="BD38">
        <f>MajorData!E38</f>
        <v>337</v>
      </c>
      <c r="BF38">
        <f>MajorData!L38</f>
        <v>568</v>
      </c>
      <c r="BG38" s="13">
        <f t="shared" si="30"/>
        <v>0.66981132075471694</v>
      </c>
      <c r="BH38">
        <f t="shared" si="31"/>
        <v>558.20000000000005</v>
      </c>
      <c r="BI38" s="50">
        <f t="shared" si="32"/>
        <v>0.98274647887323952</v>
      </c>
      <c r="BJ38">
        <f>MajorData!M38</f>
        <v>601</v>
      </c>
      <c r="BK38" s="13">
        <f t="shared" si="33"/>
        <v>0.70872641509433965</v>
      </c>
      <c r="BL38" s="17">
        <f t="shared" si="34"/>
        <v>270</v>
      </c>
      <c r="BM38" s="13">
        <f t="shared" si="35"/>
        <v>0.4492512479201331</v>
      </c>
      <c r="BO38" t="e">
        <v>#N/A</v>
      </c>
      <c r="BP38">
        <f t="shared" si="36"/>
        <v>498.2</v>
      </c>
      <c r="BQ38">
        <f>IntData!T38</f>
        <v>60</v>
      </c>
      <c r="BS38" t="e">
        <v>#N/A</v>
      </c>
      <c r="BT38">
        <f t="shared" si="37"/>
        <v>498.2</v>
      </c>
      <c r="BU38" t="e">
        <v>#N/A</v>
      </c>
      <c r="BV38" s="48">
        <v>0</v>
      </c>
      <c r="BX38">
        <f>IntData!K38</f>
        <v>531</v>
      </c>
      <c r="BY38">
        <f>MinorData!DR38</f>
        <v>32.799999999999997</v>
      </c>
      <c r="CA38" t="e">
        <v>#N/A</v>
      </c>
      <c r="CB38">
        <f t="shared" si="38"/>
        <v>123</v>
      </c>
      <c r="CD38" s="17">
        <f>IntData!U38</f>
        <v>147</v>
      </c>
      <c r="CF38" t="e">
        <v>#N/A</v>
      </c>
      <c r="CG38" s="48">
        <v>0</v>
      </c>
      <c r="CH38">
        <f>IntData!L38</f>
        <v>123</v>
      </c>
    </row>
    <row r="39" spans="1:86" x14ac:dyDescent="0.35">
      <c r="A39" s="7">
        <v>1908</v>
      </c>
      <c r="B39" s="8">
        <v>1729</v>
      </c>
      <c r="C39" s="6">
        <v>1116</v>
      </c>
      <c r="D39" s="6">
        <f t="array" ref="D39">SUM(IF(ISNUMBER(MinorData!$DJ39:$EI39),MinorData!$DJ39:$EI39))</f>
        <v>1507.3000000000004</v>
      </c>
      <c r="E39" s="6">
        <f t="array" ref="E39">SUM(IF(ISNUMBER(MinorData!$EJ39:$FM39),MinorData!$EJ39:$FM39))</f>
        <v>826.80000000000007</v>
      </c>
      <c r="F39" s="13">
        <f t="shared" si="17"/>
        <v>0.8717755928282247</v>
      </c>
      <c r="G39" s="13">
        <f t="shared" si="18"/>
        <v>0.74086021505376354</v>
      </c>
      <c r="H39" s="17"/>
      <c r="J39" s="17">
        <f>MajorData!G39</f>
        <v>512</v>
      </c>
      <c r="K39" s="17">
        <f>MajorData!J39</f>
        <v>980</v>
      </c>
      <c r="L39" s="17">
        <f>MajorData!N39</f>
        <v>242</v>
      </c>
      <c r="M39" s="17">
        <f>MajorData!P39</f>
        <v>420</v>
      </c>
      <c r="N39" s="17">
        <f>MajorData!U39</f>
        <v>535</v>
      </c>
      <c r="O39" s="17">
        <f>MajorData!V39</f>
        <v>727</v>
      </c>
      <c r="P39" s="17">
        <f>IntData!T39</f>
        <v>57</v>
      </c>
      <c r="Q39" s="17">
        <f>IntData!U39</f>
        <v>130</v>
      </c>
      <c r="R39" s="17">
        <f>IntData!V39</f>
        <v>198</v>
      </c>
      <c r="S39" s="17">
        <f>IntData!W39</f>
        <v>348</v>
      </c>
      <c r="T39" s="17">
        <f t="shared" si="19"/>
        <v>535</v>
      </c>
      <c r="U39" s="17">
        <f t="shared" si="4"/>
        <v>1194</v>
      </c>
      <c r="V39" s="13">
        <f t="shared" si="20"/>
        <v>1</v>
      </c>
      <c r="W39" s="13">
        <f t="shared" si="21"/>
        <v>0.73590096286107287</v>
      </c>
      <c r="X39" s="13"/>
      <c r="Z39" s="13">
        <f t="shared" si="5"/>
        <v>0.29612492770387505</v>
      </c>
      <c r="AA39" s="13">
        <f t="shared" si="6"/>
        <v>0.5668016194331984</v>
      </c>
      <c r="AB39" s="13">
        <f t="shared" si="7"/>
        <v>0.1399652978600347</v>
      </c>
      <c r="AC39" s="13">
        <f t="shared" si="8"/>
        <v>0.24291497975708501</v>
      </c>
      <c r="AD39" s="13">
        <f t="shared" si="9"/>
        <v>0.30942741469057261</v>
      </c>
      <c r="AE39" s="13">
        <f t="shared" si="10"/>
        <v>0.42047426257952575</v>
      </c>
      <c r="AF39" s="13">
        <f t="shared" si="11"/>
        <v>3.2967032967032968E-2</v>
      </c>
      <c r="AG39" s="13">
        <f t="shared" si="12"/>
        <v>7.5187969924812026E-2</v>
      </c>
      <c r="AH39" s="13">
        <f t="shared" si="13"/>
        <v>0.2012724117987276</v>
      </c>
      <c r="AJ39" s="13">
        <f t="shared" si="14"/>
        <v>0.94968189705031814</v>
      </c>
      <c r="AL39">
        <f t="shared" si="15"/>
        <v>1729</v>
      </c>
      <c r="AM39" s="17">
        <f t="shared" si="16"/>
        <v>1712</v>
      </c>
      <c r="AN39" s="13">
        <f t="shared" si="22"/>
        <v>0.99016772700983224</v>
      </c>
      <c r="AP39" s="17">
        <f>MajorData!O39</f>
        <v>416</v>
      </c>
      <c r="AQ39" s="17">
        <f>MajorData!S39</f>
        <v>1296</v>
      </c>
      <c r="AR39" s="43">
        <f t="shared" si="23"/>
        <v>1296</v>
      </c>
      <c r="AS39" s="42">
        <f t="shared" si="24"/>
        <v>1</v>
      </c>
      <c r="AU39" s="17">
        <f>MajorData!I39</f>
        <v>525</v>
      </c>
      <c r="AV39" s="43">
        <f t="shared" si="25"/>
        <v>526</v>
      </c>
      <c r="AW39" s="42">
        <f t="shared" si="26"/>
        <v>1.0019047619047619</v>
      </c>
      <c r="AX39" s="17">
        <f>MajorData!Q39</f>
        <v>771</v>
      </c>
      <c r="AY39" s="13">
        <f t="shared" si="27"/>
        <v>0.59490740740740744</v>
      </c>
      <c r="AZ39" s="39">
        <f t="shared" si="28"/>
        <v>1090</v>
      </c>
      <c r="BA39" s="39">
        <f t="shared" si="29"/>
        <v>1.4137483787289236</v>
      </c>
      <c r="BC39">
        <f>MajorData!C39</f>
        <v>204</v>
      </c>
      <c r="BD39">
        <f>MajorData!E39</f>
        <v>322</v>
      </c>
      <c r="BF39">
        <f>MajorData!L39</f>
        <v>529</v>
      </c>
      <c r="BG39" s="13">
        <f t="shared" si="30"/>
        <v>0.68612191958495461</v>
      </c>
      <c r="BH39">
        <f t="shared" si="31"/>
        <v>516.4</v>
      </c>
      <c r="BI39" s="50">
        <f t="shared" si="32"/>
        <v>0.97618147448015113</v>
      </c>
      <c r="BJ39">
        <f>MajorData!M39</f>
        <v>561</v>
      </c>
      <c r="BK39" s="13">
        <f t="shared" si="33"/>
        <v>0.72762645914396884</v>
      </c>
      <c r="BL39" s="17">
        <f t="shared" si="34"/>
        <v>235</v>
      </c>
      <c r="BM39" s="13">
        <f t="shared" si="35"/>
        <v>0.41889483065953653</v>
      </c>
      <c r="BO39" t="e">
        <v>#N/A</v>
      </c>
      <c r="BP39">
        <f t="shared" si="36"/>
        <v>459.4</v>
      </c>
      <c r="BQ39">
        <f>IntData!T39</f>
        <v>57</v>
      </c>
      <c r="BS39" t="e">
        <v>#N/A</v>
      </c>
      <c r="BT39">
        <f t="shared" si="37"/>
        <v>459.4</v>
      </c>
      <c r="BU39" t="e">
        <v>#N/A</v>
      </c>
      <c r="BV39" s="48">
        <v>0</v>
      </c>
      <c r="BX39">
        <f>IntData!K39</f>
        <v>492</v>
      </c>
      <c r="BY39">
        <f>MinorData!DR39</f>
        <v>32.6</v>
      </c>
      <c r="CA39" t="e">
        <v>#N/A</v>
      </c>
      <c r="CB39">
        <f t="shared" si="38"/>
        <v>105</v>
      </c>
      <c r="CD39" s="17">
        <f>IntData!U39</f>
        <v>130</v>
      </c>
      <c r="CF39" t="e">
        <v>#N/A</v>
      </c>
      <c r="CG39" s="48">
        <v>0</v>
      </c>
      <c r="CH39">
        <f>IntData!L39</f>
        <v>105</v>
      </c>
    </row>
    <row r="40" spans="1:86" x14ac:dyDescent="0.35">
      <c r="A40" s="7">
        <v>1909</v>
      </c>
      <c r="B40" s="8">
        <v>1701</v>
      </c>
      <c r="C40" s="6">
        <v>1476</v>
      </c>
      <c r="D40" s="6">
        <f t="array" ref="D40">SUM(IF(ISNUMBER(MinorData!$DJ40:$EI40),MinorData!$DJ40:$EI40))</f>
        <v>1464.6999999999998</v>
      </c>
      <c r="E40" s="6">
        <f t="array" ref="E40">SUM(IF(ISNUMBER(MinorData!$EJ40:$FM40),MinorData!$EJ40:$FM40))</f>
        <v>1095.8999999999999</v>
      </c>
      <c r="F40" s="13">
        <f t="shared" si="17"/>
        <v>0.86108171663727207</v>
      </c>
      <c r="G40" s="13">
        <f t="shared" si="18"/>
        <v>0.74247967479674792</v>
      </c>
      <c r="H40" s="17"/>
      <c r="J40" s="17">
        <f>MajorData!G40</f>
        <v>422</v>
      </c>
      <c r="K40" s="17">
        <f>MajorData!J40</f>
        <v>910</v>
      </c>
      <c r="L40" s="17">
        <f>MajorData!N40</f>
        <v>258</v>
      </c>
      <c r="M40" s="17">
        <f>MajorData!P40</f>
        <v>445</v>
      </c>
      <c r="N40" s="17">
        <f>MajorData!U40</f>
        <v>558</v>
      </c>
      <c r="O40" s="17">
        <f>MajorData!V40</f>
        <v>772</v>
      </c>
      <c r="P40" s="17">
        <f>IntData!T40</f>
        <v>56</v>
      </c>
      <c r="Q40" s="17">
        <f>IntData!U40</f>
        <v>140</v>
      </c>
      <c r="R40" s="17">
        <f>IntData!V40</f>
        <v>203</v>
      </c>
      <c r="S40" s="17">
        <f>IntData!W40</f>
        <v>361</v>
      </c>
      <c r="T40" s="17">
        <f t="shared" si="19"/>
        <v>557</v>
      </c>
      <c r="U40" s="17">
        <f t="shared" si="4"/>
        <v>1143</v>
      </c>
      <c r="V40" s="13">
        <f t="shared" si="20"/>
        <v>0.99820788530465954</v>
      </c>
      <c r="W40" s="13">
        <f t="shared" si="21"/>
        <v>0.72150259067357514</v>
      </c>
      <c r="X40" s="13"/>
      <c r="Z40" s="13">
        <f t="shared" si="5"/>
        <v>0.24808935920047032</v>
      </c>
      <c r="AA40" s="13">
        <f t="shared" si="6"/>
        <v>0.53497942386831276</v>
      </c>
      <c r="AB40" s="13">
        <f t="shared" si="7"/>
        <v>0.15167548500881833</v>
      </c>
      <c r="AC40" s="13">
        <f t="shared" si="8"/>
        <v>0.26161081716637274</v>
      </c>
      <c r="AD40" s="13">
        <f t="shared" si="9"/>
        <v>0.32804232804232802</v>
      </c>
      <c r="AE40" s="13">
        <f t="shared" si="10"/>
        <v>0.45385067607289831</v>
      </c>
      <c r="AF40" s="13">
        <f t="shared" si="11"/>
        <v>3.292181069958848E-2</v>
      </c>
      <c r="AG40" s="13">
        <f t="shared" si="12"/>
        <v>8.2304526748971193E-2</v>
      </c>
      <c r="AH40" s="13">
        <f t="shared" si="13"/>
        <v>0.21222810111699</v>
      </c>
      <c r="AJ40" s="13">
        <f t="shared" si="14"/>
        <v>0.9482657260435039</v>
      </c>
      <c r="AL40">
        <f t="shared" si="15"/>
        <v>1701</v>
      </c>
      <c r="AM40" s="17">
        <f t="shared" si="16"/>
        <v>1686</v>
      </c>
      <c r="AN40" s="13">
        <f t="shared" si="22"/>
        <v>0.99118165784832446</v>
      </c>
      <c r="AP40" s="17">
        <f>MajorData!O40</f>
        <v>440</v>
      </c>
      <c r="AQ40" s="17">
        <f>MajorData!S40</f>
        <v>1246</v>
      </c>
      <c r="AR40" s="43">
        <f t="shared" si="23"/>
        <v>1247</v>
      </c>
      <c r="AS40" s="42">
        <f t="shared" si="24"/>
        <v>1.0008025682182986</v>
      </c>
      <c r="AU40" s="17">
        <f>MajorData!I40</f>
        <v>438</v>
      </c>
      <c r="AV40" s="43">
        <f t="shared" si="25"/>
        <v>437</v>
      </c>
      <c r="AW40" s="42">
        <f t="shared" si="26"/>
        <v>0.99771689497716898</v>
      </c>
      <c r="AX40" s="17">
        <f>MajorData!Q40</f>
        <v>809</v>
      </c>
      <c r="AY40" s="13">
        <f t="shared" si="27"/>
        <v>0.6492776886035313</v>
      </c>
      <c r="AZ40" s="39">
        <f t="shared" si="28"/>
        <v>1139</v>
      </c>
      <c r="BA40" s="39">
        <f t="shared" si="29"/>
        <v>1.407911001236094</v>
      </c>
      <c r="BC40">
        <f>MajorData!C40</f>
        <v>155</v>
      </c>
      <c r="BD40">
        <f>MajorData!E40</f>
        <v>282</v>
      </c>
      <c r="BF40">
        <f>MajorData!L40</f>
        <v>551</v>
      </c>
      <c r="BG40" s="13">
        <f t="shared" si="30"/>
        <v>0.68108776266996296</v>
      </c>
      <c r="BH40">
        <f t="shared" si="31"/>
        <v>535.20000000000005</v>
      </c>
      <c r="BI40" s="50">
        <f t="shared" si="32"/>
        <v>0.97132486388384764</v>
      </c>
      <c r="BJ40">
        <f>MajorData!M40</f>
        <v>588</v>
      </c>
      <c r="BK40" s="13">
        <f t="shared" si="33"/>
        <v>0.72682323856613107</v>
      </c>
      <c r="BL40" s="17">
        <f t="shared" si="34"/>
        <v>250</v>
      </c>
      <c r="BM40" s="13">
        <f t="shared" si="35"/>
        <v>0.42517006802721086</v>
      </c>
      <c r="BO40" t="e">
        <v>#N/A</v>
      </c>
      <c r="BP40">
        <f t="shared" si="36"/>
        <v>479.2</v>
      </c>
      <c r="BQ40">
        <f>IntData!T40</f>
        <v>56</v>
      </c>
      <c r="BS40" t="e">
        <v>#N/A</v>
      </c>
      <c r="BT40">
        <f t="shared" si="37"/>
        <v>479.2</v>
      </c>
      <c r="BU40" t="e">
        <v>#N/A</v>
      </c>
      <c r="BV40" s="48">
        <v>0</v>
      </c>
      <c r="BX40">
        <f>IntData!K40</f>
        <v>516</v>
      </c>
      <c r="BY40">
        <f>MinorData!DR40</f>
        <v>36.799999999999997</v>
      </c>
      <c r="CA40" t="e">
        <v>#N/A</v>
      </c>
      <c r="CB40">
        <f t="shared" si="38"/>
        <v>110</v>
      </c>
      <c r="CD40" s="17">
        <f>IntData!U40</f>
        <v>140</v>
      </c>
      <c r="CF40" t="e">
        <v>#N/A</v>
      </c>
      <c r="CG40" s="48">
        <v>0</v>
      </c>
      <c r="CH40">
        <f>IntData!L40</f>
        <v>110</v>
      </c>
    </row>
    <row r="41" spans="1:86" x14ac:dyDescent="0.35">
      <c r="A41" s="7">
        <v>1910</v>
      </c>
      <c r="B41" s="6">
        <v>1829</v>
      </c>
      <c r="C41" s="6">
        <v>1563</v>
      </c>
      <c r="D41" s="6">
        <f t="array" ref="D41">SUM(IF(ISNUMBER(MinorData!$DJ41:$EI41),MinorData!$DJ41:$EI41))</f>
        <v>1546.3000000000004</v>
      </c>
      <c r="E41" s="6">
        <f t="array" ref="E41">SUM(IF(ISNUMBER(MinorData!$EJ41:$FM41),MinorData!$EJ41:$FM41))</f>
        <v>1127.0999999999999</v>
      </c>
      <c r="F41" s="13">
        <f t="shared" si="17"/>
        <v>0.84543466375068366</v>
      </c>
      <c r="G41" s="13">
        <f t="shared" si="18"/>
        <v>0.72111324376199615</v>
      </c>
      <c r="H41" s="17"/>
      <c r="J41" s="17">
        <f>MajorData!G41</f>
        <v>368</v>
      </c>
      <c r="K41" s="17">
        <f>MajorData!J41</f>
        <v>926</v>
      </c>
      <c r="L41" s="17">
        <f>MajorData!N41</f>
        <v>293</v>
      </c>
      <c r="M41" s="17">
        <f>MajorData!P41</f>
        <v>514</v>
      </c>
      <c r="N41" s="17">
        <f>MajorData!U41</f>
        <v>634</v>
      </c>
      <c r="O41" s="17">
        <f>MajorData!V41</f>
        <v>881</v>
      </c>
      <c r="P41" s="17">
        <f>IntData!T41</f>
        <v>60</v>
      </c>
      <c r="Q41" s="17">
        <f>IntData!U41</f>
        <v>152</v>
      </c>
      <c r="R41" s="17">
        <f>IntData!V41</f>
        <v>260</v>
      </c>
      <c r="S41" s="17">
        <f>IntData!W41</f>
        <v>422</v>
      </c>
      <c r="T41" s="17">
        <f t="shared" si="19"/>
        <v>634</v>
      </c>
      <c r="U41" s="17">
        <f t="shared" si="4"/>
        <v>1195</v>
      </c>
      <c r="V41" s="13">
        <f t="shared" si="20"/>
        <v>1</v>
      </c>
      <c r="W41" s="13">
        <f t="shared" si="21"/>
        <v>0.71963677639046542</v>
      </c>
      <c r="X41" s="13"/>
      <c r="Z41" s="13">
        <f t="shared" si="5"/>
        <v>0.20120284308365227</v>
      </c>
      <c r="AA41" s="13">
        <f t="shared" si="6"/>
        <v>0.50628758884636416</v>
      </c>
      <c r="AB41" s="13">
        <f t="shared" si="7"/>
        <v>0.160196828868234</v>
      </c>
      <c r="AC41" s="13">
        <f t="shared" si="8"/>
        <v>0.2810278840896665</v>
      </c>
      <c r="AD41" s="13">
        <f t="shared" si="9"/>
        <v>0.3466375068343357</v>
      </c>
      <c r="AE41" s="13">
        <f t="shared" si="10"/>
        <v>0.48168398031711318</v>
      </c>
      <c r="AF41" s="13">
        <f t="shared" si="11"/>
        <v>3.2804811372334611E-2</v>
      </c>
      <c r="AG41" s="13">
        <f t="shared" si="12"/>
        <v>8.3105522143247679E-2</v>
      </c>
      <c r="AH41" s="13">
        <f t="shared" si="13"/>
        <v>0.23072717331875342</v>
      </c>
      <c r="AJ41" s="13">
        <f t="shared" si="14"/>
        <v>0.9475123018042646</v>
      </c>
      <c r="AL41">
        <f t="shared" si="15"/>
        <v>1829</v>
      </c>
      <c r="AM41" s="17">
        <f t="shared" si="16"/>
        <v>1812</v>
      </c>
      <c r="AN41" s="13">
        <f t="shared" si="22"/>
        <v>0.99070530344450525</v>
      </c>
      <c r="AP41" s="17">
        <f>MajorData!O41</f>
        <v>509</v>
      </c>
      <c r="AQ41" s="17">
        <f>MajorData!S41</f>
        <v>1303</v>
      </c>
      <c r="AR41" s="43">
        <f t="shared" si="23"/>
        <v>1303</v>
      </c>
      <c r="AS41" s="42">
        <f t="shared" si="24"/>
        <v>1</v>
      </c>
      <c r="AU41" s="17">
        <f>MajorData!I41</f>
        <v>384</v>
      </c>
      <c r="AV41" s="43">
        <f t="shared" si="25"/>
        <v>384</v>
      </c>
      <c r="AW41" s="42">
        <f t="shared" si="26"/>
        <v>1</v>
      </c>
      <c r="AX41" s="17">
        <f>MajorData!Q41</f>
        <v>919</v>
      </c>
      <c r="AY41" s="13">
        <f t="shared" si="27"/>
        <v>0.70529547198772069</v>
      </c>
      <c r="AZ41" s="39">
        <f t="shared" si="28"/>
        <v>1290</v>
      </c>
      <c r="BA41" s="39">
        <f t="shared" si="29"/>
        <v>1.4036996735582155</v>
      </c>
      <c r="BC41">
        <f>MajorData!C41</f>
        <v>131</v>
      </c>
      <c r="BD41">
        <f>MajorData!E41</f>
        <v>253</v>
      </c>
      <c r="BF41">
        <f>MajorData!L41</f>
        <v>627</v>
      </c>
      <c r="BG41" s="13">
        <f t="shared" si="30"/>
        <v>0.6822633297062024</v>
      </c>
      <c r="BH41">
        <f t="shared" si="31"/>
        <v>608.9</v>
      </c>
      <c r="BI41" s="50">
        <f t="shared" si="32"/>
        <v>0.97113237639553429</v>
      </c>
      <c r="BJ41">
        <f>MajorData!M41</f>
        <v>663</v>
      </c>
      <c r="BK41" s="13">
        <f t="shared" si="33"/>
        <v>0.72143634385201305</v>
      </c>
      <c r="BL41" s="17">
        <f t="shared" si="34"/>
        <v>286</v>
      </c>
      <c r="BM41" s="13">
        <f t="shared" si="35"/>
        <v>0.43137254901960786</v>
      </c>
      <c r="BO41" t="e">
        <v>#N/A</v>
      </c>
      <c r="BP41">
        <f t="shared" si="36"/>
        <v>548.9</v>
      </c>
      <c r="BQ41">
        <f>IntData!T41</f>
        <v>60</v>
      </c>
      <c r="BS41" t="e">
        <v>#N/A</v>
      </c>
      <c r="BT41">
        <f t="shared" si="37"/>
        <v>548.9</v>
      </c>
      <c r="BU41" t="e">
        <v>#N/A</v>
      </c>
      <c r="BV41" s="48">
        <v>0</v>
      </c>
      <c r="BX41">
        <f>IntData!K41</f>
        <v>585</v>
      </c>
      <c r="BY41">
        <f>MinorData!DR41</f>
        <v>36.1</v>
      </c>
      <c r="CA41" t="e">
        <v>#N/A</v>
      </c>
      <c r="CB41">
        <f t="shared" si="38"/>
        <v>134</v>
      </c>
      <c r="CD41" s="17">
        <f>IntData!U41</f>
        <v>152</v>
      </c>
      <c r="CF41" t="e">
        <v>#N/A</v>
      </c>
      <c r="CG41" s="48">
        <v>0</v>
      </c>
      <c r="CH41">
        <f>IntData!L41</f>
        <v>134</v>
      </c>
    </row>
    <row r="42" spans="1:86" x14ac:dyDescent="0.35">
      <c r="A42" s="7">
        <v>1911</v>
      </c>
      <c r="B42" s="6">
        <v>2058</v>
      </c>
      <c r="C42" s="6">
        <v>1533</v>
      </c>
      <c r="D42" s="6">
        <f t="array" ref="D42">SUM(IF(ISNUMBER(MinorData!$DJ42:$EI42),MinorData!$DJ42:$EI42))</f>
        <v>1736.4</v>
      </c>
      <c r="E42" s="6">
        <f t="array" ref="E42">SUM(IF(ISNUMBER(MinorData!$EJ42:$FM42),MinorData!$EJ42:$FM42))</f>
        <v>1096.5000000000002</v>
      </c>
      <c r="F42" s="13">
        <f t="shared" si="17"/>
        <v>0.84373177842565605</v>
      </c>
      <c r="G42" s="13">
        <f t="shared" si="18"/>
        <v>0.71526418786692769</v>
      </c>
      <c r="H42" s="17"/>
      <c r="J42" s="17">
        <f>MajorData!G42</f>
        <v>451</v>
      </c>
      <c r="K42" s="17">
        <f>MajorData!J42</f>
        <v>1003</v>
      </c>
      <c r="L42" s="17">
        <f>MajorData!N42</f>
        <v>340</v>
      </c>
      <c r="M42" s="17">
        <f>MajorData!P42</f>
        <v>614</v>
      </c>
      <c r="N42" s="17">
        <f>MajorData!U42</f>
        <v>760</v>
      </c>
      <c r="O42" s="17">
        <f>MajorData!V42</f>
        <v>1039</v>
      </c>
      <c r="P42" s="17">
        <f>IntData!T42</f>
        <v>75</v>
      </c>
      <c r="Q42" s="17">
        <f>IntData!U42</f>
        <v>181</v>
      </c>
      <c r="R42" s="17">
        <f>IntData!V42</f>
        <v>314</v>
      </c>
      <c r="S42" s="17">
        <f>IntData!W42</f>
        <v>504</v>
      </c>
      <c r="T42" s="17">
        <f t="shared" si="19"/>
        <v>760</v>
      </c>
      <c r="U42" s="17">
        <f t="shared" si="4"/>
        <v>1298</v>
      </c>
      <c r="V42" s="13">
        <f t="shared" si="20"/>
        <v>1</v>
      </c>
      <c r="W42" s="13">
        <f t="shared" si="21"/>
        <v>0.73147256977863329</v>
      </c>
      <c r="X42" s="13"/>
      <c r="Z42" s="13">
        <f t="shared" si="5"/>
        <v>0.21914480077745385</v>
      </c>
      <c r="AA42" s="13">
        <f t="shared" si="6"/>
        <v>0.48736637512147718</v>
      </c>
      <c r="AB42" s="13">
        <f t="shared" si="7"/>
        <v>0.1652089407191448</v>
      </c>
      <c r="AC42" s="13">
        <f t="shared" si="8"/>
        <v>0.29834791059280857</v>
      </c>
      <c r="AD42" s="13">
        <f t="shared" si="9"/>
        <v>0.369290573372206</v>
      </c>
      <c r="AE42" s="13">
        <f t="shared" si="10"/>
        <v>0.50485908649173961</v>
      </c>
      <c r="AF42" s="13">
        <f t="shared" si="11"/>
        <v>3.6443148688046649E-2</v>
      </c>
      <c r="AG42" s="13">
        <f t="shared" si="12"/>
        <v>8.7949465500485907E-2</v>
      </c>
      <c r="AH42" s="13">
        <f t="shared" si="13"/>
        <v>0.24489795918367346</v>
      </c>
      <c r="AJ42" s="13">
        <f t="shared" si="14"/>
        <v>0.95092322643343064</v>
      </c>
      <c r="AL42">
        <f t="shared" si="15"/>
        <v>2058</v>
      </c>
      <c r="AM42" s="17">
        <f t="shared" si="16"/>
        <v>2046</v>
      </c>
      <c r="AN42" s="13">
        <f t="shared" si="22"/>
        <v>0.99416909620991256</v>
      </c>
      <c r="AP42" s="17">
        <f>MajorData!O42</f>
        <v>609</v>
      </c>
      <c r="AQ42" s="17">
        <f>MajorData!S42</f>
        <v>1437</v>
      </c>
      <c r="AR42" s="43">
        <f t="shared" si="23"/>
        <v>1437</v>
      </c>
      <c r="AS42" s="42">
        <f t="shared" si="24"/>
        <v>1</v>
      </c>
      <c r="AU42" s="17">
        <f>MajorData!I42</f>
        <v>466</v>
      </c>
      <c r="AV42" s="43">
        <f t="shared" si="25"/>
        <v>466</v>
      </c>
      <c r="AW42" s="42">
        <f t="shared" si="26"/>
        <v>1</v>
      </c>
      <c r="AX42" s="17">
        <f>MajorData!Q42</f>
        <v>971</v>
      </c>
      <c r="AY42" s="13">
        <f t="shared" si="27"/>
        <v>0.67571329157967985</v>
      </c>
      <c r="AZ42" s="39">
        <f t="shared" si="28"/>
        <v>1304</v>
      </c>
      <c r="BA42" s="39">
        <f t="shared" si="29"/>
        <v>1.3429454170957775</v>
      </c>
      <c r="BC42">
        <f>MajorData!C42</f>
        <v>159</v>
      </c>
      <c r="BD42">
        <f>MajorData!E42</f>
        <v>307</v>
      </c>
      <c r="BF42">
        <f>MajorData!L42</f>
        <v>631</v>
      </c>
      <c r="BG42" s="13">
        <f t="shared" si="30"/>
        <v>0.64984552008238927</v>
      </c>
      <c r="BH42">
        <f t="shared" si="31"/>
        <v>614.79999999999995</v>
      </c>
      <c r="BI42" s="50">
        <f t="shared" si="32"/>
        <v>0.97432646592709982</v>
      </c>
      <c r="BJ42">
        <f>MajorData!M42</f>
        <v>673</v>
      </c>
      <c r="BK42" s="13">
        <f t="shared" si="33"/>
        <v>0.69309989701338826</v>
      </c>
      <c r="BL42" s="17">
        <f t="shared" si="34"/>
        <v>331</v>
      </c>
      <c r="BM42" s="13">
        <f t="shared" si="35"/>
        <v>0.49182763744427932</v>
      </c>
      <c r="BO42" t="e">
        <v>#N/A</v>
      </c>
      <c r="BP42">
        <f t="shared" si="36"/>
        <v>539.79999999999995</v>
      </c>
      <c r="BQ42">
        <f>IntData!T42</f>
        <v>75</v>
      </c>
      <c r="BS42" t="e">
        <v>#N/A</v>
      </c>
      <c r="BT42">
        <f t="shared" si="37"/>
        <v>539.79999999999995</v>
      </c>
      <c r="BU42" t="e">
        <v>#N/A</v>
      </c>
      <c r="BV42" s="48">
        <v>0</v>
      </c>
      <c r="BX42">
        <f>IntData!K42</f>
        <v>582</v>
      </c>
      <c r="BY42">
        <f>MinorData!DR42</f>
        <v>42.2</v>
      </c>
      <c r="CA42" t="e">
        <v>#N/A</v>
      </c>
      <c r="CB42">
        <f t="shared" si="38"/>
        <v>150</v>
      </c>
      <c r="CD42" s="17">
        <f>IntData!U42</f>
        <v>181</v>
      </c>
      <c r="CF42" t="e">
        <v>#N/A</v>
      </c>
      <c r="CG42" s="48">
        <v>0</v>
      </c>
      <c r="CH42">
        <f>IntData!L42</f>
        <v>150</v>
      </c>
    </row>
    <row r="43" spans="1:86" x14ac:dyDescent="0.35">
      <c r="A43" s="7">
        <v>1912</v>
      </c>
      <c r="B43" s="6">
        <v>2363</v>
      </c>
      <c r="C43" s="6">
        <v>1818</v>
      </c>
      <c r="D43" s="6">
        <f t="array" ref="D43">SUM(IF(ISNUMBER(MinorData!$DJ43:$EI43),MinorData!$DJ43:$EI43))</f>
        <v>1998.2000000000003</v>
      </c>
      <c r="E43" s="6">
        <f t="array" ref="E43">SUM(IF(ISNUMBER(MinorData!$EJ43:$FM43),MinorData!$EJ43:$FM43))</f>
        <v>1306.3</v>
      </c>
      <c r="F43" s="13">
        <f t="shared" si="17"/>
        <v>0.84561997460854854</v>
      </c>
      <c r="G43" s="13">
        <f t="shared" si="18"/>
        <v>0.71853685368536846</v>
      </c>
      <c r="H43" s="17"/>
      <c r="J43" s="17">
        <f>MajorData!G43</f>
        <v>478</v>
      </c>
      <c r="K43" s="17">
        <f>MajorData!J43</f>
        <v>1137</v>
      </c>
      <c r="L43" s="17">
        <f>MajorData!N43</f>
        <v>400</v>
      </c>
      <c r="M43" s="17">
        <f>MajorData!P43</f>
        <v>713</v>
      </c>
      <c r="N43" s="17">
        <f>MajorData!U43</f>
        <v>897</v>
      </c>
      <c r="O43" s="17">
        <f>MajorData!V43</f>
        <v>1208</v>
      </c>
      <c r="P43" s="17">
        <f>IntData!T43</f>
        <v>82</v>
      </c>
      <c r="Q43" s="17">
        <f>IntData!U43</f>
        <v>229</v>
      </c>
      <c r="R43" s="17">
        <f>IntData!V43</f>
        <v>364</v>
      </c>
      <c r="S43" s="17">
        <f>IntData!W43</f>
        <v>587</v>
      </c>
      <c r="T43" s="17">
        <f t="shared" si="19"/>
        <v>898</v>
      </c>
      <c r="U43" s="17">
        <f t="shared" si="4"/>
        <v>1466</v>
      </c>
      <c r="V43" s="13">
        <f t="shared" si="20"/>
        <v>1.0011148272017838</v>
      </c>
      <c r="W43" s="13">
        <f t="shared" si="21"/>
        <v>0.74337748344370858</v>
      </c>
      <c r="X43" s="13"/>
      <c r="Z43" s="13">
        <f t="shared" si="5"/>
        <v>0.20228523063901821</v>
      </c>
      <c r="AA43" s="13">
        <f t="shared" si="6"/>
        <v>0.48116800677105376</v>
      </c>
      <c r="AB43" s="13">
        <f t="shared" si="7"/>
        <v>0.16927634363097757</v>
      </c>
      <c r="AC43" s="13">
        <f t="shared" si="8"/>
        <v>0.30173508252221753</v>
      </c>
      <c r="AD43" s="13">
        <f t="shared" si="9"/>
        <v>0.37960220059246719</v>
      </c>
      <c r="AE43" s="13">
        <f t="shared" si="10"/>
        <v>0.51121455776555225</v>
      </c>
      <c r="AF43" s="13">
        <f t="shared" si="11"/>
        <v>3.4701650444350404E-2</v>
      </c>
      <c r="AG43" s="13">
        <f t="shared" si="12"/>
        <v>9.6910706728734655E-2</v>
      </c>
      <c r="AH43" s="13">
        <f t="shared" si="13"/>
        <v>0.24841303427845959</v>
      </c>
      <c r="AJ43" s="13">
        <f t="shared" si="14"/>
        <v>0.95217943292424878</v>
      </c>
      <c r="AL43">
        <f t="shared" si="15"/>
        <v>2363</v>
      </c>
      <c r="AM43" s="17">
        <f t="shared" si="16"/>
        <v>2350</v>
      </c>
      <c r="AN43" s="13">
        <f t="shared" si="22"/>
        <v>0.99449851883199325</v>
      </c>
      <c r="AP43" s="17">
        <f>MajorData!O43</f>
        <v>707</v>
      </c>
      <c r="AQ43" s="17">
        <f>MajorData!S43</f>
        <v>1643</v>
      </c>
      <c r="AR43" s="43">
        <f t="shared" si="23"/>
        <v>1644</v>
      </c>
      <c r="AS43" s="42">
        <f t="shared" si="24"/>
        <v>1.0006086427267193</v>
      </c>
      <c r="AU43" s="17">
        <f>MajorData!I43</f>
        <v>496</v>
      </c>
      <c r="AV43" s="43">
        <f t="shared" si="25"/>
        <v>496</v>
      </c>
      <c r="AW43" s="42">
        <f t="shared" si="26"/>
        <v>1</v>
      </c>
      <c r="AX43" s="17">
        <f>MajorData!Q43</f>
        <v>1148</v>
      </c>
      <c r="AY43" s="13">
        <f t="shared" si="27"/>
        <v>0.69872185027388922</v>
      </c>
      <c r="AZ43" s="39">
        <f t="shared" si="28"/>
        <v>1543</v>
      </c>
      <c r="BA43" s="39">
        <f t="shared" si="29"/>
        <v>1.3440766550522647</v>
      </c>
      <c r="BC43">
        <f>MajorData!C43</f>
        <v>192</v>
      </c>
      <c r="BD43">
        <f>MajorData!E43</f>
        <v>304</v>
      </c>
      <c r="BF43">
        <f>MajorData!L43</f>
        <v>748</v>
      </c>
      <c r="BG43" s="13">
        <f t="shared" si="30"/>
        <v>0.65156794425087106</v>
      </c>
      <c r="BH43">
        <f t="shared" si="31"/>
        <v>728.1</v>
      </c>
      <c r="BI43" s="50">
        <f t="shared" si="32"/>
        <v>0.97339572192513368</v>
      </c>
      <c r="BJ43">
        <f>MajorData!M43</f>
        <v>795</v>
      </c>
      <c r="BK43" s="13">
        <f t="shared" si="33"/>
        <v>0.69250871080139376</v>
      </c>
      <c r="BL43" s="17">
        <f t="shared" si="34"/>
        <v>390</v>
      </c>
      <c r="BM43" s="13">
        <f t="shared" si="35"/>
        <v>0.49056603773584906</v>
      </c>
      <c r="BO43" t="e">
        <v>#N/A</v>
      </c>
      <c r="BP43">
        <f t="shared" si="36"/>
        <v>646.1</v>
      </c>
      <c r="BQ43">
        <f>IntData!T43</f>
        <v>82</v>
      </c>
      <c r="BS43" t="e">
        <v>#N/A</v>
      </c>
      <c r="BT43">
        <f t="shared" si="37"/>
        <v>646.1</v>
      </c>
      <c r="BU43" t="e">
        <v>#N/A</v>
      </c>
      <c r="BV43" s="48">
        <v>0</v>
      </c>
      <c r="BX43">
        <f>IntData!K43</f>
        <v>693</v>
      </c>
      <c r="BY43">
        <f>MinorData!DR43</f>
        <v>46.9</v>
      </c>
      <c r="CA43" t="e">
        <v>#N/A</v>
      </c>
      <c r="CB43">
        <f t="shared" si="38"/>
        <v>161</v>
      </c>
      <c r="CD43" s="17">
        <f>IntData!U43</f>
        <v>229</v>
      </c>
      <c r="CF43" t="e">
        <v>#N/A</v>
      </c>
      <c r="CG43" s="48">
        <v>0</v>
      </c>
      <c r="CH43">
        <f>IntData!L43</f>
        <v>161</v>
      </c>
    </row>
    <row r="44" spans="1:86" x14ac:dyDescent="0.35">
      <c r="A44" s="7">
        <v>1913</v>
      </c>
      <c r="B44" s="6">
        <v>2448</v>
      </c>
      <c r="C44" s="6">
        <v>1793</v>
      </c>
      <c r="D44" s="6">
        <f t="array" ref="D44">SUM(IF(ISNUMBER(MinorData!$DJ44:$EI44),MinorData!$DJ44:$EI44))</f>
        <v>2070.6999999999998</v>
      </c>
      <c r="E44" s="6">
        <f t="array" ref="E44">SUM(IF(ISNUMBER(MinorData!$EJ44:$FM44),MinorData!$EJ44:$FM44))</f>
        <v>1273.6999999999998</v>
      </c>
      <c r="F44" s="13">
        <f t="shared" si="17"/>
        <v>0.84587418300653583</v>
      </c>
      <c r="G44" s="13">
        <f t="shared" si="18"/>
        <v>0.71037367540435015</v>
      </c>
      <c r="H44" s="17"/>
      <c r="J44" s="17">
        <f>MajorData!G44</f>
        <v>528</v>
      </c>
      <c r="K44" s="17">
        <f>MajorData!J44</f>
        <v>1141</v>
      </c>
      <c r="L44" s="17">
        <f>MajorData!N44</f>
        <v>420</v>
      </c>
      <c r="M44" s="17">
        <f>MajorData!P44</f>
        <v>759</v>
      </c>
      <c r="N44" s="17">
        <f>MajorData!U44</f>
        <v>973</v>
      </c>
      <c r="O44" s="17">
        <f>MajorData!V44</f>
        <v>1292</v>
      </c>
      <c r="P44" s="17">
        <f>IntData!T44</f>
        <v>97</v>
      </c>
      <c r="Q44" s="17">
        <f>IntData!U44</f>
        <v>251</v>
      </c>
      <c r="R44" s="17">
        <f>IntData!V44</f>
        <v>380</v>
      </c>
      <c r="S44" s="17">
        <f>IntData!W44</f>
        <v>625</v>
      </c>
      <c r="T44" s="17">
        <f t="shared" si="19"/>
        <v>973</v>
      </c>
      <c r="U44" s="17">
        <f t="shared" si="4"/>
        <v>1475</v>
      </c>
      <c r="V44" s="13">
        <f t="shared" si="20"/>
        <v>1</v>
      </c>
      <c r="W44" s="13">
        <f t="shared" si="21"/>
        <v>0.75309597523219818</v>
      </c>
      <c r="X44" s="13"/>
      <c r="Z44" s="13">
        <f t="shared" si="5"/>
        <v>0.21568627450980393</v>
      </c>
      <c r="AA44" s="13">
        <f t="shared" si="6"/>
        <v>0.46609477124183007</v>
      </c>
      <c r="AB44" s="13">
        <f t="shared" si="7"/>
        <v>0.17156862745098039</v>
      </c>
      <c r="AC44" s="13">
        <f t="shared" si="8"/>
        <v>0.31004901960784315</v>
      </c>
      <c r="AD44" s="13">
        <f t="shared" si="9"/>
        <v>0.39746732026143788</v>
      </c>
      <c r="AE44" s="13">
        <f t="shared" si="10"/>
        <v>0.52777777777777779</v>
      </c>
      <c r="AF44" s="13">
        <f t="shared" si="11"/>
        <v>3.9624183006535946E-2</v>
      </c>
      <c r="AG44" s="13">
        <f t="shared" si="12"/>
        <v>0.10253267973856209</v>
      </c>
      <c r="AH44" s="13">
        <f t="shared" si="13"/>
        <v>0.25531045751633985</v>
      </c>
      <c r="AJ44" s="13">
        <f t="shared" si="14"/>
        <v>0.94771241830065356</v>
      </c>
      <c r="AL44">
        <f t="shared" si="15"/>
        <v>2448</v>
      </c>
      <c r="AM44" s="17">
        <f t="shared" si="16"/>
        <v>2440</v>
      </c>
      <c r="AN44" s="13">
        <f t="shared" si="22"/>
        <v>0.99673202614379086</v>
      </c>
      <c r="AP44" s="17">
        <f>MajorData!O44</f>
        <v>752</v>
      </c>
      <c r="AQ44" s="17">
        <f>MajorData!S44</f>
        <v>1688</v>
      </c>
      <c r="AR44" s="43">
        <f t="shared" si="23"/>
        <v>1688</v>
      </c>
      <c r="AS44" s="42">
        <f t="shared" si="24"/>
        <v>1</v>
      </c>
      <c r="AU44" s="17">
        <f>MajorData!I44</f>
        <v>550</v>
      </c>
      <c r="AV44" s="43">
        <f t="shared" si="25"/>
        <v>550</v>
      </c>
      <c r="AW44" s="42">
        <f t="shared" si="26"/>
        <v>1</v>
      </c>
      <c r="AX44" s="17">
        <f>MajorData!Q44</f>
        <v>1138</v>
      </c>
      <c r="AY44" s="13">
        <f t="shared" si="27"/>
        <v>0.67417061611374407</v>
      </c>
      <c r="AZ44" s="39">
        <f t="shared" si="28"/>
        <v>1489</v>
      </c>
      <c r="BA44" s="39">
        <f t="shared" si="29"/>
        <v>1.3084358523725834</v>
      </c>
      <c r="BC44">
        <f>MajorData!C44</f>
        <v>225</v>
      </c>
      <c r="BD44">
        <f>MajorData!E44</f>
        <v>325</v>
      </c>
      <c r="BF44">
        <f>MajorData!L44</f>
        <v>718</v>
      </c>
      <c r="BG44" s="13">
        <f t="shared" si="30"/>
        <v>0.63093145869947276</v>
      </c>
      <c r="BH44">
        <f t="shared" si="31"/>
        <v>698.1</v>
      </c>
      <c r="BI44" s="50">
        <f t="shared" si="32"/>
        <v>0.97228412256267416</v>
      </c>
      <c r="BJ44">
        <f>MajorData!M44</f>
        <v>771</v>
      </c>
      <c r="BK44" s="13">
        <f t="shared" si="33"/>
        <v>0.67750439367311077</v>
      </c>
      <c r="BL44" s="17">
        <f t="shared" si="34"/>
        <v>411</v>
      </c>
      <c r="BM44" s="13">
        <f t="shared" si="35"/>
        <v>0.53307392996108949</v>
      </c>
      <c r="BO44" t="e">
        <v>#N/A</v>
      </c>
      <c r="BP44">
        <f t="shared" si="36"/>
        <v>601.1</v>
      </c>
      <c r="BQ44">
        <f>IntData!T44</f>
        <v>97</v>
      </c>
      <c r="BS44" t="e">
        <v>#N/A</v>
      </c>
      <c r="BT44">
        <f t="shared" si="37"/>
        <v>601.1</v>
      </c>
      <c r="BU44" t="e">
        <v>#N/A</v>
      </c>
      <c r="BV44" s="48">
        <v>0</v>
      </c>
      <c r="BX44">
        <f>IntData!K44</f>
        <v>654</v>
      </c>
      <c r="BY44">
        <f>MinorData!DR44</f>
        <v>52.9</v>
      </c>
      <c r="CA44" t="e">
        <v>#N/A</v>
      </c>
      <c r="CB44">
        <f t="shared" si="38"/>
        <v>160</v>
      </c>
      <c r="CD44" s="17">
        <f>IntData!U44</f>
        <v>251</v>
      </c>
      <c r="CF44" t="e">
        <v>#N/A</v>
      </c>
      <c r="CG44" s="48">
        <v>0</v>
      </c>
      <c r="CH44">
        <f>IntData!L44</f>
        <v>160</v>
      </c>
    </row>
    <row r="45" spans="1:86" x14ac:dyDescent="0.35">
      <c r="A45" s="7">
        <v>1914</v>
      </c>
      <c r="B45" s="8">
        <v>2071</v>
      </c>
      <c r="C45" s="6">
        <v>1789</v>
      </c>
      <c r="D45" s="6">
        <f t="array" ref="D45">SUM(IF(ISNUMBER(MinorData!$DJ45:$EI45),MinorData!$DJ45:$EI45))</f>
        <v>1716.3999999999999</v>
      </c>
      <c r="E45" s="6">
        <f t="array" ref="E45">SUM(IF(ISNUMBER(MinorData!$EJ45:$FM45),MinorData!$EJ45:$FM45))</f>
        <v>1258.6999999999998</v>
      </c>
      <c r="F45" s="13">
        <f t="shared" si="17"/>
        <v>0.82877836793819404</v>
      </c>
      <c r="G45" s="13">
        <f t="shared" si="18"/>
        <v>0.70357741755170478</v>
      </c>
      <c r="H45" s="17"/>
      <c r="J45" s="17">
        <f>MajorData!G45</f>
        <v>610</v>
      </c>
      <c r="K45" s="17">
        <f>MajorData!J45</f>
        <v>997</v>
      </c>
      <c r="L45" s="17">
        <f>MajorData!N45</f>
        <v>358</v>
      </c>
      <c r="M45" s="17">
        <f>MajorData!P45</f>
        <v>615</v>
      </c>
      <c r="N45" s="17">
        <f>MajorData!U45</f>
        <v>784</v>
      </c>
      <c r="O45" s="17">
        <f>MajorData!V45</f>
        <v>1058</v>
      </c>
      <c r="P45" s="17">
        <f>IntData!T45</f>
        <v>73</v>
      </c>
      <c r="Q45" s="17">
        <f>IntData!U45</f>
        <v>225</v>
      </c>
      <c r="R45" s="17">
        <f>IntData!V45</f>
        <v>265</v>
      </c>
      <c r="S45" s="17">
        <f>IntData!W45</f>
        <v>486</v>
      </c>
      <c r="T45" s="17">
        <f t="shared" si="19"/>
        <v>784</v>
      </c>
      <c r="U45" s="17">
        <f t="shared" si="4"/>
        <v>1287</v>
      </c>
      <c r="V45" s="13">
        <f t="shared" si="20"/>
        <v>1</v>
      </c>
      <c r="W45" s="13">
        <f t="shared" si="21"/>
        <v>0.74102079395085063</v>
      </c>
      <c r="X45" s="13"/>
      <c r="Z45" s="13">
        <f t="shared" si="5"/>
        <v>0.294543698696282</v>
      </c>
      <c r="AA45" s="13">
        <f t="shared" si="6"/>
        <v>0.48140994688556255</v>
      </c>
      <c r="AB45" s="13">
        <f t="shared" si="7"/>
        <v>0.17286335103814582</v>
      </c>
      <c r="AC45" s="13">
        <f t="shared" si="8"/>
        <v>0.29695799130854661</v>
      </c>
      <c r="AD45" s="13">
        <f t="shared" si="9"/>
        <v>0.37856108160309032</v>
      </c>
      <c r="AE45" s="13">
        <f t="shared" si="10"/>
        <v>0.51086431675519073</v>
      </c>
      <c r="AF45" s="13">
        <f t="shared" si="11"/>
        <v>3.5248672139063256E-2</v>
      </c>
      <c r="AG45" s="13">
        <f t="shared" si="12"/>
        <v>0.1086431675519073</v>
      </c>
      <c r="AH45" s="13">
        <f t="shared" si="13"/>
        <v>0.23466924191211974</v>
      </c>
      <c r="AJ45" s="13">
        <f t="shared" si="14"/>
        <v>0.95123128923225497</v>
      </c>
      <c r="AL45">
        <f t="shared" si="15"/>
        <v>2071</v>
      </c>
      <c r="AM45" s="17">
        <f t="shared" si="16"/>
        <v>2063</v>
      </c>
      <c r="AN45" s="13">
        <f t="shared" si="22"/>
        <v>0.99613713182037666</v>
      </c>
      <c r="AP45" s="17">
        <f>MajorData!O45</f>
        <v>609</v>
      </c>
      <c r="AQ45" s="17">
        <f>MajorData!S45</f>
        <v>1454</v>
      </c>
      <c r="AR45" s="43">
        <f t="shared" si="23"/>
        <v>1454</v>
      </c>
      <c r="AS45" s="42">
        <f t="shared" si="24"/>
        <v>1</v>
      </c>
      <c r="AU45" s="17">
        <f>MajorData!I45</f>
        <v>632</v>
      </c>
      <c r="AV45" s="43">
        <f t="shared" si="25"/>
        <v>632</v>
      </c>
      <c r="AW45" s="42">
        <f t="shared" si="26"/>
        <v>1</v>
      </c>
      <c r="AX45" s="17">
        <f>MajorData!Q45</f>
        <v>822</v>
      </c>
      <c r="AY45" s="13">
        <f t="shared" si="27"/>
        <v>0.56533700137551579</v>
      </c>
      <c r="AZ45" s="39">
        <f t="shared" si="28"/>
        <v>971</v>
      </c>
      <c r="BA45" s="39">
        <f t="shared" si="29"/>
        <v>1.1812652068126521</v>
      </c>
      <c r="BC45">
        <f>MajorData!C45</f>
        <v>319</v>
      </c>
      <c r="BD45">
        <f>MajorData!E45</f>
        <v>313</v>
      </c>
      <c r="BF45">
        <f>MajorData!L45</f>
        <v>464</v>
      </c>
      <c r="BG45" s="13">
        <f t="shared" si="30"/>
        <v>0.56447688564476883</v>
      </c>
      <c r="BH45">
        <f t="shared" si="31"/>
        <v>450.1</v>
      </c>
      <c r="BI45" s="50">
        <f t="shared" si="32"/>
        <v>0.97004310344827593</v>
      </c>
      <c r="BJ45">
        <f>MajorData!M45</f>
        <v>507</v>
      </c>
      <c r="BK45" s="13">
        <f t="shared" si="33"/>
        <v>0.61678832116788318</v>
      </c>
      <c r="BL45" s="17">
        <f t="shared" si="34"/>
        <v>351</v>
      </c>
      <c r="BM45" s="13">
        <f t="shared" si="35"/>
        <v>0.69230769230769229</v>
      </c>
      <c r="BO45" t="e">
        <v>#N/A</v>
      </c>
      <c r="BP45">
        <f t="shared" si="36"/>
        <v>377.1</v>
      </c>
      <c r="BQ45">
        <f>IntData!T45</f>
        <v>73</v>
      </c>
      <c r="BS45" t="e">
        <v>#N/A</v>
      </c>
      <c r="BT45">
        <f t="shared" si="37"/>
        <v>377.1</v>
      </c>
      <c r="BU45" t="e">
        <v>#N/A</v>
      </c>
      <c r="BV45" s="48">
        <v>0</v>
      </c>
      <c r="BX45">
        <f>IntData!K45</f>
        <v>421</v>
      </c>
      <c r="BY45">
        <f>MinorData!DR45</f>
        <v>43.9</v>
      </c>
      <c r="CA45" t="e">
        <v>#N/A</v>
      </c>
      <c r="CB45">
        <f t="shared" si="38"/>
        <v>126</v>
      </c>
      <c r="CD45" s="17">
        <f>IntData!U45</f>
        <v>225</v>
      </c>
      <c r="CF45" t="e">
        <v>#N/A</v>
      </c>
      <c r="CG45" s="48">
        <v>0</v>
      </c>
      <c r="CH45">
        <f>IntData!L45</f>
        <v>126</v>
      </c>
    </row>
    <row r="46" spans="1:86" x14ac:dyDescent="0.35">
      <c r="A46" s="7">
        <v>1915</v>
      </c>
      <c r="B46" s="8">
        <v>3492</v>
      </c>
      <c r="C46" s="6">
        <v>1779</v>
      </c>
      <c r="D46" s="6">
        <f t="array" ref="D46">SUM(IF(ISNUMBER(MinorData!$DJ46:$EI46),MinorData!$DJ46:$EI46))</f>
        <v>2831.4</v>
      </c>
      <c r="E46" s="6">
        <f t="array" ref="E46">SUM(IF(ISNUMBER(MinorData!$EJ46:$FM46),MinorData!$EJ46:$FM46))</f>
        <v>1338.4</v>
      </c>
      <c r="F46" s="13">
        <f t="shared" si="17"/>
        <v>0.81082474226804124</v>
      </c>
      <c r="G46" s="13">
        <f t="shared" si="18"/>
        <v>0.75233277121978648</v>
      </c>
      <c r="H46" s="17"/>
      <c r="J46" s="17">
        <f>MajorData!G46</f>
        <v>1035</v>
      </c>
      <c r="K46" s="17">
        <f>MajorData!J46</f>
        <v>1608</v>
      </c>
      <c r="L46" s="17">
        <f>MajorData!N46</f>
        <v>531</v>
      </c>
      <c r="M46" s="17">
        <f>MajorData!P46</f>
        <v>1252</v>
      </c>
      <c r="N46" s="17">
        <f>MajorData!U46</f>
        <v>1430</v>
      </c>
      <c r="O46" s="17">
        <f>MajorData!V46</f>
        <v>1861</v>
      </c>
      <c r="P46" s="17">
        <f>IntData!T46</f>
        <v>73</v>
      </c>
      <c r="Q46" s="17">
        <f>IntData!U46</f>
        <v>375</v>
      </c>
      <c r="R46" s="17">
        <f>IntData!V46</f>
        <v>544</v>
      </c>
      <c r="S46" s="17">
        <f>IntData!W46</f>
        <v>983</v>
      </c>
      <c r="T46" s="17">
        <f t="shared" si="19"/>
        <v>1431</v>
      </c>
      <c r="U46" s="17">
        <f t="shared" si="4"/>
        <v>2062</v>
      </c>
      <c r="V46" s="13">
        <f t="shared" si="20"/>
        <v>1.0006993006993008</v>
      </c>
      <c r="W46" s="13">
        <f t="shared" si="21"/>
        <v>0.76894142933906506</v>
      </c>
      <c r="X46" s="13"/>
      <c r="Z46" s="13">
        <f t="shared" si="5"/>
        <v>0.29639175257731959</v>
      </c>
      <c r="AA46" s="13">
        <f t="shared" si="6"/>
        <v>0.46048109965635736</v>
      </c>
      <c r="AB46" s="13">
        <f t="shared" si="7"/>
        <v>0.15206185567010308</v>
      </c>
      <c r="AC46" s="13">
        <f t="shared" si="8"/>
        <v>0.35853379152348225</v>
      </c>
      <c r="AD46" s="13">
        <f t="shared" si="9"/>
        <v>0.40950744558991981</v>
      </c>
      <c r="AE46" s="13">
        <f t="shared" si="10"/>
        <v>0.5329324169530355</v>
      </c>
      <c r="AF46" s="13">
        <f t="shared" si="11"/>
        <v>2.09049255441008E-2</v>
      </c>
      <c r="AG46" s="13">
        <f t="shared" si="12"/>
        <v>0.10738831615120274</v>
      </c>
      <c r="AH46" s="13">
        <f t="shared" si="13"/>
        <v>0.28150057273768614</v>
      </c>
      <c r="AJ46" s="13">
        <f t="shared" si="14"/>
        <v>0.97107674684994261</v>
      </c>
      <c r="AL46">
        <f t="shared" si="15"/>
        <v>3492</v>
      </c>
      <c r="AM46" s="17">
        <f t="shared" si="16"/>
        <v>3474</v>
      </c>
      <c r="AN46" s="13">
        <f t="shared" si="22"/>
        <v>0.99484536082474229</v>
      </c>
      <c r="AP46" s="17">
        <f>MajorData!O46</f>
        <v>1246</v>
      </c>
      <c r="AQ46" s="17">
        <f>MajorData!S46</f>
        <v>2228</v>
      </c>
      <c r="AR46" s="43">
        <f t="shared" si="23"/>
        <v>2229</v>
      </c>
      <c r="AS46" s="42">
        <f t="shared" si="24"/>
        <v>1.0004488330341113</v>
      </c>
      <c r="AU46" s="17">
        <f>MajorData!I46</f>
        <v>1064</v>
      </c>
      <c r="AV46" s="43">
        <f t="shared" si="25"/>
        <v>1064</v>
      </c>
      <c r="AW46" s="42">
        <f t="shared" si="26"/>
        <v>1</v>
      </c>
      <c r="AX46" s="17">
        <f>MajorData!Q46</f>
        <v>1165</v>
      </c>
      <c r="AY46" s="13">
        <f t="shared" si="27"/>
        <v>0.52289048473967681</v>
      </c>
      <c r="AZ46" s="39">
        <f t="shared" si="28"/>
        <v>1319</v>
      </c>
      <c r="BA46" s="39">
        <f t="shared" si="29"/>
        <v>1.1321888412017167</v>
      </c>
      <c r="BC46">
        <f>MajorData!C46</f>
        <v>514</v>
      </c>
      <c r="BD46">
        <f>MajorData!E46</f>
        <v>550</v>
      </c>
      <c r="BF46">
        <f>MajorData!L46</f>
        <v>633</v>
      </c>
      <c r="BG46" s="13">
        <f t="shared" si="30"/>
        <v>0.54334763948497855</v>
      </c>
      <c r="BH46">
        <f t="shared" si="31"/>
        <v>628.5</v>
      </c>
      <c r="BI46" s="50">
        <f t="shared" si="32"/>
        <v>0.99289099526066349</v>
      </c>
      <c r="BJ46">
        <f>MajorData!M46</f>
        <v>686</v>
      </c>
      <c r="BK46" s="13">
        <f t="shared" si="33"/>
        <v>0.58884120171673815</v>
      </c>
      <c r="BL46" s="17">
        <f t="shared" si="34"/>
        <v>521</v>
      </c>
      <c r="BM46" s="13">
        <f t="shared" si="35"/>
        <v>0.75947521865889212</v>
      </c>
      <c r="BO46" t="e">
        <v>#N/A</v>
      </c>
      <c r="BP46">
        <f t="shared" si="36"/>
        <v>555.5</v>
      </c>
      <c r="BQ46">
        <f>IntData!T46</f>
        <v>73</v>
      </c>
      <c r="BS46" t="e">
        <v>#N/A</v>
      </c>
      <c r="BT46">
        <f t="shared" si="37"/>
        <v>555.5</v>
      </c>
      <c r="BU46" t="e">
        <v>#N/A</v>
      </c>
      <c r="BV46" s="48">
        <v>0</v>
      </c>
      <c r="BX46">
        <f>IntData!K46</f>
        <v>608</v>
      </c>
      <c r="BY46">
        <f>MinorData!DR46</f>
        <v>52.5</v>
      </c>
      <c r="CA46" t="e">
        <v>#N/A</v>
      </c>
      <c r="CB46">
        <f t="shared" si="38"/>
        <v>146</v>
      </c>
      <c r="CD46" s="17">
        <f>IntData!U46</f>
        <v>375</v>
      </c>
      <c r="CF46" t="e">
        <v>#N/A</v>
      </c>
      <c r="CG46" s="48">
        <v>0</v>
      </c>
      <c r="CH46">
        <f>IntData!L46</f>
        <v>146</v>
      </c>
    </row>
    <row r="47" spans="1:86" x14ac:dyDescent="0.35">
      <c r="A47" s="7">
        <v>1916</v>
      </c>
      <c r="B47" s="6">
        <v>5423</v>
      </c>
      <c r="C47" s="6">
        <v>2392</v>
      </c>
      <c r="D47" s="6">
        <f t="array" ref="D47">SUM(IF(ISNUMBER(MinorData!$DJ47:$EI47),MinorData!$DJ47:$EI47))</f>
        <v>4616.2</v>
      </c>
      <c r="E47" s="6">
        <f t="array" ref="E47">SUM(IF(ISNUMBER(MinorData!$EJ47:$FM47),MinorData!$EJ47:$FM47))</f>
        <v>1827.0999999999997</v>
      </c>
      <c r="F47" s="13">
        <f t="shared" si="17"/>
        <v>0.85122625852848977</v>
      </c>
      <c r="G47" s="13">
        <f t="shared" si="18"/>
        <v>0.76383779264214036</v>
      </c>
      <c r="H47" s="17"/>
      <c r="J47" s="17">
        <f>MajorData!G47</f>
        <v>1083</v>
      </c>
      <c r="K47" s="17">
        <f>MajorData!J47</f>
        <v>1756</v>
      </c>
      <c r="L47" s="17">
        <f>MajorData!N47</f>
        <v>1040</v>
      </c>
      <c r="M47" s="17">
        <f>MajorData!P47</f>
        <v>2518</v>
      </c>
      <c r="N47" s="17">
        <f>MajorData!U47</f>
        <v>3136</v>
      </c>
      <c r="O47" s="17">
        <f>MajorData!V47</f>
        <v>3651</v>
      </c>
      <c r="P47" s="17">
        <f>IntData!T47</f>
        <v>86</v>
      </c>
      <c r="Q47" s="17">
        <f>IntData!U47</f>
        <v>847</v>
      </c>
      <c r="R47" s="17">
        <f>IntData!V47</f>
        <v>1105</v>
      </c>
      <c r="S47" s="17">
        <f>IntData!W47</f>
        <v>2203</v>
      </c>
      <c r="T47" s="17">
        <f t="shared" si="19"/>
        <v>3136</v>
      </c>
      <c r="U47" s="17">
        <f t="shared" si="4"/>
        <v>2287</v>
      </c>
      <c r="V47" s="13">
        <f t="shared" si="20"/>
        <v>1</v>
      </c>
      <c r="W47" s="13">
        <f t="shared" si="21"/>
        <v>0.85894275540947684</v>
      </c>
      <c r="X47" s="13"/>
      <c r="Z47" s="13">
        <f t="shared" si="5"/>
        <v>0.19970496035404758</v>
      </c>
      <c r="AA47" s="13">
        <f t="shared" si="6"/>
        <v>0.32380601143278626</v>
      </c>
      <c r="AB47" s="13">
        <f t="shared" si="7"/>
        <v>0.19177576986907616</v>
      </c>
      <c r="AC47" s="13">
        <f t="shared" si="8"/>
        <v>0.46431864281762864</v>
      </c>
      <c r="AD47" s="13">
        <f t="shared" si="9"/>
        <v>0.57827770606675277</v>
      </c>
      <c r="AE47" s="13">
        <f t="shared" si="10"/>
        <v>0.67324359210768947</v>
      </c>
      <c r="AF47" s="13">
        <f t="shared" si="11"/>
        <v>1.5858380969942836E-2</v>
      </c>
      <c r="AG47" s="13">
        <f t="shared" si="12"/>
        <v>0.15618661257606492</v>
      </c>
      <c r="AH47" s="13">
        <f t="shared" si="13"/>
        <v>0.406232712520745</v>
      </c>
      <c r="AJ47" s="13">
        <f t="shared" si="14"/>
        <v>0.97990042411949108</v>
      </c>
      <c r="AL47">
        <f t="shared" si="15"/>
        <v>5423</v>
      </c>
      <c r="AM47" s="17">
        <f t="shared" si="16"/>
        <v>5417</v>
      </c>
      <c r="AN47" s="13">
        <f t="shared" si="22"/>
        <v>0.99889360132767846</v>
      </c>
      <c r="AP47" s="17">
        <f>MajorData!O47</f>
        <v>2507</v>
      </c>
      <c r="AQ47" s="17">
        <f>MajorData!S47</f>
        <v>2910</v>
      </c>
      <c r="AR47" s="43">
        <f t="shared" si="23"/>
        <v>2910</v>
      </c>
      <c r="AS47" s="42">
        <f t="shared" si="24"/>
        <v>1</v>
      </c>
      <c r="AU47" s="17">
        <f>MajorData!I47</f>
        <v>1119</v>
      </c>
      <c r="AV47" s="43">
        <f t="shared" si="25"/>
        <v>1119</v>
      </c>
      <c r="AW47" s="42">
        <f t="shared" si="26"/>
        <v>1</v>
      </c>
      <c r="AX47" s="17">
        <f>MajorData!Q47</f>
        <v>1791</v>
      </c>
      <c r="AY47" s="13">
        <f t="shared" si="27"/>
        <v>0.61546391752577323</v>
      </c>
      <c r="AZ47" s="39">
        <f t="shared" si="28"/>
        <v>1564</v>
      </c>
      <c r="BA47" s="39">
        <f t="shared" si="29"/>
        <v>0.87325516471245113</v>
      </c>
      <c r="BC47">
        <f>MajorData!C47</f>
        <v>480</v>
      </c>
      <c r="BD47">
        <f>MajorData!E47</f>
        <v>639</v>
      </c>
      <c r="BF47">
        <f>MajorData!L47</f>
        <v>751</v>
      </c>
      <c r="BG47" s="13">
        <f t="shared" si="30"/>
        <v>0.4193188163037409</v>
      </c>
      <c r="BH47">
        <f t="shared" si="31"/>
        <v>741.2</v>
      </c>
      <c r="BI47" s="50">
        <f t="shared" si="32"/>
        <v>0.9869507323568576</v>
      </c>
      <c r="BJ47">
        <f>MajorData!M47</f>
        <v>813</v>
      </c>
      <c r="BK47" s="13">
        <f t="shared" si="33"/>
        <v>0.45393634840871022</v>
      </c>
      <c r="BL47" s="17">
        <f t="shared" si="34"/>
        <v>1029</v>
      </c>
      <c r="BM47" s="13">
        <f t="shared" si="35"/>
        <v>1.2656826568265682</v>
      </c>
      <c r="BO47" t="e">
        <v>#N/A</v>
      </c>
      <c r="BP47">
        <f t="shared" si="36"/>
        <v>655.20000000000005</v>
      </c>
      <c r="BQ47">
        <f>IntData!T47</f>
        <v>86</v>
      </c>
      <c r="BS47" t="e">
        <v>#N/A</v>
      </c>
      <c r="BT47">
        <f t="shared" si="37"/>
        <v>655.20000000000005</v>
      </c>
      <c r="BU47" t="e">
        <v>#N/A</v>
      </c>
      <c r="BV47" s="48">
        <v>0</v>
      </c>
      <c r="BX47">
        <f>IntData!K47</f>
        <v>718</v>
      </c>
      <c r="BY47">
        <f>MinorData!DR47</f>
        <v>62.8</v>
      </c>
      <c r="CA47" t="e">
        <v>#N/A</v>
      </c>
      <c r="CB47">
        <f t="shared" si="38"/>
        <v>182</v>
      </c>
      <c r="CD47" s="17">
        <f>IntData!U47</f>
        <v>847</v>
      </c>
      <c r="CF47" t="e">
        <v>#N/A</v>
      </c>
      <c r="CG47" s="48">
        <v>0</v>
      </c>
      <c r="CH47">
        <f>IntData!L47</f>
        <v>182</v>
      </c>
    </row>
    <row r="48" spans="1:86" x14ac:dyDescent="0.35">
      <c r="A48" s="7">
        <v>1917</v>
      </c>
      <c r="B48" s="6">
        <v>6170</v>
      </c>
      <c r="C48" s="6">
        <v>2952</v>
      </c>
      <c r="D48" s="6">
        <f t="array" ref="D48">SUM(IF(ISNUMBER(MinorData!$DJ48:$EI48),MinorData!$DJ48:$EI48))</f>
        <v>5414.9</v>
      </c>
      <c r="E48" s="6">
        <f t="array" ref="E48">SUM(IF(ISNUMBER(MinorData!$EJ48:$FM48),MinorData!$EJ48:$FM48))</f>
        <v>2189.9999999999995</v>
      </c>
      <c r="F48" s="13">
        <f t="shared" si="17"/>
        <v>0.87761750405186378</v>
      </c>
      <c r="G48" s="13">
        <f t="shared" si="18"/>
        <v>0.74186991869918684</v>
      </c>
      <c r="H48" s="17"/>
      <c r="J48" s="17">
        <f>MajorData!G48</f>
        <v>1321</v>
      </c>
      <c r="K48" s="17">
        <f>MajorData!J48</f>
        <v>1980</v>
      </c>
      <c r="L48" s="17">
        <f>MajorData!N48</f>
        <v>1427</v>
      </c>
      <c r="M48" s="17">
        <f>MajorData!P48</f>
        <v>2600</v>
      </c>
      <c r="N48" s="17">
        <f>MajorData!U48</f>
        <v>3649</v>
      </c>
      <c r="O48" s="17">
        <f>MajorData!V48</f>
        <v>4164</v>
      </c>
      <c r="P48" s="17">
        <f>IntData!T48</f>
        <v>134</v>
      </c>
      <c r="Q48" s="17">
        <f>IntData!U48</f>
        <v>1243</v>
      </c>
      <c r="R48" s="17">
        <f>IntData!V48</f>
        <v>1147</v>
      </c>
      <c r="S48" s="17">
        <f>IntData!W48</f>
        <v>2273</v>
      </c>
      <c r="T48" s="17">
        <f t="shared" si="19"/>
        <v>3650</v>
      </c>
      <c r="U48" s="17">
        <f t="shared" si="4"/>
        <v>2521</v>
      </c>
      <c r="V48" s="13">
        <f t="shared" si="20"/>
        <v>1.0002740476842971</v>
      </c>
      <c r="W48" s="13">
        <f t="shared" si="21"/>
        <v>0.87656099903938522</v>
      </c>
      <c r="X48" s="13"/>
      <c r="Z48" s="13">
        <f t="shared" si="5"/>
        <v>0.21410048622366287</v>
      </c>
      <c r="AA48" s="13">
        <f t="shared" si="6"/>
        <v>0.32090761750405189</v>
      </c>
      <c r="AB48" s="13">
        <f t="shared" si="7"/>
        <v>0.2312803889789303</v>
      </c>
      <c r="AC48" s="13">
        <f t="shared" si="8"/>
        <v>0.42139384116693679</v>
      </c>
      <c r="AD48" s="13">
        <f t="shared" si="9"/>
        <v>0.59141004862236624</v>
      </c>
      <c r="AE48" s="13">
        <f t="shared" si="10"/>
        <v>0.67487844408427877</v>
      </c>
      <c r="AF48" s="13">
        <f t="shared" si="11"/>
        <v>2.1717990275526743E-2</v>
      </c>
      <c r="AG48" s="13">
        <f t="shared" si="12"/>
        <v>0.20145867098865478</v>
      </c>
      <c r="AH48" s="13">
        <f t="shared" si="13"/>
        <v>0.36839546191247974</v>
      </c>
      <c r="AJ48" s="13">
        <f t="shared" si="14"/>
        <v>0.97358184764991895</v>
      </c>
      <c r="AL48">
        <f t="shared" si="15"/>
        <v>6170</v>
      </c>
      <c r="AM48" s="17">
        <f t="shared" si="16"/>
        <v>6161</v>
      </c>
      <c r="AN48" s="13">
        <f t="shared" si="22"/>
        <v>0.99854132901134518</v>
      </c>
      <c r="AP48" s="17">
        <f>MajorData!O48</f>
        <v>2583</v>
      </c>
      <c r="AQ48" s="17">
        <f>MajorData!S48</f>
        <v>3578</v>
      </c>
      <c r="AR48" s="43">
        <f t="shared" si="23"/>
        <v>3578</v>
      </c>
      <c r="AS48" s="42">
        <f t="shared" si="24"/>
        <v>1</v>
      </c>
      <c r="AU48" s="17">
        <f>MajorData!I48</f>
        <v>1365</v>
      </c>
      <c r="AV48" s="43">
        <f t="shared" si="25"/>
        <v>1365</v>
      </c>
      <c r="AW48" s="42">
        <f t="shared" si="26"/>
        <v>1</v>
      </c>
      <c r="AX48" s="17">
        <f>MajorData!Q48</f>
        <v>2213</v>
      </c>
      <c r="AY48" s="13">
        <f t="shared" si="27"/>
        <v>0.61850195640022354</v>
      </c>
      <c r="AZ48" s="39">
        <f t="shared" si="28"/>
        <v>1617</v>
      </c>
      <c r="BA48" s="39">
        <f t="shared" si="29"/>
        <v>0.73068233167645735</v>
      </c>
      <c r="BC48">
        <f>MajorData!C48</f>
        <v>542</v>
      </c>
      <c r="BD48">
        <f>MajorData!E48</f>
        <v>823</v>
      </c>
      <c r="BF48">
        <f>MajorData!L48</f>
        <v>786</v>
      </c>
      <c r="BG48" s="13">
        <f t="shared" si="30"/>
        <v>0.35517397198373252</v>
      </c>
      <c r="BH48">
        <f t="shared" si="31"/>
        <v>774.4</v>
      </c>
      <c r="BI48" s="50">
        <f t="shared" si="32"/>
        <v>0.98524173027989814</v>
      </c>
      <c r="BJ48">
        <f>MajorData!M48</f>
        <v>831</v>
      </c>
      <c r="BK48" s="13">
        <f t="shared" si="33"/>
        <v>0.37550835969272478</v>
      </c>
      <c r="BL48" s="17">
        <f t="shared" si="34"/>
        <v>1415</v>
      </c>
      <c r="BM48" s="13">
        <f t="shared" si="35"/>
        <v>1.7027677496991576</v>
      </c>
      <c r="BO48" t="e">
        <v>#N/A</v>
      </c>
      <c r="BP48">
        <f t="shared" si="36"/>
        <v>640.4</v>
      </c>
      <c r="BQ48">
        <f>IntData!T48</f>
        <v>134</v>
      </c>
      <c r="BS48" t="e">
        <v>#N/A</v>
      </c>
      <c r="BT48">
        <f t="shared" si="37"/>
        <v>640.4</v>
      </c>
      <c r="BU48" t="e">
        <v>#N/A</v>
      </c>
      <c r="BV48" s="48">
        <v>0</v>
      </c>
      <c r="BX48">
        <f>IntData!K48</f>
        <v>686</v>
      </c>
      <c r="BY48">
        <f>MinorData!DR48</f>
        <v>45.6</v>
      </c>
      <c r="CA48" t="e">
        <v>#N/A</v>
      </c>
      <c r="CB48">
        <f t="shared" si="38"/>
        <v>172</v>
      </c>
      <c r="CD48" s="17">
        <f>IntData!U48</f>
        <v>1243</v>
      </c>
      <c r="CF48" t="e">
        <v>#N/A</v>
      </c>
      <c r="CG48" s="48">
        <v>0</v>
      </c>
      <c r="CH48">
        <f>IntData!L48</f>
        <v>172</v>
      </c>
    </row>
    <row r="49" spans="1:86" x14ac:dyDescent="0.35">
      <c r="A49" s="7">
        <v>1918</v>
      </c>
      <c r="B49" s="8">
        <v>6048</v>
      </c>
      <c r="C49" s="6">
        <v>3031</v>
      </c>
      <c r="D49" s="6">
        <f t="array" ref="D49">SUM(IF(ISNUMBER(MinorData!$DJ49:$EI49),MinorData!$DJ49:$EI49))</f>
        <v>5351</v>
      </c>
      <c r="E49" s="6">
        <f t="array" ref="E49">SUM(IF(ISNUMBER(MinorData!$EJ49:$FM49),MinorData!$EJ49:$FM49))</f>
        <v>2167.1999999999998</v>
      </c>
      <c r="F49" s="13">
        <f t="shared" si="17"/>
        <v>0.88475529100529104</v>
      </c>
      <c r="G49" s="13">
        <f t="shared" si="18"/>
        <v>0.71501154734411076</v>
      </c>
      <c r="H49" s="17"/>
      <c r="J49" s="17">
        <f>MajorData!G49</f>
        <v>2030</v>
      </c>
      <c r="K49" s="17">
        <f>MajorData!J49</f>
        <v>2749</v>
      </c>
      <c r="L49" s="17">
        <f>MajorData!N49</f>
        <v>1121</v>
      </c>
      <c r="M49" s="17">
        <f>MajorData!P49</f>
        <v>2008</v>
      </c>
      <c r="N49" s="17">
        <f>MajorData!U49</f>
        <v>2713</v>
      </c>
      <c r="O49" s="17">
        <f>MajorData!V49</f>
        <v>3263</v>
      </c>
      <c r="P49" s="17">
        <f>IntData!T49</f>
        <v>136</v>
      </c>
      <c r="Q49" s="17">
        <f>IntData!U49</f>
        <v>954</v>
      </c>
      <c r="R49" s="17">
        <f>IntData!V49</f>
        <v>874</v>
      </c>
      <c r="S49" s="17">
        <f>IntData!W49</f>
        <v>1624</v>
      </c>
      <c r="T49" s="17">
        <f t="shared" si="19"/>
        <v>2714</v>
      </c>
      <c r="U49" s="17">
        <f t="shared" si="4"/>
        <v>3335</v>
      </c>
      <c r="V49" s="13">
        <f t="shared" si="20"/>
        <v>1.0003685956505712</v>
      </c>
      <c r="W49" s="13">
        <f t="shared" si="21"/>
        <v>0.83174992338338949</v>
      </c>
      <c r="X49" s="13"/>
      <c r="Z49" s="13">
        <f t="shared" si="5"/>
        <v>0.33564814814814814</v>
      </c>
      <c r="AA49" s="13">
        <f t="shared" si="6"/>
        <v>0.45453042328042326</v>
      </c>
      <c r="AB49" s="13">
        <f t="shared" si="7"/>
        <v>0.1853505291005291</v>
      </c>
      <c r="AC49" s="13">
        <f t="shared" si="8"/>
        <v>0.33201058201058203</v>
      </c>
      <c r="AD49" s="13">
        <f t="shared" si="9"/>
        <v>0.44857804232804233</v>
      </c>
      <c r="AE49" s="13">
        <f t="shared" si="10"/>
        <v>0.53951719576719581</v>
      </c>
      <c r="AF49" s="13">
        <f t="shared" si="11"/>
        <v>2.2486772486772486E-2</v>
      </c>
      <c r="AG49" s="13">
        <f t="shared" si="12"/>
        <v>0.15773809523809523</v>
      </c>
      <c r="AH49" s="13">
        <f t="shared" si="13"/>
        <v>0.26851851851851855</v>
      </c>
      <c r="AJ49" s="13">
        <f t="shared" si="14"/>
        <v>0.97189153439153442</v>
      </c>
      <c r="AL49">
        <f t="shared" si="15"/>
        <v>6048</v>
      </c>
      <c r="AM49" s="17">
        <f t="shared" si="16"/>
        <v>6042</v>
      </c>
      <c r="AN49" s="13">
        <f t="shared" si="22"/>
        <v>0.99900793650793651</v>
      </c>
      <c r="AP49" s="17">
        <f>MajorData!O49</f>
        <v>1978</v>
      </c>
      <c r="AQ49" s="17">
        <f>MajorData!S49</f>
        <v>4064</v>
      </c>
      <c r="AR49" s="43">
        <f t="shared" si="23"/>
        <v>4064</v>
      </c>
      <c r="AS49" s="42">
        <f t="shared" si="24"/>
        <v>1</v>
      </c>
      <c r="AU49" s="17">
        <f>MajorData!I49</f>
        <v>2094</v>
      </c>
      <c r="AV49" s="43">
        <f t="shared" si="25"/>
        <v>2094</v>
      </c>
      <c r="AW49" s="42">
        <f t="shared" si="26"/>
        <v>1</v>
      </c>
      <c r="AX49" s="17">
        <f>MajorData!Q49</f>
        <v>1970</v>
      </c>
      <c r="AY49" s="13">
        <f t="shared" si="27"/>
        <v>0.484744094488189</v>
      </c>
      <c r="AZ49" s="39">
        <f t="shared" si="28"/>
        <v>1819</v>
      </c>
      <c r="BA49" s="39">
        <f t="shared" si="29"/>
        <v>0.92335025380710656</v>
      </c>
      <c r="BC49">
        <f>MajorData!C49</f>
        <v>658</v>
      </c>
      <c r="BD49">
        <f>MajorData!E49</f>
        <v>1436</v>
      </c>
      <c r="BF49">
        <f>MajorData!L49</f>
        <v>848</v>
      </c>
      <c r="BG49" s="13">
        <f t="shared" si="30"/>
        <v>0.43045685279187818</v>
      </c>
      <c r="BH49">
        <f t="shared" si="31"/>
        <v>838.1</v>
      </c>
      <c r="BI49" s="50">
        <f t="shared" si="32"/>
        <v>0.98832547169811324</v>
      </c>
      <c r="BJ49">
        <f>MajorData!M49</f>
        <v>971</v>
      </c>
      <c r="BK49" s="13">
        <f t="shared" si="33"/>
        <v>0.49289340101522844</v>
      </c>
      <c r="BL49" s="17">
        <f t="shared" si="34"/>
        <v>1109</v>
      </c>
      <c r="BM49" s="13">
        <f t="shared" si="35"/>
        <v>1.1421215242018539</v>
      </c>
      <c r="BO49" t="e">
        <v>#N/A</v>
      </c>
      <c r="BP49">
        <f t="shared" si="36"/>
        <v>702.1</v>
      </c>
      <c r="BQ49">
        <f>IntData!T49</f>
        <v>136</v>
      </c>
      <c r="BS49" t="e">
        <v>#N/A</v>
      </c>
      <c r="BT49">
        <f t="shared" si="37"/>
        <v>702.1</v>
      </c>
      <c r="BU49" t="e">
        <v>#N/A</v>
      </c>
      <c r="BV49" s="48">
        <v>0</v>
      </c>
      <c r="BX49">
        <f>IntData!K49</f>
        <v>825</v>
      </c>
      <c r="BY49">
        <f>MinorData!DR49</f>
        <v>122.9</v>
      </c>
      <c r="CA49" t="e">
        <v>#N/A</v>
      </c>
      <c r="CB49">
        <f t="shared" si="38"/>
        <v>155</v>
      </c>
      <c r="CD49" s="17">
        <f>IntData!U49</f>
        <v>954</v>
      </c>
      <c r="CF49" t="e">
        <v>#N/A</v>
      </c>
      <c r="CG49" s="48">
        <v>0</v>
      </c>
      <c r="CH49">
        <f>IntData!L49</f>
        <v>155</v>
      </c>
    </row>
    <row r="50" spans="1:86" x14ac:dyDescent="0.35">
      <c r="A50" s="7">
        <v>1919</v>
      </c>
      <c r="B50" s="8">
        <v>7750</v>
      </c>
      <c r="C50" s="6">
        <v>3904</v>
      </c>
      <c r="D50" s="6">
        <f t="array" ref="D50">SUM(IF(ISNUMBER(MinorData!$DJ50:$EI50),MinorData!$DJ50:$EI50))</f>
        <v>6447.7</v>
      </c>
      <c r="E50" s="6">
        <f t="array" ref="E50">SUM(IF(ISNUMBER(MinorData!$EJ50:$FM50),MinorData!$EJ50:$FM50))</f>
        <v>2845.7</v>
      </c>
      <c r="F50" s="13">
        <f t="shared" si="17"/>
        <v>0.83196129032258059</v>
      </c>
      <c r="G50" s="13">
        <f t="shared" si="18"/>
        <v>0.7289190573770491</v>
      </c>
      <c r="H50" s="17"/>
      <c r="J50" s="17">
        <f>MajorData!G50</f>
        <v>2811</v>
      </c>
      <c r="K50" s="17">
        <f>MajorData!J50</f>
        <v>4091</v>
      </c>
      <c r="L50" s="17">
        <f>MajorData!N50</f>
        <v>1077</v>
      </c>
      <c r="M50" s="17">
        <f>MajorData!P50</f>
        <v>2422</v>
      </c>
      <c r="N50" s="17">
        <f>MajorData!U50</f>
        <v>2553</v>
      </c>
      <c r="O50" s="17">
        <f>MajorData!V50</f>
        <v>3598</v>
      </c>
      <c r="P50" s="17">
        <f>IntData!T50</f>
        <v>154</v>
      </c>
      <c r="Q50" s="17">
        <f>IntData!U50</f>
        <v>605</v>
      </c>
      <c r="R50" s="17">
        <f>IntData!V50</f>
        <v>1145</v>
      </c>
      <c r="S50" s="17">
        <f>IntData!W50</f>
        <v>1795</v>
      </c>
      <c r="T50" s="17">
        <f t="shared" si="19"/>
        <v>2554</v>
      </c>
      <c r="U50" s="17">
        <f t="shared" si="4"/>
        <v>5197</v>
      </c>
      <c r="V50" s="13">
        <f t="shared" si="20"/>
        <v>1.0003916960438699</v>
      </c>
      <c r="W50" s="13">
        <f t="shared" si="21"/>
        <v>0.70983879933296279</v>
      </c>
      <c r="X50" s="13"/>
      <c r="Z50" s="13">
        <f t="shared" si="5"/>
        <v>0.36270967741935484</v>
      </c>
      <c r="AA50" s="13">
        <f t="shared" si="6"/>
        <v>0.52787096774193554</v>
      </c>
      <c r="AB50" s="13">
        <f t="shared" si="7"/>
        <v>0.13896774193548386</v>
      </c>
      <c r="AC50" s="13">
        <f t="shared" si="8"/>
        <v>0.31251612903225806</v>
      </c>
      <c r="AD50" s="13">
        <f t="shared" si="9"/>
        <v>0.32941935483870965</v>
      </c>
      <c r="AE50" s="13">
        <f t="shared" si="10"/>
        <v>0.46425806451612905</v>
      </c>
      <c r="AF50" s="13">
        <f t="shared" si="11"/>
        <v>1.9870967741935485E-2</v>
      </c>
      <c r="AG50" s="13">
        <f t="shared" si="12"/>
        <v>7.8064516129032258E-2</v>
      </c>
      <c r="AH50" s="13">
        <f t="shared" si="13"/>
        <v>0.23161290322580644</v>
      </c>
      <c r="AJ50" s="13">
        <f t="shared" si="14"/>
        <v>0.97935483870967754</v>
      </c>
      <c r="AL50">
        <f t="shared" si="15"/>
        <v>7750</v>
      </c>
      <c r="AM50" s="17">
        <f t="shared" si="16"/>
        <v>7735</v>
      </c>
      <c r="AN50" s="13">
        <f t="shared" si="22"/>
        <v>0.99806451612903224</v>
      </c>
      <c r="AP50" s="17">
        <f>MajorData!O50</f>
        <v>2375</v>
      </c>
      <c r="AQ50" s="17">
        <f>MajorData!S50</f>
        <v>5360</v>
      </c>
      <c r="AR50" s="43">
        <f t="shared" si="23"/>
        <v>5360</v>
      </c>
      <c r="AS50" s="42">
        <f t="shared" si="24"/>
        <v>1</v>
      </c>
      <c r="AU50" s="17">
        <f>MajorData!I50</f>
        <v>2924</v>
      </c>
      <c r="AV50" s="43">
        <f t="shared" si="25"/>
        <v>2924</v>
      </c>
      <c r="AW50" s="42">
        <f t="shared" si="26"/>
        <v>1</v>
      </c>
      <c r="AX50" s="17">
        <f>MajorData!Q50</f>
        <v>2436</v>
      </c>
      <c r="AY50" s="13">
        <f t="shared" si="27"/>
        <v>0.45447761194029851</v>
      </c>
      <c r="AZ50" s="39">
        <f t="shared" si="28"/>
        <v>2978</v>
      </c>
      <c r="BA50" s="39">
        <f t="shared" si="29"/>
        <v>1.222495894909688</v>
      </c>
      <c r="BC50">
        <f>MajorData!C50</f>
        <v>909</v>
      </c>
      <c r="BD50">
        <f>MajorData!E50</f>
        <v>2015</v>
      </c>
      <c r="BF50">
        <f>MajorData!L50</f>
        <v>1359</v>
      </c>
      <c r="BG50" s="13">
        <f t="shared" si="30"/>
        <v>0.55788177339901479</v>
      </c>
      <c r="BH50">
        <f t="shared" si="31"/>
        <v>1342</v>
      </c>
      <c r="BI50" s="50">
        <f t="shared" si="32"/>
        <v>0.98749080206033846</v>
      </c>
      <c r="BJ50">
        <f>MajorData!M50</f>
        <v>1619</v>
      </c>
      <c r="BK50" s="13">
        <f t="shared" si="33"/>
        <v>0.66461412151067323</v>
      </c>
      <c r="BL50" s="17">
        <f t="shared" si="34"/>
        <v>1002</v>
      </c>
      <c r="BM50" s="13">
        <f t="shared" si="35"/>
        <v>0.61890055589870285</v>
      </c>
      <c r="BO50" t="e">
        <v>#N/A</v>
      </c>
      <c r="BP50">
        <f t="shared" si="36"/>
        <v>1188</v>
      </c>
      <c r="BQ50">
        <f>IntData!T50</f>
        <v>154</v>
      </c>
      <c r="BS50" t="e">
        <v>#N/A</v>
      </c>
      <c r="BT50">
        <f t="shared" si="37"/>
        <v>1188</v>
      </c>
      <c r="BU50" t="e">
        <v>#N/A</v>
      </c>
      <c r="BV50" s="48">
        <v>0</v>
      </c>
      <c r="BX50">
        <f>IntData!K50</f>
        <v>1448</v>
      </c>
      <c r="BY50">
        <f>MinorData!DR50</f>
        <v>260</v>
      </c>
      <c r="CA50" t="e">
        <v>#N/A</v>
      </c>
      <c r="CB50">
        <f t="shared" si="38"/>
        <v>397</v>
      </c>
      <c r="CD50" s="17">
        <f>IntData!U50</f>
        <v>605</v>
      </c>
      <c r="CF50" t="e">
        <v>#N/A</v>
      </c>
      <c r="CG50" s="48">
        <v>0</v>
      </c>
      <c r="CH50">
        <f>IntData!L50</f>
        <v>397</v>
      </c>
    </row>
    <row r="51" spans="1:86" x14ac:dyDescent="0.35">
      <c r="A51" s="7">
        <v>1920</v>
      </c>
      <c r="B51" s="6">
        <v>8080</v>
      </c>
      <c r="C51" s="6">
        <v>5278</v>
      </c>
      <c r="D51" s="6">
        <f t="array" ref="D51">SUM(IF(ISNUMBER(MinorData!$DJ51:$EI51),MinorData!$DJ51:$EI51))</f>
        <v>6846.2999999999984</v>
      </c>
      <c r="E51" s="6">
        <f t="array" ref="E51">SUM(IF(ISNUMBER(MinorData!$EJ51:$FM51),MinorData!$EJ51:$FM51))</f>
        <v>3794.7999999999997</v>
      </c>
      <c r="F51" s="13">
        <f t="shared" si="17"/>
        <v>0.84731435643564335</v>
      </c>
      <c r="G51" s="13">
        <f t="shared" si="18"/>
        <v>0.71898446381204995</v>
      </c>
      <c r="H51" s="17"/>
      <c r="J51" s="17">
        <f>MajorData!G51</f>
        <v>2206</v>
      </c>
      <c r="K51" s="17">
        <f>MajorData!J51</f>
        <v>3441</v>
      </c>
      <c r="L51" s="17">
        <f>MajorData!N51</f>
        <v>1086</v>
      </c>
      <c r="M51" s="17">
        <f>MajorData!P51</f>
        <v>3084</v>
      </c>
      <c r="N51" s="17">
        <f>MajorData!U51</f>
        <v>3466</v>
      </c>
      <c r="O51" s="17">
        <f>MajorData!V51</f>
        <v>4570</v>
      </c>
      <c r="P51" s="17">
        <f>IntData!T51</f>
        <v>410</v>
      </c>
      <c r="Q51" s="17">
        <f>IntData!U51</f>
        <v>715</v>
      </c>
      <c r="R51" s="17">
        <f>IntData!V51</f>
        <v>1425</v>
      </c>
      <c r="S51" s="17">
        <f>IntData!W51</f>
        <v>2340</v>
      </c>
      <c r="T51" s="17">
        <f t="shared" si="19"/>
        <v>3465</v>
      </c>
      <c r="U51" s="17">
        <f t="shared" si="4"/>
        <v>4614</v>
      </c>
      <c r="V51" s="13">
        <f t="shared" si="20"/>
        <v>0.99971148297749568</v>
      </c>
      <c r="W51" s="13">
        <f t="shared" si="21"/>
        <v>0.75820568927789933</v>
      </c>
      <c r="X51" s="13"/>
      <c r="Z51" s="13">
        <f t="shared" si="5"/>
        <v>0.27301980198019804</v>
      </c>
      <c r="AA51" s="13">
        <f t="shared" si="6"/>
        <v>0.42586633663366336</v>
      </c>
      <c r="AB51" s="13">
        <f t="shared" si="7"/>
        <v>0.13440594059405941</v>
      </c>
      <c r="AC51" s="13">
        <f t="shared" si="8"/>
        <v>0.38168316831683169</v>
      </c>
      <c r="AD51" s="13">
        <f t="shared" si="9"/>
        <v>0.42896039603960395</v>
      </c>
      <c r="AE51" s="13">
        <f t="shared" si="10"/>
        <v>0.56559405940594054</v>
      </c>
      <c r="AF51" s="13">
        <f t="shared" si="11"/>
        <v>5.0742574257425746E-2</v>
      </c>
      <c r="AG51" s="13">
        <f t="shared" si="12"/>
        <v>8.8490099009900985E-2</v>
      </c>
      <c r="AH51" s="13">
        <f t="shared" si="13"/>
        <v>0.28960396039603958</v>
      </c>
      <c r="AJ51" s="13">
        <f t="shared" si="14"/>
        <v>0.94195544554455446</v>
      </c>
      <c r="AL51">
        <f t="shared" si="15"/>
        <v>8080</v>
      </c>
      <c r="AM51" s="17">
        <f t="shared" si="16"/>
        <v>8054</v>
      </c>
      <c r="AN51" s="13">
        <f t="shared" si="22"/>
        <v>0.99678217821782178</v>
      </c>
      <c r="AP51" s="17">
        <f>MajorData!O51</f>
        <v>3041</v>
      </c>
      <c r="AQ51" s="17">
        <f>MajorData!S51</f>
        <v>5013</v>
      </c>
      <c r="AR51" s="43">
        <f t="shared" si="23"/>
        <v>5013</v>
      </c>
      <c r="AS51" s="42">
        <f t="shared" si="24"/>
        <v>1</v>
      </c>
      <c r="AU51" s="17">
        <f>MajorData!I51</f>
        <v>2301</v>
      </c>
      <c r="AV51" s="43">
        <f t="shared" si="25"/>
        <v>2301</v>
      </c>
      <c r="AW51" s="42">
        <f t="shared" si="26"/>
        <v>1</v>
      </c>
      <c r="AX51" s="17">
        <f>MajorData!Q51</f>
        <v>2712</v>
      </c>
      <c r="AY51" s="13">
        <f t="shared" si="27"/>
        <v>0.54099341711549975</v>
      </c>
      <c r="AZ51" s="39">
        <f t="shared" si="28"/>
        <v>3499</v>
      </c>
      <c r="BA51" s="39">
        <f t="shared" si="29"/>
        <v>1.2901917404129795</v>
      </c>
      <c r="BC51">
        <f>MajorData!C51</f>
        <v>1131</v>
      </c>
      <c r="BD51">
        <f>MajorData!E51</f>
        <v>1170</v>
      </c>
      <c r="BF51">
        <f>MajorData!L51</f>
        <v>1627</v>
      </c>
      <c r="BG51" s="13">
        <f t="shared" si="30"/>
        <v>0.59992625368731567</v>
      </c>
      <c r="BH51">
        <f t="shared" si="31"/>
        <v>1597.5</v>
      </c>
      <c r="BI51" s="50">
        <f t="shared" si="32"/>
        <v>0.98186846957590657</v>
      </c>
      <c r="BJ51">
        <f>MajorData!M51</f>
        <v>1872</v>
      </c>
      <c r="BK51" s="13">
        <f t="shared" si="33"/>
        <v>0.69026548672566368</v>
      </c>
      <c r="BL51" s="17">
        <f t="shared" si="34"/>
        <v>1049</v>
      </c>
      <c r="BM51" s="13">
        <f t="shared" si="35"/>
        <v>0.56036324786324787</v>
      </c>
      <c r="BO51" t="e">
        <v>#N/A</v>
      </c>
      <c r="BP51">
        <f t="shared" si="36"/>
        <v>1187.5</v>
      </c>
      <c r="BQ51">
        <f>IntData!T51</f>
        <v>410</v>
      </c>
      <c r="BS51" t="e">
        <v>#N/A</v>
      </c>
      <c r="BT51">
        <f t="shared" si="37"/>
        <v>1187.5</v>
      </c>
      <c r="BU51" t="e">
        <v>#N/A</v>
      </c>
      <c r="BV51" s="48">
        <v>0</v>
      </c>
      <c r="BX51">
        <f>IntData!K51</f>
        <v>1433</v>
      </c>
      <c r="BY51">
        <f>MinorData!DR51</f>
        <v>245.5</v>
      </c>
      <c r="CA51" t="e">
        <v>#N/A</v>
      </c>
      <c r="CB51">
        <f t="shared" si="38"/>
        <v>334</v>
      </c>
      <c r="CD51" s="17">
        <f>IntData!U51</f>
        <v>715</v>
      </c>
      <c r="CF51" t="e">
        <v>#N/A</v>
      </c>
      <c r="CG51" s="48">
        <v>0</v>
      </c>
      <c r="CH51">
        <f>IntData!L51</f>
        <v>334</v>
      </c>
    </row>
    <row r="52" spans="1:86" x14ac:dyDescent="0.35">
      <c r="A52" s="7">
        <v>1921</v>
      </c>
      <c r="B52" s="6">
        <v>4379</v>
      </c>
      <c r="C52" s="6">
        <v>2509</v>
      </c>
      <c r="D52" s="6">
        <f t="array" ref="D52">SUM(IF(ISNUMBER(MinorData!$DJ52:$EI52),MinorData!$DJ52:$EI52))</f>
        <v>3777.1999999999989</v>
      </c>
      <c r="E52" s="6">
        <f t="array" ref="E52">SUM(IF(ISNUMBER(MinorData!$EJ52:$FM52),MinorData!$EJ52:$FM52))</f>
        <v>1771.0000000000005</v>
      </c>
      <c r="F52" s="13">
        <f t="shared" si="17"/>
        <v>0.86257136332495976</v>
      </c>
      <c r="G52" s="13">
        <f t="shared" si="18"/>
        <v>0.70585890793144701</v>
      </c>
      <c r="H52" s="17"/>
      <c r="J52" s="17">
        <f>MajorData!G52</f>
        <v>1536</v>
      </c>
      <c r="K52" s="17">
        <f>MajorData!J52</f>
        <v>2113</v>
      </c>
      <c r="L52" s="17">
        <f>MajorData!N52</f>
        <v>442</v>
      </c>
      <c r="M52" s="17">
        <f>MajorData!P52</f>
        <v>1588</v>
      </c>
      <c r="N52" s="17">
        <f>MajorData!U52</f>
        <v>1838</v>
      </c>
      <c r="O52" s="17">
        <f>MajorData!V52</f>
        <v>2231</v>
      </c>
      <c r="P52" s="17">
        <f>IntData!T52</f>
        <v>205</v>
      </c>
      <c r="Q52" s="17">
        <f>IntData!U52</f>
        <v>307</v>
      </c>
      <c r="R52" s="17">
        <f>IntData!V52</f>
        <v>796</v>
      </c>
      <c r="S52" s="17">
        <f>IntData!W52</f>
        <v>1327</v>
      </c>
      <c r="T52" s="17">
        <f t="shared" si="19"/>
        <v>1839</v>
      </c>
      <c r="U52" s="17">
        <f t="shared" si="4"/>
        <v>2541</v>
      </c>
      <c r="V52" s="13">
        <f t="shared" si="20"/>
        <v>1.000544069640914</v>
      </c>
      <c r="W52" s="13">
        <f t="shared" si="21"/>
        <v>0.82429403854773642</v>
      </c>
      <c r="X52" s="13"/>
      <c r="Z52" s="13">
        <f t="shared" si="5"/>
        <v>0.35076501484357159</v>
      </c>
      <c r="AA52" s="13">
        <f t="shared" si="6"/>
        <v>0.48253025804978306</v>
      </c>
      <c r="AB52" s="13">
        <f t="shared" si="7"/>
        <v>0.10093628682347568</v>
      </c>
      <c r="AC52" s="13">
        <f t="shared" si="8"/>
        <v>0.36263987211692167</v>
      </c>
      <c r="AD52" s="13">
        <f t="shared" si="9"/>
        <v>0.41973053208495092</v>
      </c>
      <c r="AE52" s="13">
        <f t="shared" si="10"/>
        <v>0.50947704955469286</v>
      </c>
      <c r="AF52" s="13">
        <f t="shared" si="11"/>
        <v>4.6814341173783969E-2</v>
      </c>
      <c r="AG52" s="13">
        <f t="shared" si="12"/>
        <v>7.0107330440739898E-2</v>
      </c>
      <c r="AH52" s="13">
        <f t="shared" si="13"/>
        <v>0.30303722311029918</v>
      </c>
      <c r="AJ52" s="13">
        <f t="shared" si="14"/>
        <v>0.9461064169901805</v>
      </c>
      <c r="AL52">
        <f t="shared" si="15"/>
        <v>4379</v>
      </c>
      <c r="AM52" s="17">
        <f t="shared" si="16"/>
        <v>4365</v>
      </c>
      <c r="AN52" s="13">
        <f t="shared" si="22"/>
        <v>0.99680292304179041</v>
      </c>
      <c r="AP52" s="17">
        <f>MajorData!O52</f>
        <v>1567</v>
      </c>
      <c r="AQ52" s="17">
        <f>MajorData!S52</f>
        <v>2798</v>
      </c>
      <c r="AR52" s="43">
        <f t="shared" si="23"/>
        <v>2798</v>
      </c>
      <c r="AS52" s="42">
        <f t="shared" si="24"/>
        <v>1</v>
      </c>
      <c r="AU52" s="17">
        <f>MajorData!I52</f>
        <v>1577</v>
      </c>
      <c r="AV52" s="43">
        <f t="shared" si="25"/>
        <v>1577</v>
      </c>
      <c r="AW52" s="42">
        <f t="shared" si="26"/>
        <v>1</v>
      </c>
      <c r="AX52" s="17">
        <f>MajorData!Q52</f>
        <v>1221</v>
      </c>
      <c r="AY52" s="13">
        <f t="shared" si="27"/>
        <v>0.43638313080771979</v>
      </c>
      <c r="AZ52" s="39">
        <f t="shared" si="28"/>
        <v>1763</v>
      </c>
      <c r="BA52" s="39">
        <f t="shared" si="29"/>
        <v>1.4438984438984439</v>
      </c>
      <c r="BC52">
        <f>MajorData!C52</f>
        <v>881</v>
      </c>
      <c r="BD52">
        <f>MajorData!E52</f>
        <v>696</v>
      </c>
      <c r="BF52">
        <f>MajorData!L52</f>
        <v>779</v>
      </c>
      <c r="BG52" s="13">
        <f t="shared" si="30"/>
        <v>0.63800163800163801</v>
      </c>
      <c r="BH52">
        <f t="shared" si="31"/>
        <v>762.9</v>
      </c>
      <c r="BI52" s="50">
        <f t="shared" si="32"/>
        <v>0.97933247753530162</v>
      </c>
      <c r="BJ52">
        <f>MajorData!M52</f>
        <v>984</v>
      </c>
      <c r="BK52" s="13">
        <f t="shared" si="33"/>
        <v>0.8058968058968059</v>
      </c>
      <c r="BL52" s="17">
        <f t="shared" si="34"/>
        <v>430</v>
      </c>
      <c r="BM52" s="13">
        <f t="shared" si="35"/>
        <v>0.43699186991869921</v>
      </c>
      <c r="BO52" t="e">
        <v>#N/A</v>
      </c>
      <c r="BP52">
        <f t="shared" si="36"/>
        <v>557.9</v>
      </c>
      <c r="BQ52">
        <f>IntData!T52</f>
        <v>205</v>
      </c>
      <c r="BS52" t="e">
        <v>#N/A</v>
      </c>
      <c r="BT52">
        <f t="shared" si="37"/>
        <v>557.9</v>
      </c>
      <c r="BU52" t="e">
        <v>#N/A</v>
      </c>
      <c r="BV52" s="48">
        <v>0</v>
      </c>
      <c r="BX52">
        <f>IntData!K52</f>
        <v>763</v>
      </c>
      <c r="BY52">
        <f>MinorData!DR52</f>
        <v>205.1</v>
      </c>
      <c r="CA52" t="e">
        <v>#N/A</v>
      </c>
      <c r="CB52">
        <f t="shared" si="38"/>
        <v>123</v>
      </c>
      <c r="CD52" s="17">
        <f>IntData!U52</f>
        <v>307</v>
      </c>
      <c r="CF52" t="e">
        <v>#N/A</v>
      </c>
      <c r="CG52" s="48">
        <v>0</v>
      </c>
      <c r="CH52">
        <f>IntData!L52</f>
        <v>123</v>
      </c>
    </row>
    <row r="53" spans="1:86" x14ac:dyDescent="0.35">
      <c r="A53" s="7">
        <v>1922</v>
      </c>
      <c r="B53" s="6">
        <v>3765</v>
      </c>
      <c r="C53" s="6">
        <v>3113</v>
      </c>
      <c r="D53" s="6">
        <f t="array" ref="D53">SUM(IF(ISNUMBER(MinorData!$DJ53:$EI53),MinorData!$DJ53:$EI53))</f>
        <v>3139.7000000000003</v>
      </c>
      <c r="E53" s="6">
        <f t="array" ref="E53">SUM(IF(ISNUMBER(MinorData!$EJ53:$FM53),MinorData!$EJ53:$FM53))</f>
        <v>2287.1999999999998</v>
      </c>
      <c r="F53" s="13">
        <f t="shared" si="17"/>
        <v>0.83391766268260303</v>
      </c>
      <c r="G53" s="13">
        <f t="shared" si="18"/>
        <v>0.73472534532605194</v>
      </c>
      <c r="H53" s="17"/>
      <c r="J53" s="17">
        <f>MajorData!G53</f>
        <v>1164</v>
      </c>
      <c r="K53" s="17">
        <f>MajorData!J53</f>
        <v>1883</v>
      </c>
      <c r="L53" s="17">
        <f>MajorData!N53</f>
        <v>445</v>
      </c>
      <c r="M53" s="17">
        <f>MajorData!P53</f>
        <v>1274</v>
      </c>
      <c r="N53" s="17">
        <f>MajorData!U53</f>
        <v>1402</v>
      </c>
      <c r="O53" s="17">
        <f>MajorData!V53</f>
        <v>1841</v>
      </c>
      <c r="P53" s="17">
        <f>IntData!T53</f>
        <v>129</v>
      </c>
      <c r="Q53" s="17">
        <f>IntData!U53</f>
        <v>271</v>
      </c>
      <c r="R53" s="17">
        <f>IntData!V53</f>
        <v>515</v>
      </c>
      <c r="S53" s="17">
        <f>IntData!W53</f>
        <v>1001</v>
      </c>
      <c r="T53" s="17">
        <f t="shared" si="19"/>
        <v>1401</v>
      </c>
      <c r="U53" s="17">
        <f t="shared" si="4"/>
        <v>2363</v>
      </c>
      <c r="V53" s="13">
        <f t="shared" si="20"/>
        <v>0.99928673323823114</v>
      </c>
      <c r="W53" s="13">
        <f t="shared" si="21"/>
        <v>0.76099945681694736</v>
      </c>
      <c r="X53" s="13"/>
      <c r="Z53" s="13">
        <f t="shared" si="5"/>
        <v>0.30916334661354583</v>
      </c>
      <c r="AA53" s="13">
        <f t="shared" si="6"/>
        <v>0.50013280212483402</v>
      </c>
      <c r="AB53" s="13">
        <f t="shared" si="7"/>
        <v>0.11819389110225764</v>
      </c>
      <c r="AC53" s="13">
        <f t="shared" si="8"/>
        <v>0.33837981407702522</v>
      </c>
      <c r="AD53" s="13">
        <f t="shared" si="9"/>
        <v>0.37237715803452853</v>
      </c>
      <c r="AE53" s="13">
        <f t="shared" si="10"/>
        <v>0.48897742363877822</v>
      </c>
      <c r="AF53" s="13">
        <f t="shared" si="11"/>
        <v>3.4262948207171316E-2</v>
      </c>
      <c r="AG53" s="13">
        <f t="shared" si="12"/>
        <v>7.1978751660026555E-2</v>
      </c>
      <c r="AH53" s="13">
        <f t="shared" si="13"/>
        <v>0.26586985391766266</v>
      </c>
      <c r="AJ53" s="13">
        <f t="shared" si="14"/>
        <v>0.95670650730411688</v>
      </c>
      <c r="AL53">
        <f t="shared" si="15"/>
        <v>3765</v>
      </c>
      <c r="AM53" s="17">
        <f t="shared" si="16"/>
        <v>3751</v>
      </c>
      <c r="AN53" s="13">
        <f t="shared" si="22"/>
        <v>0.99628154050464812</v>
      </c>
      <c r="AP53" s="17">
        <f>MajorData!O53</f>
        <v>1247</v>
      </c>
      <c r="AQ53" s="17">
        <f>MajorData!S53</f>
        <v>2504</v>
      </c>
      <c r="AR53" s="43">
        <f t="shared" si="23"/>
        <v>2504</v>
      </c>
      <c r="AS53" s="42">
        <f t="shared" si="24"/>
        <v>1</v>
      </c>
      <c r="AU53" s="17">
        <f>MajorData!I53</f>
        <v>1211</v>
      </c>
      <c r="AV53" s="43">
        <f t="shared" si="25"/>
        <v>1211</v>
      </c>
      <c r="AW53" s="42">
        <f t="shared" si="26"/>
        <v>1</v>
      </c>
      <c r="AX53" s="17">
        <f>MajorData!Q53</f>
        <v>1293</v>
      </c>
      <c r="AY53" s="13">
        <f t="shared" si="27"/>
        <v>0.51637380191693294</v>
      </c>
      <c r="AZ53" s="39">
        <f t="shared" si="28"/>
        <v>1842</v>
      </c>
      <c r="BA53" s="39">
        <f t="shared" si="29"/>
        <v>1.4245939675174013</v>
      </c>
      <c r="BC53">
        <f>MajorData!C53</f>
        <v>607</v>
      </c>
      <c r="BD53">
        <f>MajorData!E53</f>
        <v>604</v>
      </c>
      <c r="BF53">
        <f>MajorData!L53</f>
        <v>848</v>
      </c>
      <c r="BG53" s="13">
        <f t="shared" si="30"/>
        <v>0.65583913379737047</v>
      </c>
      <c r="BH53">
        <f t="shared" si="31"/>
        <v>825.5</v>
      </c>
      <c r="BI53" s="50">
        <f t="shared" si="32"/>
        <v>0.97346698113207553</v>
      </c>
      <c r="BJ53">
        <f>MajorData!M53</f>
        <v>994</v>
      </c>
      <c r="BK53" s="13">
        <f t="shared" si="33"/>
        <v>0.76875483372003095</v>
      </c>
      <c r="BL53" s="17">
        <f t="shared" si="34"/>
        <v>432</v>
      </c>
      <c r="BM53" s="13">
        <f t="shared" si="35"/>
        <v>0.43460764587525152</v>
      </c>
      <c r="BO53" t="e">
        <v>#N/A</v>
      </c>
      <c r="BP53">
        <f t="shared" si="36"/>
        <v>696.5</v>
      </c>
      <c r="BQ53">
        <f>IntData!T53</f>
        <v>129</v>
      </c>
      <c r="BS53" t="e">
        <v>#N/A</v>
      </c>
      <c r="BT53">
        <f t="shared" si="37"/>
        <v>696.5</v>
      </c>
      <c r="BU53" t="e">
        <v>#N/A</v>
      </c>
      <c r="BV53" s="48">
        <v>0</v>
      </c>
      <c r="BX53">
        <f>IntData!K53</f>
        <v>843</v>
      </c>
      <c r="BY53">
        <f>MinorData!DR53</f>
        <v>146.5</v>
      </c>
      <c r="CA53" t="e">
        <v>#N/A</v>
      </c>
      <c r="CB53">
        <f t="shared" si="38"/>
        <v>161</v>
      </c>
      <c r="CD53" s="17">
        <f>IntData!U53</f>
        <v>271</v>
      </c>
      <c r="CF53" t="e">
        <v>#N/A</v>
      </c>
      <c r="CG53" s="48">
        <v>0</v>
      </c>
      <c r="CH53">
        <f>IntData!L53</f>
        <v>161</v>
      </c>
    </row>
    <row r="54" spans="1:86" x14ac:dyDescent="0.35">
      <c r="A54" s="7">
        <v>1923</v>
      </c>
      <c r="B54" s="6">
        <v>4091</v>
      </c>
      <c r="C54" s="6">
        <v>3792</v>
      </c>
      <c r="D54" s="6">
        <f t="array" ref="D54">SUM(IF(ISNUMBER(MinorData!$DJ54:$EI54),MinorData!$DJ54:$EI54))</f>
        <v>3453.2000000000003</v>
      </c>
      <c r="E54" s="6">
        <f t="array" ref="E54">SUM(IF(ISNUMBER(MinorData!$EJ54:$FM54),MinorData!$EJ54:$FM54))</f>
        <v>2796.9</v>
      </c>
      <c r="F54" s="13">
        <f t="shared" si="17"/>
        <v>0.84409679784893676</v>
      </c>
      <c r="G54" s="13">
        <f t="shared" si="18"/>
        <v>0.73757911392405062</v>
      </c>
      <c r="H54" s="17"/>
      <c r="J54" s="17">
        <f>MajorData!G54</f>
        <v>964</v>
      </c>
      <c r="K54" s="17">
        <f>MajorData!J54</f>
        <v>1819</v>
      </c>
      <c r="L54" s="17">
        <f>MajorData!N54</f>
        <v>568</v>
      </c>
      <c r="M54" s="17">
        <f>MajorData!P54</f>
        <v>1463</v>
      </c>
      <c r="N54" s="17">
        <f>MajorData!U54</f>
        <v>1729</v>
      </c>
      <c r="O54" s="17">
        <f>MajorData!V54</f>
        <v>2234</v>
      </c>
      <c r="P54" s="17">
        <f>IntData!T54</f>
        <v>203</v>
      </c>
      <c r="Q54" s="17">
        <f>IntData!U54</f>
        <v>346</v>
      </c>
      <c r="R54" s="17">
        <f>IntData!V54</f>
        <v>670</v>
      </c>
      <c r="S54" s="17">
        <f>IntData!W54</f>
        <v>1179</v>
      </c>
      <c r="T54" s="17">
        <f t="shared" si="19"/>
        <v>1728</v>
      </c>
      <c r="U54" s="17">
        <f t="shared" si="4"/>
        <v>2362</v>
      </c>
      <c r="V54" s="13">
        <f t="shared" si="20"/>
        <v>0.99942163100057835</v>
      </c>
      <c r="W54" s="13">
        <f t="shared" si="21"/>
        <v>0.77350044762757386</v>
      </c>
      <c r="X54" s="13"/>
      <c r="Z54" s="13">
        <f t="shared" si="5"/>
        <v>0.23563920801759961</v>
      </c>
      <c r="AA54" s="13">
        <f t="shared" si="6"/>
        <v>0.44463456367636273</v>
      </c>
      <c r="AB54" s="13">
        <f t="shared" si="7"/>
        <v>0.1388413590809093</v>
      </c>
      <c r="AC54" s="13">
        <f t="shared" si="8"/>
        <v>0.35761427523832806</v>
      </c>
      <c r="AD54" s="13">
        <f t="shared" si="9"/>
        <v>0.42263505255438766</v>
      </c>
      <c r="AE54" s="13">
        <f t="shared" si="10"/>
        <v>0.5460767538499145</v>
      </c>
      <c r="AF54" s="13">
        <f t="shared" si="11"/>
        <v>4.9621119530677098E-2</v>
      </c>
      <c r="AG54" s="13">
        <f t="shared" si="12"/>
        <v>8.4575898313370812E-2</v>
      </c>
      <c r="AH54" s="13">
        <f t="shared" si="13"/>
        <v>0.28819359569787339</v>
      </c>
      <c r="AJ54" s="13">
        <f t="shared" si="14"/>
        <v>0.94109019799560012</v>
      </c>
      <c r="AL54">
        <f t="shared" si="15"/>
        <v>4091</v>
      </c>
      <c r="AM54" s="17">
        <f t="shared" si="16"/>
        <v>4079</v>
      </c>
      <c r="AN54" s="13">
        <f t="shared" si="22"/>
        <v>0.99706673185040329</v>
      </c>
      <c r="AP54" s="17">
        <f>MajorData!O54</f>
        <v>1438</v>
      </c>
      <c r="AQ54" s="17">
        <f>MajorData!S54</f>
        <v>2641</v>
      </c>
      <c r="AR54" s="43">
        <f t="shared" si="23"/>
        <v>2640</v>
      </c>
      <c r="AS54" s="42">
        <f t="shared" si="24"/>
        <v>0.99962135554714127</v>
      </c>
      <c r="AU54" s="17">
        <f>MajorData!I54</f>
        <v>1011</v>
      </c>
      <c r="AV54" s="43">
        <f t="shared" si="25"/>
        <v>1012</v>
      </c>
      <c r="AW54" s="42">
        <f t="shared" si="26"/>
        <v>1.0009891196834817</v>
      </c>
      <c r="AX54" s="17">
        <f>MajorData!Q54</f>
        <v>1629</v>
      </c>
      <c r="AY54" s="13">
        <f t="shared" si="27"/>
        <v>0.61681181370692917</v>
      </c>
      <c r="AZ54" s="39">
        <f t="shared" si="28"/>
        <v>2275</v>
      </c>
      <c r="BA54" s="39">
        <f t="shared" si="29"/>
        <v>1.3965623081645182</v>
      </c>
      <c r="BC54">
        <f>MajorData!C54</f>
        <v>413</v>
      </c>
      <c r="BD54">
        <f>MajorData!E54</f>
        <v>599</v>
      </c>
      <c r="BF54">
        <f>MajorData!L54</f>
        <v>1061</v>
      </c>
      <c r="BG54" s="13">
        <f t="shared" si="30"/>
        <v>0.65131982811540823</v>
      </c>
      <c r="BH54">
        <f t="shared" si="31"/>
        <v>1036.5999999999999</v>
      </c>
      <c r="BI54" s="50">
        <f t="shared" si="32"/>
        <v>0.97700282752120637</v>
      </c>
      <c r="BJ54">
        <f>MajorData!M54</f>
        <v>1214</v>
      </c>
      <c r="BK54" s="13">
        <f t="shared" si="33"/>
        <v>0.74524248004910987</v>
      </c>
      <c r="BL54" s="17">
        <f t="shared" si="34"/>
        <v>554</v>
      </c>
      <c r="BM54" s="13">
        <f t="shared" si="35"/>
        <v>0.45634266886326197</v>
      </c>
      <c r="BO54" t="e">
        <v>#N/A</v>
      </c>
      <c r="BP54">
        <f t="shared" si="36"/>
        <v>833.6</v>
      </c>
      <c r="BQ54">
        <f>IntData!T54</f>
        <v>203</v>
      </c>
      <c r="BS54" t="e">
        <v>#N/A</v>
      </c>
      <c r="BT54">
        <f t="shared" si="37"/>
        <v>833.6</v>
      </c>
      <c r="BU54" t="e">
        <v>#N/A</v>
      </c>
      <c r="BV54" s="48">
        <v>0</v>
      </c>
      <c r="BX54">
        <f>IntData!K54</f>
        <v>987</v>
      </c>
      <c r="BY54">
        <f>MinorData!DR54</f>
        <v>153.4</v>
      </c>
      <c r="CA54" t="e">
        <v>#N/A</v>
      </c>
      <c r="CB54">
        <f t="shared" si="38"/>
        <v>208</v>
      </c>
      <c r="CD54" s="17">
        <f>IntData!U54</f>
        <v>346</v>
      </c>
      <c r="CF54" t="e">
        <v>#N/A</v>
      </c>
      <c r="CG54" s="48">
        <v>0</v>
      </c>
      <c r="CH54">
        <f>IntData!L54</f>
        <v>208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B29D-37BC-4006-967F-CC229D23B863}">
  <dimension ref="A1"/>
  <sheetViews>
    <sheetView showGridLines="0" workbookViewId="0">
      <selection activeCell="J13" sqref="J1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MinorData</vt:lpstr>
      <vt:lpstr>IntData</vt:lpstr>
      <vt:lpstr>MajorData</vt:lpstr>
      <vt:lpstr>CodesIndex</vt:lpstr>
      <vt:lpstr>TotalAndInferredData</vt:lpstr>
      <vt:lpstr>Tables</vt:lpstr>
      <vt:lpstr>ArrangedForR</vt:lpstr>
      <vt:lpstr>CalcScratch</vt:lpstr>
      <vt:lpstr>TableScratch</vt:lpstr>
      <vt:lpstr>CodesIndex!Extract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Zagreb Mukerjee</dc:creator>
  <cp:lastModifiedBy>Zagreb Mukerjee</cp:lastModifiedBy>
  <dcterms:created xsi:type="dcterms:W3CDTF">2022-06-07T17:54:11Z</dcterms:created>
  <dcterms:modified xsi:type="dcterms:W3CDTF">2022-06-10T03:46:43Z</dcterms:modified>
</cp:coreProperties>
</file>